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I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row>
    <row r="2">
      <c r="A2" t="inlineStr">
        <is>
          <t>WorkbookVersion</t>
        </is>
      </c>
      <c r="B2" t="inlineStr">
        <is>
          <t>1.3</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row>
    <row r="3">
      <c r="A3" t="inlineStr">
        <is>
          <t>FrameworkVersion</t>
        </is>
      </c>
      <c r="B3" t="inlineStr">
        <is>
          <t>1.4</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row>
    <row r="4">
      <c r="A4" t="inlineStr">
        <is>
          <t>LastUpdated</t>
        </is>
      </c>
      <c r="B4" t="inlineStr">
        <is>
          <t>2026-07-06</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9"/>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M003 (winter highway range): Not verified. Two winter tests were found but both are unreliable matches: a 2022 test used a superseded pre-refresh Model 3 generation with a WLTP figure (614km) that matches no current trim, and a NAF winter 2025 test reports 702km WLTP (matching none of this workbook's four recorded Model 3 configurations) without specifying which trim was tested. Remains genuinely Unknown. Price verified 2026-07-06 via official Tesla Norway configurator (SRC_TESLA_NO_MODEL3_DESIGN): 400539 kr incl. VAT/fees, no optional extras selected (previously unpriced under DATA-001).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row>
  </sheetData>
  <autoFilter ref="A1:G1"/>
  <dataValidations count="2">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5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row>
    <row r="2">
      <c r="D2" t="inlineStr">
        <is>
          <t>Length</t>
        </is>
      </c>
      <c r="F2" t="inlineStr">
        <is>
          <t>MM</t>
        </is>
      </c>
      <c r="H2" t="inlineStr">
        <is>
          <t>UNKNOWN</t>
        </is>
      </c>
      <c r="J2" t="inlineStr">
        <is>
          <t>1.0</t>
        </is>
      </c>
    </row>
    <row r="3">
      <c r="D3" t="inlineStr">
        <is>
          <t>WLTP range</t>
        </is>
      </c>
      <c r="F3" t="inlineStr">
        <is>
          <t>KM</t>
        </is>
      </c>
      <c r="H3" t="inlineStr">
        <is>
          <t>UNKNOWN</t>
        </is>
      </c>
      <c r="J3" t="inlineStr">
        <is>
          <t>1.0</t>
        </is>
      </c>
    </row>
    <row r="4">
      <c r="D4" t="inlineStr">
        <is>
          <t>Winter highway range estimate</t>
        </is>
      </c>
      <c r="F4" t="inlineStr">
        <is>
          <t>KM</t>
        </is>
      </c>
      <c r="H4" t="inlineStr">
        <is>
          <t>UNKNOWN</t>
        </is>
      </c>
      <c r="J4" t="inlineStr">
        <is>
          <t>1.0</t>
        </is>
      </c>
    </row>
    <row r="5">
      <c r="D5" t="inlineStr">
        <is>
          <t>Battery net</t>
        </is>
      </c>
      <c r="F5" t="inlineStr">
        <is>
          <t>KWH</t>
        </is>
      </c>
      <c r="H5" t="inlineStr">
        <is>
          <t>UNKNOWN</t>
        </is>
      </c>
      <c r="J5" t="inlineStr">
        <is>
          <t>1.0</t>
        </is>
      </c>
    </row>
    <row r="6">
      <c r="D6" t="inlineStr">
        <is>
          <t>DC max charging</t>
        </is>
      </c>
      <c r="F6" t="inlineStr">
        <is>
          <t>KW</t>
        </is>
      </c>
      <c r="H6" t="inlineStr">
        <is>
          <t>UNKNOWN</t>
        </is>
      </c>
      <c r="J6" t="inlineStr">
        <is>
          <t>1.0</t>
        </is>
      </c>
    </row>
    <row r="7">
      <c r="D7" t="inlineStr">
        <is>
          <t>Boot volume</t>
        </is>
      </c>
      <c r="F7" t="inlineStr">
        <is>
          <t>L</t>
        </is>
      </c>
      <c r="H7" t="inlineStr">
        <is>
          <t>UNKNOWN</t>
        </is>
      </c>
      <c r="J7" t="inlineStr">
        <is>
          <t>1.0</t>
        </is>
      </c>
    </row>
    <row r="8">
      <c r="A8" t="inlineStr">
        <is>
          <t>TECH_000001</t>
        </is>
      </c>
      <c r="B8" t="inlineStr">
        <is>
          <t>TESLA_MODEL_3</t>
        </is>
      </c>
      <c r="D8" t="inlineStr">
        <is>
          <t>Length</t>
        </is>
      </c>
      <c r="E8" t="n">
        <v>4720</v>
      </c>
      <c r="F8" t="inlineStr">
        <is>
          <t>MM</t>
        </is>
      </c>
      <c r="G8" t="inlineStr">
        <is>
          <t>SRC_TESLA_NO_MODEL3_CONFIGURATOR</t>
        </is>
      </c>
      <c r="H8" t="inlineStr">
        <is>
          <t>MEDIUM</t>
        </is>
      </c>
      <c r="I8" t="inlineStr">
        <is>
          <t>2026-07-06</t>
        </is>
      </c>
      <c r="J8" t="inlineStr">
        <is>
          <t>1.2</t>
        </is>
      </c>
    </row>
    <row r="9">
      <c r="A9" t="inlineStr">
        <is>
          <t>TECH_000002</t>
        </is>
      </c>
      <c r="B9" t="inlineStr">
        <is>
          <t>TESLA_MODEL_3</t>
        </is>
      </c>
      <c r="D9" t="inlineStr">
        <is>
          <t>Width (mirrors unfolded)</t>
        </is>
      </c>
      <c r="E9" t="n">
        <v>2089</v>
      </c>
      <c r="F9" t="inlineStr">
        <is>
          <t>MM</t>
        </is>
      </c>
      <c r="G9" t="inlineStr">
        <is>
          <t>SRC_TESLA_NO_MODEL3_CONFIGURATOR</t>
        </is>
      </c>
      <c r="H9" t="inlineStr">
        <is>
          <t>MEDIUM</t>
        </is>
      </c>
      <c r="I9" t="inlineStr">
        <is>
          <t>2026-07-06</t>
        </is>
      </c>
      <c r="J9" t="inlineStr">
        <is>
          <t>1.2</t>
        </is>
      </c>
    </row>
    <row r="10">
      <c r="A10" t="inlineStr">
        <is>
          <t>TECH_000003</t>
        </is>
      </c>
      <c r="B10" t="inlineStr">
        <is>
          <t>TESLA_MODEL_3</t>
        </is>
      </c>
      <c r="D10" t="inlineStr">
        <is>
          <t>Boot volume</t>
        </is>
      </c>
      <c r="E10" t="n">
        <v>682</v>
      </c>
      <c r="F10" t="inlineStr">
        <is>
          <t>L</t>
        </is>
      </c>
      <c r="G10" t="inlineStr">
        <is>
          <t>SRC_TESLA_NO_MODEL3_CONFIGURATOR</t>
        </is>
      </c>
      <c r="H10" t="inlineStr">
        <is>
          <t>MEDIUM</t>
        </is>
      </c>
      <c r="I10" t="inlineStr">
        <is>
          <t>2026-07-06</t>
        </is>
      </c>
      <c r="J10" t="inlineStr">
        <is>
          <t>1.2</t>
        </is>
      </c>
    </row>
    <row r="11">
      <c r="A11" t="inlineStr">
        <is>
          <t>TECH_000004</t>
        </is>
      </c>
      <c r="C11" t="inlineStr">
        <is>
          <t>TESLA_MODEL_3_RWD</t>
        </is>
      </c>
      <c r="D11" t="inlineStr">
        <is>
          <t>Height</t>
        </is>
      </c>
      <c r="E11" t="n">
        <v>1440</v>
      </c>
      <c r="F11" t="inlineStr">
        <is>
          <t>MM</t>
        </is>
      </c>
      <c r="G11" t="inlineStr">
        <is>
          <t>SRC_TESLA_NO_MODEL3_CONFIGURATOR</t>
        </is>
      </c>
      <c r="H11" t="inlineStr">
        <is>
          <t>MEDIUM</t>
        </is>
      </c>
      <c r="I11" t="inlineStr">
        <is>
          <t>2026-07-06</t>
        </is>
      </c>
      <c r="J11" t="inlineStr">
        <is>
          <t>1.2</t>
        </is>
      </c>
    </row>
    <row r="12">
      <c r="A12" t="inlineStr">
        <is>
          <t>TECH_000005</t>
        </is>
      </c>
      <c r="C12" t="inlineStr">
        <is>
          <t>TESLA_MODEL_3_RWD</t>
        </is>
      </c>
      <c r="D12" t="inlineStr">
        <is>
          <t>Width (mirrors folded)</t>
        </is>
      </c>
      <c r="E12" t="n">
        <v>1850</v>
      </c>
      <c r="F12" t="inlineStr">
        <is>
          <t>MM</t>
        </is>
      </c>
      <c r="G12" t="inlineStr">
        <is>
          <t>SRC_TESLA_NO_MODEL3_CONFIGURATOR</t>
        </is>
      </c>
      <c r="H12" t="inlineStr">
        <is>
          <t>MEDIUM</t>
        </is>
      </c>
      <c r="I12" t="inlineStr">
        <is>
          <t>2026-07-06</t>
        </is>
      </c>
      <c r="J12" t="inlineStr">
        <is>
          <t>1.2</t>
        </is>
      </c>
    </row>
    <row r="13">
      <c r="A13" t="inlineStr">
        <is>
          <t>TECH_000006</t>
        </is>
      </c>
      <c r="C13" t="inlineStr">
        <is>
          <t>TESLA_MODEL_3_RWD</t>
        </is>
      </c>
      <c r="D13" t="inlineStr">
        <is>
          <t>Ground clearance</t>
        </is>
      </c>
      <c r="E13" t="n">
        <v>138</v>
      </c>
      <c r="F13" t="inlineStr">
        <is>
          <t>MM</t>
        </is>
      </c>
      <c r="G13" t="inlineStr">
        <is>
          <t>SRC_TESLA_NO_MODEL3_CONFIGURATOR</t>
        </is>
      </c>
      <c r="H13" t="inlineStr">
        <is>
          <t>MEDIUM</t>
        </is>
      </c>
      <c r="I13" t="inlineStr">
        <is>
          <t>2026-07-06</t>
        </is>
      </c>
      <c r="J13" t="inlineStr">
        <is>
          <t>1.2</t>
        </is>
      </c>
    </row>
    <row r="14">
      <c r="A14" t="inlineStr">
        <is>
          <t>TECH_000007</t>
        </is>
      </c>
      <c r="C14" t="inlineStr">
        <is>
          <t>TESLA_MODEL_3_RWD</t>
        </is>
      </c>
      <c r="D14" t="inlineStr">
        <is>
          <t>Kerb weight (MRO)</t>
        </is>
      </c>
      <c r="E14" t="n">
        <v>1847</v>
      </c>
      <c r="F14" t="inlineStr">
        <is>
          <t>KG</t>
        </is>
      </c>
      <c r="G14" t="inlineStr">
        <is>
          <t>SRC_TESLA_NO_MODEL3_CONFIGURATOR</t>
        </is>
      </c>
      <c r="H14" t="inlineStr">
        <is>
          <t>MEDIUM</t>
        </is>
      </c>
      <c r="I14" t="inlineStr">
        <is>
          <t>2026-07-06</t>
        </is>
      </c>
      <c r="J14" t="inlineStr">
        <is>
          <t>1.2</t>
        </is>
      </c>
    </row>
    <row r="15">
      <c r="A15" t="inlineStr">
        <is>
          <t>TECH_000008</t>
        </is>
      </c>
      <c r="C15" t="inlineStr">
        <is>
          <t>TESLA_MODEL_3_RWD</t>
        </is>
      </c>
      <c r="D15" t="inlineStr">
        <is>
          <t>WLTP range</t>
        </is>
      </c>
      <c r="E15" t="n">
        <v>534</v>
      </c>
      <c r="F15" t="inlineStr">
        <is>
          <t>KM</t>
        </is>
      </c>
      <c r="G15" t="inlineStr">
        <is>
          <t>SRC_TESLA_NO_MODEL3_CONFIGURATOR</t>
        </is>
      </c>
      <c r="H15" t="inlineStr">
        <is>
          <t>MEDIUM</t>
        </is>
      </c>
      <c r="I15" t="inlineStr">
        <is>
          <t>2026-07-06</t>
        </is>
      </c>
      <c r="J15" t="inlineStr">
        <is>
          <t>1.2</t>
        </is>
      </c>
    </row>
    <row r="16">
      <c r="A16" t="inlineStr">
        <is>
          <t>TECH_000009</t>
        </is>
      </c>
      <c r="C16" t="inlineStr">
        <is>
          <t>TESLA_MODEL_3_RWD</t>
        </is>
      </c>
      <c r="D16" t="inlineStr">
        <is>
          <t>WLTP consumption</t>
        </is>
      </c>
      <c r="E16" t="n">
        <v>13</v>
      </c>
      <c r="F16" t="inlineStr">
        <is>
          <t>KWH_100KM</t>
        </is>
      </c>
      <c r="G16" t="inlineStr">
        <is>
          <t>SRC_TESLA_NO_MODEL3_CONFIGURATOR</t>
        </is>
      </c>
      <c r="H16" t="inlineStr">
        <is>
          <t>MEDIUM</t>
        </is>
      </c>
      <c r="I16" t="inlineStr">
        <is>
          <t>2026-07-06</t>
        </is>
      </c>
      <c r="J16" t="inlineStr">
        <is>
          <t>1.2</t>
        </is>
      </c>
    </row>
    <row r="17">
      <c r="A17" t="inlineStr">
        <is>
          <t>TECH_000010</t>
        </is>
      </c>
      <c r="C17" t="inlineStr">
        <is>
          <t>TESLA_MODEL_3_RWD</t>
        </is>
      </c>
      <c r="D17" t="inlineStr">
        <is>
          <t>DC max charging</t>
        </is>
      </c>
      <c r="E17" t="n">
        <v>175</v>
      </c>
      <c r="F17" t="inlineStr">
        <is>
          <t>KW</t>
        </is>
      </c>
      <c r="G17" t="inlineStr">
        <is>
          <t>SRC_TESLA_NO_MODEL3_CONFIGURATOR</t>
        </is>
      </c>
      <c r="H17" t="inlineStr">
        <is>
          <t>MEDIUM</t>
        </is>
      </c>
      <c r="I17" t="inlineStr">
        <is>
          <t>2026-07-06</t>
        </is>
      </c>
      <c r="J17" t="inlineStr">
        <is>
          <t>1.2</t>
        </is>
      </c>
    </row>
    <row r="18">
      <c r="A18" t="inlineStr">
        <is>
          <t>TECH_000011</t>
        </is>
      </c>
      <c r="C18" t="inlineStr">
        <is>
          <t>TESLA_MODEL_3_LONG_RANGE_AWD</t>
        </is>
      </c>
      <c r="D18" t="inlineStr">
        <is>
          <t>Height</t>
        </is>
      </c>
      <c r="E18" t="n">
        <v>1441</v>
      </c>
      <c r="F18" t="inlineStr">
        <is>
          <t>MM</t>
        </is>
      </c>
      <c r="G18" t="inlineStr">
        <is>
          <t>SRC_TESLA_NO_MODEL3_CONFIGURATOR</t>
        </is>
      </c>
      <c r="H18" t="inlineStr">
        <is>
          <t>MEDIUM</t>
        </is>
      </c>
      <c r="I18" t="inlineStr">
        <is>
          <t>2026-07-06</t>
        </is>
      </c>
      <c r="J18" t="inlineStr">
        <is>
          <t>1.2</t>
        </is>
      </c>
    </row>
    <row r="19">
      <c r="A19" t="inlineStr">
        <is>
          <t>TECH_000012</t>
        </is>
      </c>
      <c r="C19" t="inlineStr">
        <is>
          <t>TESLA_MODEL_3_LONG_RANGE_AWD</t>
        </is>
      </c>
      <c r="D19" t="inlineStr">
        <is>
          <t>Width (mirrors folded)</t>
        </is>
      </c>
      <c r="E19" t="n">
        <v>1933</v>
      </c>
      <c r="F19" t="inlineStr">
        <is>
          <t>MM</t>
        </is>
      </c>
      <c r="G19" t="inlineStr">
        <is>
          <t>SRC_TESLA_NO_MODEL3_CONFIGURATOR</t>
        </is>
      </c>
      <c r="H19" t="inlineStr">
        <is>
          <t>MEDIUM</t>
        </is>
      </c>
      <c r="I19" t="inlineStr">
        <is>
          <t>2026-07-06</t>
        </is>
      </c>
      <c r="J19" t="inlineStr">
        <is>
          <t>1.2</t>
        </is>
      </c>
    </row>
    <row r="20">
      <c r="A20" t="inlineStr">
        <is>
          <t>TECH_000013</t>
        </is>
      </c>
      <c r="C20" t="inlineStr">
        <is>
          <t>TESLA_MODEL_3_LONG_RANGE_AWD</t>
        </is>
      </c>
      <c r="D20" t="inlineStr">
        <is>
          <t>Ground clearance</t>
        </is>
      </c>
      <c r="E20" t="n">
        <v>138</v>
      </c>
      <c r="F20" t="inlineStr">
        <is>
          <t>MM</t>
        </is>
      </c>
      <c r="G20" t="inlineStr">
        <is>
          <t>SRC_TESLA_NO_MODEL3_CONFIGURATOR</t>
        </is>
      </c>
      <c r="H20" t="inlineStr">
        <is>
          <t>MEDIUM</t>
        </is>
      </c>
      <c r="I20" t="inlineStr">
        <is>
          <t>2026-07-06</t>
        </is>
      </c>
      <c r="J20" t="inlineStr">
        <is>
          <t>1.2</t>
        </is>
      </c>
    </row>
    <row r="21">
      <c r="A21" t="inlineStr">
        <is>
          <t>TECH_000014</t>
        </is>
      </c>
      <c r="C21" t="inlineStr">
        <is>
          <t>TESLA_MODEL_3_LONG_RANGE_AWD</t>
        </is>
      </c>
      <c r="D21" t="inlineStr">
        <is>
          <t>Kerb weight (MRO)</t>
        </is>
      </c>
      <c r="E21" t="n">
        <v>1899</v>
      </c>
      <c r="F21" t="inlineStr">
        <is>
          <t>KG</t>
        </is>
      </c>
      <c r="G21" t="inlineStr">
        <is>
          <t>SRC_TESLA_NO_MODEL3_CONFIGURATOR</t>
        </is>
      </c>
      <c r="H21" t="inlineStr">
        <is>
          <t>MEDIUM</t>
        </is>
      </c>
      <c r="I21" t="inlineStr">
        <is>
          <t>2026-07-06</t>
        </is>
      </c>
      <c r="J21" t="inlineStr">
        <is>
          <t>1.2</t>
        </is>
      </c>
    </row>
    <row r="22">
      <c r="A22" t="inlineStr">
        <is>
          <t>TECH_000015</t>
        </is>
      </c>
      <c r="C22" t="inlineStr">
        <is>
          <t>TESLA_MODEL_3_LONG_RANGE_AWD</t>
        </is>
      </c>
      <c r="D22" t="inlineStr">
        <is>
          <t>WLTP range</t>
        </is>
      </c>
      <c r="E22" t="n">
        <v>660</v>
      </c>
      <c r="F22" t="inlineStr">
        <is>
          <t>KM</t>
        </is>
      </c>
      <c r="G22" t="inlineStr">
        <is>
          <t>SRC_TESLA_NO_MODEL3_CONFIGURATOR</t>
        </is>
      </c>
      <c r="H22" t="inlineStr">
        <is>
          <t>MEDIUM</t>
        </is>
      </c>
      <c r="I22" t="inlineStr">
        <is>
          <t>2026-07-06</t>
        </is>
      </c>
      <c r="J22" t="inlineStr">
        <is>
          <t>1.2</t>
        </is>
      </c>
    </row>
    <row r="23">
      <c r="A23" t="inlineStr">
        <is>
          <t>TECH_000016</t>
        </is>
      </c>
      <c r="C23" t="inlineStr">
        <is>
          <t>TESLA_MODEL_3_LONG_RANGE_AWD</t>
        </is>
      </c>
      <c r="D23" t="inlineStr">
        <is>
          <t>WLTP consumption</t>
        </is>
      </c>
      <c r="E23" t="n">
        <v>14.3</v>
      </c>
      <c r="F23" t="inlineStr">
        <is>
          <t>KWH_100KM</t>
        </is>
      </c>
      <c r="G23" t="inlineStr">
        <is>
          <t>SRC_TESLA_NO_MODEL3_CONFIGURATOR</t>
        </is>
      </c>
      <c r="H23" t="inlineStr">
        <is>
          <t>MEDIUM</t>
        </is>
      </c>
      <c r="I23" t="inlineStr">
        <is>
          <t>2026-07-06</t>
        </is>
      </c>
      <c r="J23" t="inlineStr">
        <is>
          <t>1.2</t>
        </is>
      </c>
    </row>
    <row r="24">
      <c r="A24" t="inlineStr">
        <is>
          <t>TECH_000017</t>
        </is>
      </c>
      <c r="C24" t="inlineStr">
        <is>
          <t>TESLA_MODEL_3_LONG_RANGE_AWD</t>
        </is>
      </c>
      <c r="D24" t="inlineStr">
        <is>
          <t>DC max charging</t>
        </is>
      </c>
      <c r="E24" t="n">
        <v>250</v>
      </c>
      <c r="F24" t="inlineStr">
        <is>
          <t>KW</t>
        </is>
      </c>
      <c r="G24" t="inlineStr">
        <is>
          <t>SRC_TESLA_NO_MODEL3_CONFIGURATOR</t>
        </is>
      </c>
      <c r="H24" t="inlineStr">
        <is>
          <t>MEDIUM</t>
        </is>
      </c>
      <c r="I24" t="inlineStr">
        <is>
          <t>2026-07-06</t>
        </is>
      </c>
      <c r="J24" t="inlineStr">
        <is>
          <t>1.2</t>
        </is>
      </c>
    </row>
    <row r="25">
      <c r="A25" t="inlineStr">
        <is>
          <t>TECH_000018</t>
        </is>
      </c>
      <c r="C25" t="inlineStr">
        <is>
          <t>TESLA_MODEL_3_LONG_RANGE_RWD</t>
        </is>
      </c>
      <c r="D25" t="inlineStr">
        <is>
          <t>Height</t>
        </is>
      </c>
      <c r="E25" t="n">
        <v>1441</v>
      </c>
      <c r="F25" t="inlineStr">
        <is>
          <t>MM</t>
        </is>
      </c>
      <c r="G25" t="inlineStr">
        <is>
          <t>SRC_TESLA_NO_MODEL3_CONFIGURATOR</t>
        </is>
      </c>
      <c r="H25" t="inlineStr">
        <is>
          <t>MEDIUM</t>
        </is>
      </c>
      <c r="I25" t="inlineStr">
        <is>
          <t>2026-07-06</t>
        </is>
      </c>
      <c r="J25" t="inlineStr">
        <is>
          <t>1.2</t>
        </is>
      </c>
    </row>
    <row r="26">
      <c r="A26" t="inlineStr">
        <is>
          <t>TECH_000019</t>
        </is>
      </c>
      <c r="C26" t="inlineStr">
        <is>
          <t>TESLA_MODEL_3_LONG_RANGE_RWD</t>
        </is>
      </c>
      <c r="D26" t="inlineStr">
        <is>
          <t>Width (mirrors folded)</t>
        </is>
      </c>
      <c r="E26" t="n">
        <v>1933</v>
      </c>
      <c r="F26" t="inlineStr">
        <is>
          <t>MM</t>
        </is>
      </c>
      <c r="G26" t="inlineStr">
        <is>
          <t>SRC_TESLA_NO_MODEL3_CONFIGURATOR</t>
        </is>
      </c>
      <c r="H26" t="inlineStr">
        <is>
          <t>MEDIUM</t>
        </is>
      </c>
      <c r="I26" t="inlineStr">
        <is>
          <t>2026-07-06</t>
        </is>
      </c>
      <c r="J26" t="inlineStr">
        <is>
          <t>1.2</t>
        </is>
      </c>
    </row>
    <row r="27">
      <c r="A27" t="inlineStr">
        <is>
          <t>TECH_000020</t>
        </is>
      </c>
      <c r="C27" t="inlineStr">
        <is>
          <t>TESLA_MODEL_3_LONG_RANGE_RWD</t>
        </is>
      </c>
      <c r="D27" t="inlineStr">
        <is>
          <t>Ground clearance</t>
        </is>
      </c>
      <c r="E27" t="n">
        <v>138</v>
      </c>
      <c r="F27" t="inlineStr">
        <is>
          <t>MM</t>
        </is>
      </c>
      <c r="G27" t="inlineStr">
        <is>
          <t>SRC_TESLA_NO_MODEL3_CONFIGURATOR</t>
        </is>
      </c>
      <c r="H27" t="inlineStr">
        <is>
          <t>MEDIUM</t>
        </is>
      </c>
      <c r="I27" t="inlineStr">
        <is>
          <t>2026-07-06</t>
        </is>
      </c>
      <c r="J27" t="inlineStr">
        <is>
          <t>1.2</t>
        </is>
      </c>
    </row>
    <row r="28">
      <c r="A28" t="inlineStr">
        <is>
          <t>TECH_000021</t>
        </is>
      </c>
      <c r="C28" t="inlineStr">
        <is>
          <t>TESLA_MODEL_3_LONG_RANGE_RWD</t>
        </is>
      </c>
      <c r="D28" t="inlineStr">
        <is>
          <t>Kerb weight (MRO)</t>
        </is>
      </c>
      <c r="E28" t="n">
        <v>1822</v>
      </c>
      <c r="F28" t="inlineStr">
        <is>
          <t>KG</t>
        </is>
      </c>
      <c r="G28" t="inlineStr">
        <is>
          <t>SRC_TESLA_NO_MODEL3_CONFIGURATOR</t>
        </is>
      </c>
      <c r="H28" t="inlineStr">
        <is>
          <t>MEDIUM</t>
        </is>
      </c>
      <c r="I28" t="inlineStr">
        <is>
          <t>2026-07-06</t>
        </is>
      </c>
      <c r="J28" t="inlineStr">
        <is>
          <t>1.2</t>
        </is>
      </c>
    </row>
    <row r="29">
      <c r="A29" t="inlineStr">
        <is>
          <t>TECH_000022</t>
        </is>
      </c>
      <c r="C29" t="inlineStr">
        <is>
          <t>TESLA_MODEL_3_LONG_RANGE_RWD</t>
        </is>
      </c>
      <c r="D29" t="inlineStr">
        <is>
          <t>WLTP range (18" wheels)</t>
        </is>
      </c>
      <c r="E29" t="n">
        <v>750</v>
      </c>
      <c r="F29" t="inlineStr">
        <is>
          <t>KM</t>
        </is>
      </c>
      <c r="G29" t="inlineStr">
        <is>
          <t>SRC_TESLA_NO_MODEL3_CONFIGURATOR</t>
        </is>
      </c>
      <c r="H29" t="inlineStr">
        <is>
          <t>MEDIUM</t>
        </is>
      </c>
      <c r="I29" t="inlineStr">
        <is>
          <t>2026-07-06</t>
        </is>
      </c>
      <c r="J29" t="inlineStr">
        <is>
          <t>1.2</t>
        </is>
      </c>
    </row>
    <row r="30">
      <c r="A30" t="inlineStr">
        <is>
          <t>TECH_000023</t>
        </is>
      </c>
      <c r="C30" t="inlineStr">
        <is>
          <t>TESLA_MODEL_3_LONG_RANGE_RWD</t>
        </is>
      </c>
      <c r="D30" t="inlineStr">
        <is>
          <t>WLTP range (19" wheels)</t>
        </is>
      </c>
      <c r="E30" t="n">
        <v>691</v>
      </c>
      <c r="F30" t="inlineStr">
        <is>
          <t>KM</t>
        </is>
      </c>
      <c r="G30" t="inlineStr">
        <is>
          <t>SRC_TESLA_NO_MODEL3_CONFIGURATOR</t>
        </is>
      </c>
      <c r="H30" t="inlineStr">
        <is>
          <t>MEDIUM</t>
        </is>
      </c>
      <c r="I30" t="inlineStr">
        <is>
          <t>2026-07-06</t>
        </is>
      </c>
      <c r="J30" t="inlineStr">
        <is>
          <t>1.2</t>
        </is>
      </c>
    </row>
    <row r="31">
      <c r="A31" t="inlineStr">
        <is>
          <t>TECH_000024</t>
        </is>
      </c>
      <c r="C31" t="inlineStr">
        <is>
          <t>TESLA_MODEL_3_LONG_RANGE_RWD</t>
        </is>
      </c>
      <c r="D31" t="inlineStr">
        <is>
          <t>WLTP consumption</t>
        </is>
      </c>
      <c r="E31" t="n">
        <v>13.6</v>
      </c>
      <c r="F31" t="inlineStr">
        <is>
          <t>KWH_100KM</t>
        </is>
      </c>
      <c r="G31" t="inlineStr">
        <is>
          <t>SRC_TESLA_NO_MODEL3_CONFIGURATOR</t>
        </is>
      </c>
      <c r="H31" t="inlineStr">
        <is>
          <t>MEDIUM</t>
        </is>
      </c>
      <c r="I31" t="inlineStr">
        <is>
          <t>2026-07-06</t>
        </is>
      </c>
      <c r="J31" t="inlineStr">
        <is>
          <t>1.2</t>
        </is>
      </c>
    </row>
    <row r="32">
      <c r="A32" t="inlineStr">
        <is>
          <t>TECH_000025</t>
        </is>
      </c>
      <c r="C32" t="inlineStr">
        <is>
          <t>TESLA_MODEL_3_LONG_RANGE_RWD</t>
        </is>
      </c>
      <c r="D32" t="inlineStr">
        <is>
          <t>DC max charging</t>
        </is>
      </c>
      <c r="E32" t="n">
        <v>250</v>
      </c>
      <c r="F32" t="inlineStr">
        <is>
          <t>KW</t>
        </is>
      </c>
      <c r="G32" t="inlineStr">
        <is>
          <t>SRC_TESLA_NO_MODEL3_CONFIGURATOR</t>
        </is>
      </c>
      <c r="H32" t="inlineStr">
        <is>
          <t>MEDIUM</t>
        </is>
      </c>
      <c r="I32" t="inlineStr">
        <is>
          <t>2026-07-06</t>
        </is>
      </c>
      <c r="J32" t="inlineStr">
        <is>
          <t>1.2</t>
        </is>
      </c>
    </row>
    <row r="33">
      <c r="A33" t="inlineStr">
        <is>
          <t>TECH_000026</t>
        </is>
      </c>
      <c r="C33" t="inlineStr">
        <is>
          <t>TESLA_MODEL_3_PERFORMANCE</t>
        </is>
      </c>
      <c r="D33" t="inlineStr">
        <is>
          <t>Height</t>
        </is>
      </c>
      <c r="E33" t="n">
        <v>1431</v>
      </c>
      <c r="F33" t="inlineStr">
        <is>
          <t>MM</t>
        </is>
      </c>
      <c r="G33" t="inlineStr">
        <is>
          <t>SRC_TESLA_NO_MODEL3_CONFIGURATOR</t>
        </is>
      </c>
      <c r="H33" t="inlineStr">
        <is>
          <t>MEDIUM</t>
        </is>
      </c>
      <c r="I33" t="inlineStr">
        <is>
          <t>2026-07-06</t>
        </is>
      </c>
      <c r="J33" t="inlineStr">
        <is>
          <t>1.2</t>
        </is>
      </c>
    </row>
    <row r="34">
      <c r="A34" t="inlineStr">
        <is>
          <t>TECH_000027</t>
        </is>
      </c>
      <c r="C34" t="inlineStr">
        <is>
          <t>TESLA_MODEL_3_PERFORMANCE</t>
        </is>
      </c>
      <c r="D34" t="inlineStr">
        <is>
          <t>Width (mirrors folded)</t>
        </is>
      </c>
      <c r="E34" t="n">
        <v>1933</v>
      </c>
      <c r="F34" t="inlineStr">
        <is>
          <t>MM</t>
        </is>
      </c>
      <c r="G34" t="inlineStr">
        <is>
          <t>SRC_TESLA_NO_MODEL3_CONFIGURATOR</t>
        </is>
      </c>
      <c r="H34" t="inlineStr">
        <is>
          <t>MEDIUM</t>
        </is>
      </c>
      <c r="I34" t="inlineStr">
        <is>
          <t>2026-07-06</t>
        </is>
      </c>
      <c r="J34" t="inlineStr">
        <is>
          <t>1.2</t>
        </is>
      </c>
    </row>
    <row r="35">
      <c r="A35" t="inlineStr">
        <is>
          <t>TECH_000028</t>
        </is>
      </c>
      <c r="C35" t="inlineStr">
        <is>
          <t>TESLA_MODEL_3_PERFORMANCE</t>
        </is>
      </c>
      <c r="D35" t="inlineStr">
        <is>
          <t>Ground clearance</t>
        </is>
      </c>
      <c r="E35" t="n">
        <v>128</v>
      </c>
      <c r="F35" t="inlineStr">
        <is>
          <t>MM</t>
        </is>
      </c>
      <c r="G35" t="inlineStr">
        <is>
          <t>SRC_TESLA_NO_MODEL3_CONFIGURATOR</t>
        </is>
      </c>
      <c r="H35" t="inlineStr">
        <is>
          <t>MEDIUM</t>
        </is>
      </c>
      <c r="I35" t="inlineStr">
        <is>
          <t>2026-07-06</t>
        </is>
      </c>
      <c r="J35" t="inlineStr">
        <is>
          <t>1.2</t>
        </is>
      </c>
    </row>
    <row r="36">
      <c r="A36" t="inlineStr">
        <is>
          <t>TECH_000029</t>
        </is>
      </c>
      <c r="C36" t="inlineStr">
        <is>
          <t>TESLA_MODEL_3_PERFORMANCE</t>
        </is>
      </c>
      <c r="D36" t="inlineStr">
        <is>
          <t>Kerb weight (MRO)</t>
        </is>
      </c>
      <c r="E36" t="n">
        <v>1929</v>
      </c>
      <c r="F36" t="inlineStr">
        <is>
          <t>KG</t>
        </is>
      </c>
      <c r="G36" t="inlineStr">
        <is>
          <t>SRC_TESLA_NO_MODEL3_CONFIGURATOR</t>
        </is>
      </c>
      <c r="H36" t="inlineStr">
        <is>
          <t>MEDIUM</t>
        </is>
      </c>
      <c r="I36" t="inlineStr">
        <is>
          <t>2026-07-06</t>
        </is>
      </c>
      <c r="J36" t="inlineStr">
        <is>
          <t>1.2</t>
        </is>
      </c>
    </row>
    <row r="37">
      <c r="A37" t="inlineStr">
        <is>
          <t>TECH_000030</t>
        </is>
      </c>
      <c r="C37" t="inlineStr">
        <is>
          <t>TESLA_MODEL_3_PERFORMANCE</t>
        </is>
      </c>
      <c r="D37" t="inlineStr">
        <is>
          <t>WLTP range</t>
        </is>
      </c>
      <c r="E37" t="n">
        <v>571</v>
      </c>
      <c r="F37" t="inlineStr">
        <is>
          <t>KM</t>
        </is>
      </c>
      <c r="G37" t="inlineStr">
        <is>
          <t>SRC_TESLA_NO_MODEL3_CONFIGURATOR</t>
        </is>
      </c>
      <c r="H37" t="inlineStr">
        <is>
          <t>MEDIUM</t>
        </is>
      </c>
      <c r="I37" t="inlineStr">
        <is>
          <t>2026-07-06</t>
        </is>
      </c>
      <c r="J37" t="inlineStr">
        <is>
          <t>1.2</t>
        </is>
      </c>
    </row>
    <row r="38">
      <c r="A38" t="inlineStr">
        <is>
          <t>TECH_000031</t>
        </is>
      </c>
      <c r="C38" t="inlineStr">
        <is>
          <t>TESLA_MODEL_3_PERFORMANCE</t>
        </is>
      </c>
      <c r="D38" t="inlineStr">
        <is>
          <t>WLTP consumption</t>
        </is>
      </c>
      <c r="E38" t="n">
        <v>16.5</v>
      </c>
      <c r="F38" t="inlineStr">
        <is>
          <t>KWH_100KM</t>
        </is>
      </c>
      <c r="G38" t="inlineStr">
        <is>
          <t>SRC_TESLA_NO_MODEL3_CONFIGURATOR</t>
        </is>
      </c>
      <c r="H38" t="inlineStr">
        <is>
          <t>MEDIUM</t>
        </is>
      </c>
      <c r="I38" t="inlineStr">
        <is>
          <t>2026-07-06</t>
        </is>
      </c>
      <c r="J38" t="inlineStr">
        <is>
          <t>1.2</t>
        </is>
      </c>
    </row>
    <row r="39">
      <c r="A39" t="inlineStr">
        <is>
          <t>TECH_000032</t>
        </is>
      </c>
      <c r="C39" t="inlineStr">
        <is>
          <t>TESLA_MODEL_3_PERFORMANCE</t>
        </is>
      </c>
      <c r="D39" t="inlineStr">
        <is>
          <t>DC max charging</t>
        </is>
      </c>
      <c r="E39" t="n">
        <v>250</v>
      </c>
      <c r="F39" t="inlineStr">
        <is>
          <t>KW</t>
        </is>
      </c>
      <c r="G39" t="inlineStr">
        <is>
          <t>SRC_TESLA_NO_MODEL3_CONFIGURATOR</t>
        </is>
      </c>
      <c r="H39" t="inlineStr">
        <is>
          <t>MEDIUM</t>
        </is>
      </c>
      <c r="I39" t="inlineStr">
        <is>
          <t>2026-07-06</t>
        </is>
      </c>
      <c r="J39" t="inlineStr">
        <is>
          <t>1.2</t>
        </is>
      </c>
    </row>
    <row r="40">
      <c r="A40" t="inlineStr">
        <is>
          <t>TECH_000033</t>
        </is>
      </c>
      <c r="C40" t="inlineStr">
        <is>
          <t>TESLA_MODEL_3_PERFORMANCE</t>
        </is>
      </c>
      <c r="D40" t="inlineStr">
        <is>
          <t>Top speed</t>
        </is>
      </c>
      <c r="E40" t="n">
        <v>262</v>
      </c>
      <c r="F40" t="inlineStr">
        <is>
          <t>KMH</t>
        </is>
      </c>
      <c r="G40" t="inlineStr">
        <is>
          <t>SRC_TESLA_NO_MODEL3_CONFIGURATOR</t>
        </is>
      </c>
      <c r="H40" t="inlineStr">
        <is>
          <t>MEDIUM</t>
        </is>
      </c>
      <c r="I40" t="inlineStr">
        <is>
          <t>2026-07-06</t>
        </is>
      </c>
      <c r="J40" t="inlineStr">
        <is>
          <t>1.2</t>
        </is>
      </c>
    </row>
    <row r="41">
      <c r="A41" t="inlineStr">
        <is>
          <t>TECH_000034</t>
        </is>
      </c>
      <c r="B41" t="inlineStr">
        <is>
          <t>RENAULT_4</t>
        </is>
      </c>
      <c r="D41" t="inlineStr">
        <is>
          <t>Length</t>
        </is>
      </c>
      <c r="E41" t="n">
        <v>4140</v>
      </c>
      <c r="F41" t="inlineStr">
        <is>
          <t>MM</t>
        </is>
      </c>
      <c r="G41" t="inlineStr">
        <is>
          <t>SRC_RENAULT_NO_R4_PAGE</t>
        </is>
      </c>
      <c r="H41" t="inlineStr">
        <is>
          <t>MEDIUM</t>
        </is>
      </c>
      <c r="I41" t="inlineStr">
        <is>
          <t>2026-07-06</t>
        </is>
      </c>
      <c r="J41" t="inlineStr">
        <is>
          <t>1.4</t>
        </is>
      </c>
    </row>
    <row r="42">
      <c r="A42" t="inlineStr">
        <is>
          <t>TECH_000035</t>
        </is>
      </c>
      <c r="B42" t="inlineStr">
        <is>
          <t>RENAULT_4</t>
        </is>
      </c>
      <c r="D42" t="inlineStr">
        <is>
          <t>Ground clearance</t>
        </is>
      </c>
      <c r="E42" t="n">
        <v>181</v>
      </c>
      <c r="F42" t="inlineStr">
        <is>
          <t>MM</t>
        </is>
      </c>
      <c r="G42" t="inlineStr">
        <is>
          <t>SRC_RENAULT_NO_R4_PAGE</t>
        </is>
      </c>
      <c r="H42" t="inlineStr">
        <is>
          <t>MEDIUM</t>
        </is>
      </c>
      <c r="I42" t="inlineStr">
        <is>
          <t>2026-07-06</t>
        </is>
      </c>
      <c r="J42" t="inlineStr">
        <is>
          <t>1.4</t>
        </is>
      </c>
    </row>
    <row r="43">
      <c r="A43" t="inlineStr">
        <is>
          <t>TECH_000036</t>
        </is>
      </c>
      <c r="C43" t="inlineStr">
        <is>
          <t>RENAULT_4_EVOLUTION_URBAN</t>
        </is>
      </c>
      <c r="D43" t="inlineStr">
        <is>
          <t>WLTP range</t>
        </is>
      </c>
      <c r="E43" t="n">
        <v>308</v>
      </c>
      <c r="F43" t="inlineStr">
        <is>
          <t>KM</t>
        </is>
      </c>
      <c r="G43" t="inlineStr">
        <is>
          <t>SRC_RENAULT_NO_R4_PRICELIST</t>
        </is>
      </c>
      <c r="H43" t="inlineStr">
        <is>
          <t>MEDIUM</t>
        </is>
      </c>
      <c r="I43" t="inlineStr">
        <is>
          <t>2026-07-06</t>
        </is>
      </c>
      <c r="J43" t="inlineStr">
        <is>
          <t>1.4</t>
        </is>
      </c>
    </row>
    <row r="44">
      <c r="A44" t="inlineStr">
        <is>
          <t>TECH_000037</t>
        </is>
      </c>
      <c r="C44" t="inlineStr">
        <is>
          <t>RENAULT_4_EVOLUTION_URBAN</t>
        </is>
      </c>
      <c r="D44" t="inlineStr">
        <is>
          <t>WLTP consumption</t>
        </is>
      </c>
      <c r="E44" t="n">
        <v>14.7</v>
      </c>
      <c r="F44" t="inlineStr">
        <is>
          <t>KWH_100KM</t>
        </is>
      </c>
      <c r="G44" t="inlineStr">
        <is>
          <t>SRC_RENAULT_NO_R4_PRICELIST</t>
        </is>
      </c>
      <c r="H44" t="inlineStr">
        <is>
          <t>MEDIUM</t>
        </is>
      </c>
      <c r="I44" t="inlineStr">
        <is>
          <t>2026-07-06</t>
        </is>
      </c>
      <c r="J44" t="inlineStr">
        <is>
          <t>1.4</t>
        </is>
      </c>
    </row>
    <row r="45">
      <c r="A45" t="inlineStr">
        <is>
          <t>TECH_000038</t>
        </is>
      </c>
      <c r="C45" t="inlineStr">
        <is>
          <t>RENAULT_4_EVOLUTION_URBAN</t>
        </is>
      </c>
      <c r="D45" t="inlineStr">
        <is>
          <t>DC max charging</t>
        </is>
      </c>
      <c r="E45" t="n">
        <v>80</v>
      </c>
      <c r="F45" t="inlineStr">
        <is>
          <t>KW</t>
        </is>
      </c>
      <c r="G45" t="inlineStr">
        <is>
          <t>SRC_RENAULT_NO_R4_PRICELIST</t>
        </is>
      </c>
      <c r="H45" t="inlineStr">
        <is>
          <t>MEDIUM</t>
        </is>
      </c>
      <c r="I45" t="inlineStr">
        <is>
          <t>2026-07-06</t>
        </is>
      </c>
      <c r="J45" t="inlineStr">
        <is>
          <t>1.4</t>
        </is>
      </c>
    </row>
    <row r="46">
      <c r="A46" t="inlineStr">
        <is>
          <t>TECH_000039</t>
        </is>
      </c>
      <c r="C46" t="inlineStr">
        <is>
          <t>RENAULT_4_EVOLUTION_URBAN</t>
        </is>
      </c>
      <c r="D46" t="inlineStr">
        <is>
          <t>AC max charging</t>
        </is>
      </c>
      <c r="E46" t="n">
        <v>11</v>
      </c>
      <c r="F46" t="inlineStr">
        <is>
          <t>KW</t>
        </is>
      </c>
      <c r="G46" t="inlineStr">
        <is>
          <t>SRC_RENAULT_NO_R4_PRICELIST</t>
        </is>
      </c>
      <c r="H46" t="inlineStr">
        <is>
          <t>MEDIUM</t>
        </is>
      </c>
      <c r="I46" t="inlineStr">
        <is>
          <t>2026-07-06</t>
        </is>
      </c>
      <c r="J46" t="inlineStr">
        <is>
          <t>1.4</t>
        </is>
      </c>
    </row>
    <row r="47">
      <c r="A47" t="inlineStr">
        <is>
          <t>TECH_000040</t>
        </is>
      </c>
      <c r="C47" t="inlineStr">
        <is>
          <t>RENAULT_4_EVOLUTION_URBAN</t>
        </is>
      </c>
      <c r="D47" t="inlineStr">
        <is>
          <t>Battery net</t>
        </is>
      </c>
      <c r="E47" t="n">
        <v>40</v>
      </c>
      <c r="F47" t="inlineStr">
        <is>
          <t>KWH</t>
        </is>
      </c>
      <c r="G47" t="inlineStr">
        <is>
          <t>SRC_RENAULT_NO_R4_PRICELIST</t>
        </is>
      </c>
      <c r="H47" t="inlineStr">
        <is>
          <t>MEDIUM</t>
        </is>
      </c>
      <c r="I47" t="inlineStr">
        <is>
          <t>2026-07-06</t>
        </is>
      </c>
      <c r="J47" t="inlineStr">
        <is>
          <t>1.4</t>
        </is>
      </c>
    </row>
    <row r="48">
      <c r="A48" t="inlineStr">
        <is>
          <t>TECH_000041</t>
        </is>
      </c>
      <c r="C48" t="inlineStr">
        <is>
          <t>RENAULT_4_EVOLUTION_URBAN</t>
        </is>
      </c>
      <c r="D48" t="inlineStr">
        <is>
          <t>Torque</t>
        </is>
      </c>
      <c r="E48" t="n">
        <v>225</v>
      </c>
      <c r="F48" t="inlineStr">
        <is>
          <t>NM</t>
        </is>
      </c>
      <c r="G48" t="inlineStr">
        <is>
          <t>SRC_RENAULT_NO_R4_PRICELIST</t>
        </is>
      </c>
      <c r="H48" t="inlineStr">
        <is>
          <t>MEDIUM</t>
        </is>
      </c>
      <c r="I48" t="inlineStr">
        <is>
          <t>2026-07-06</t>
        </is>
      </c>
      <c r="J48" t="inlineStr">
        <is>
          <t>1.4</t>
        </is>
      </c>
    </row>
    <row r="49">
      <c r="A49" t="inlineStr">
        <is>
          <t>TECH_000042</t>
        </is>
      </c>
      <c r="C49" t="inlineStr">
        <is>
          <t>RENAULT_4_EVOLUTION_URBAN</t>
        </is>
      </c>
      <c r="D49" t="inlineStr">
        <is>
          <t>Kerb weight</t>
        </is>
      </c>
      <c r="E49" t="n">
        <v>1492</v>
      </c>
      <c r="F49" t="inlineStr">
        <is>
          <t>KG</t>
        </is>
      </c>
      <c r="G49" t="inlineStr">
        <is>
          <t>SRC_RENAULT_NO_R4_PRICELIST</t>
        </is>
      </c>
      <c r="H49" t="inlineStr">
        <is>
          <t>MEDIUM</t>
        </is>
      </c>
      <c r="I49" t="inlineStr">
        <is>
          <t>2026-07-06</t>
        </is>
      </c>
      <c r="J49" t="inlineStr">
        <is>
          <t>1.4</t>
        </is>
      </c>
    </row>
    <row r="50">
      <c r="A50" t="inlineStr">
        <is>
          <t>TECH_000043</t>
        </is>
      </c>
      <c r="C50" t="inlineStr">
        <is>
          <t>RENAULT_4_EVOLUTION_URBAN</t>
        </is>
      </c>
      <c r="D50" t="inlineStr">
        <is>
          <t>Boot volume</t>
        </is>
      </c>
      <c r="E50" t="n">
        <v>420</v>
      </c>
      <c r="F50" t="inlineStr">
        <is>
          <t>L</t>
        </is>
      </c>
      <c r="G50" t="inlineStr">
        <is>
          <t>SRC_RENAULT_NO_R4_PAGE</t>
        </is>
      </c>
      <c r="H50" t="inlineStr">
        <is>
          <t>MEDIUM</t>
        </is>
      </c>
      <c r="I50" t="inlineStr">
        <is>
          <t>2026-07-06</t>
        </is>
      </c>
      <c r="J50" t="inlineStr">
        <is>
          <t>1.4</t>
        </is>
      </c>
    </row>
    <row r="51">
      <c r="A51" t="inlineStr">
        <is>
          <t>TECH_000044</t>
        </is>
      </c>
      <c r="C51" t="inlineStr">
        <is>
          <t>RENAULT_4_EVOLUTION_COMFORT</t>
        </is>
      </c>
      <c r="D51" t="inlineStr">
        <is>
          <t>WLTP range</t>
        </is>
      </c>
      <c r="E51" t="n">
        <v>407</v>
      </c>
      <c r="F51" t="inlineStr">
        <is>
          <t>KM</t>
        </is>
      </c>
      <c r="G51" t="inlineStr">
        <is>
          <t>SRC_RENAULT_NO_R4_PRICELIST</t>
        </is>
      </c>
      <c r="H51" t="inlineStr">
        <is>
          <t>MEDIUM</t>
        </is>
      </c>
      <c r="I51" t="inlineStr">
        <is>
          <t>2026-07-06</t>
        </is>
      </c>
      <c r="J51" t="inlineStr">
        <is>
          <t>1.4</t>
        </is>
      </c>
    </row>
    <row r="52">
      <c r="A52" t="inlineStr">
        <is>
          <t>TECH_000045</t>
        </is>
      </c>
      <c r="C52" t="inlineStr">
        <is>
          <t>RENAULT_4_EVOLUTION_COMFORT</t>
        </is>
      </c>
      <c r="D52" t="inlineStr">
        <is>
          <t>WLTP consumption</t>
        </is>
      </c>
      <c r="E52" t="n">
        <v>15.2</v>
      </c>
      <c r="F52" t="inlineStr">
        <is>
          <t>KWH_100KM</t>
        </is>
      </c>
      <c r="G52" t="inlineStr">
        <is>
          <t>SRC_RENAULT_NO_R4_PRICELIST</t>
        </is>
      </c>
      <c r="H52" t="inlineStr">
        <is>
          <t>MEDIUM</t>
        </is>
      </c>
      <c r="I52" t="inlineStr">
        <is>
          <t>2026-07-06</t>
        </is>
      </c>
      <c r="J52" t="inlineStr">
        <is>
          <t>1.4</t>
        </is>
      </c>
    </row>
    <row r="53">
      <c r="A53" t="inlineStr">
        <is>
          <t>TECH_000046</t>
        </is>
      </c>
      <c r="C53" t="inlineStr">
        <is>
          <t>RENAULT_4_EVOLUTION_COMFORT</t>
        </is>
      </c>
      <c r="D53" t="inlineStr">
        <is>
          <t>DC max charging</t>
        </is>
      </c>
      <c r="E53" t="n">
        <v>100</v>
      </c>
      <c r="F53" t="inlineStr">
        <is>
          <t>KW</t>
        </is>
      </c>
      <c r="G53" t="inlineStr">
        <is>
          <t>SRC_RENAULT_NO_R4_PRICELIST</t>
        </is>
      </c>
      <c r="H53" t="inlineStr">
        <is>
          <t>MEDIUM</t>
        </is>
      </c>
      <c r="I53" t="inlineStr">
        <is>
          <t>2026-07-06</t>
        </is>
      </c>
      <c r="J53" t="inlineStr">
        <is>
          <t>1.4</t>
        </is>
      </c>
    </row>
    <row r="54">
      <c r="A54" t="inlineStr">
        <is>
          <t>TECH_000047</t>
        </is>
      </c>
      <c r="C54" t="inlineStr">
        <is>
          <t>RENAULT_4_EVOLUTION_COMFORT</t>
        </is>
      </c>
      <c r="D54" t="inlineStr">
        <is>
          <t>AC max charging</t>
        </is>
      </c>
      <c r="E54" t="n">
        <v>11</v>
      </c>
      <c r="F54" t="inlineStr">
        <is>
          <t>KW</t>
        </is>
      </c>
      <c r="G54" t="inlineStr">
        <is>
          <t>SRC_RENAULT_NO_R4_PRICELIST</t>
        </is>
      </c>
      <c r="H54" t="inlineStr">
        <is>
          <t>MEDIUM</t>
        </is>
      </c>
      <c r="I54" t="inlineStr">
        <is>
          <t>2026-07-06</t>
        </is>
      </c>
      <c r="J54" t="inlineStr">
        <is>
          <t>1.4</t>
        </is>
      </c>
    </row>
    <row r="55">
      <c r="A55" t="inlineStr">
        <is>
          <t>TECH_000048</t>
        </is>
      </c>
      <c r="C55" t="inlineStr">
        <is>
          <t>RENAULT_4_EVOLUTION_COMFORT</t>
        </is>
      </c>
      <c r="D55" t="inlineStr">
        <is>
          <t>Battery net</t>
        </is>
      </c>
      <c r="E55" t="n">
        <v>52</v>
      </c>
      <c r="F55" t="inlineStr">
        <is>
          <t>KWH</t>
        </is>
      </c>
      <c r="G55" t="inlineStr">
        <is>
          <t>SRC_RENAULT_NO_R4_PRICELIST</t>
        </is>
      </c>
      <c r="H55" t="inlineStr">
        <is>
          <t>MEDIUM</t>
        </is>
      </c>
      <c r="I55" t="inlineStr">
        <is>
          <t>2026-07-06</t>
        </is>
      </c>
      <c r="J55" t="inlineStr">
        <is>
          <t>1.4</t>
        </is>
      </c>
    </row>
    <row r="56">
      <c r="A56" t="inlineStr">
        <is>
          <t>TECH_000049</t>
        </is>
      </c>
      <c r="C56" t="inlineStr">
        <is>
          <t>RENAULT_4_EVOLUTION_COMFORT</t>
        </is>
      </c>
      <c r="D56" t="inlineStr">
        <is>
          <t>Torque</t>
        </is>
      </c>
      <c r="E56" t="n">
        <v>245</v>
      </c>
      <c r="F56" t="inlineStr">
        <is>
          <t>NM</t>
        </is>
      </c>
      <c r="G56" t="inlineStr">
        <is>
          <t>SRC_RENAULT_NO_R4_PRICELIST</t>
        </is>
      </c>
      <c r="H56" t="inlineStr">
        <is>
          <t>MEDIUM</t>
        </is>
      </c>
      <c r="I56" t="inlineStr">
        <is>
          <t>2026-07-06</t>
        </is>
      </c>
      <c r="J56" t="inlineStr">
        <is>
          <t>1.4</t>
        </is>
      </c>
    </row>
    <row r="57">
      <c r="A57" t="inlineStr">
        <is>
          <t>TECH_000050</t>
        </is>
      </c>
      <c r="C57" t="inlineStr">
        <is>
          <t>RENAULT_4_EVOLUTION_COMFORT</t>
        </is>
      </c>
      <c r="D57" t="inlineStr">
        <is>
          <t>Kerb weight</t>
        </is>
      </c>
      <c r="E57" t="n">
        <v>1544</v>
      </c>
      <c r="F57" t="inlineStr">
        <is>
          <t>KG</t>
        </is>
      </c>
      <c r="G57" t="inlineStr">
        <is>
          <t>SRC_RENAULT_NO_R4_PRICELIST</t>
        </is>
      </c>
      <c r="H57" t="inlineStr">
        <is>
          <t>MEDIUM</t>
        </is>
      </c>
      <c r="I57" t="inlineStr">
        <is>
          <t>2026-07-06</t>
        </is>
      </c>
      <c r="J57" t="inlineStr">
        <is>
          <t>1.4</t>
        </is>
      </c>
    </row>
    <row r="58">
      <c r="A58" t="inlineStr">
        <is>
          <t>TECH_000051</t>
        </is>
      </c>
      <c r="C58" t="inlineStr">
        <is>
          <t>RENAULT_4_TECHNO</t>
        </is>
      </c>
      <c r="D58" t="inlineStr">
        <is>
          <t>WLTP range</t>
        </is>
      </c>
      <c r="E58" t="n">
        <v>398</v>
      </c>
      <c r="F58" t="inlineStr">
        <is>
          <t>KM</t>
        </is>
      </c>
      <c r="G58" t="inlineStr">
        <is>
          <t>SRC_RENAULT_NO_R4_PRICELIST</t>
        </is>
      </c>
      <c r="H58" t="inlineStr">
        <is>
          <t>MEDIUM</t>
        </is>
      </c>
      <c r="I58" t="inlineStr">
        <is>
          <t>2026-07-06</t>
        </is>
      </c>
      <c r="J58" t="inlineStr">
        <is>
          <t>1.4</t>
        </is>
      </c>
    </row>
    <row r="59">
      <c r="A59" t="inlineStr">
        <is>
          <t>TECH_000052</t>
        </is>
      </c>
      <c r="C59" t="inlineStr">
        <is>
          <t>RENAULT_4_TECHNO</t>
        </is>
      </c>
      <c r="D59" t="inlineStr">
        <is>
          <t>WLTP consumption</t>
        </is>
      </c>
      <c r="E59" t="n">
        <v>15.5</v>
      </c>
      <c r="F59" t="inlineStr">
        <is>
          <t>KWH_100KM</t>
        </is>
      </c>
      <c r="G59" t="inlineStr">
        <is>
          <t>SRC_RENAULT_NO_R4_PRICELIST</t>
        </is>
      </c>
      <c r="H59" t="inlineStr">
        <is>
          <t>MEDIUM</t>
        </is>
      </c>
      <c r="I59" t="inlineStr">
        <is>
          <t>2026-07-06</t>
        </is>
      </c>
      <c r="J59" t="inlineStr">
        <is>
          <t>1.4</t>
        </is>
      </c>
    </row>
    <row r="60">
      <c r="A60" t="inlineStr">
        <is>
          <t>TECH_000053</t>
        </is>
      </c>
      <c r="C60" t="inlineStr">
        <is>
          <t>RENAULT_4_TECHNO</t>
        </is>
      </c>
      <c r="D60" t="inlineStr">
        <is>
          <t>DC max charging</t>
        </is>
      </c>
      <c r="E60" t="n">
        <v>100</v>
      </c>
      <c r="F60" t="inlineStr">
        <is>
          <t>KW</t>
        </is>
      </c>
      <c r="G60" t="inlineStr">
        <is>
          <t>SRC_RENAULT_NO_R4_PRICELIST</t>
        </is>
      </c>
      <c r="H60" t="inlineStr">
        <is>
          <t>MEDIUM</t>
        </is>
      </c>
      <c r="I60" t="inlineStr">
        <is>
          <t>2026-07-06</t>
        </is>
      </c>
      <c r="J60" t="inlineStr">
        <is>
          <t>1.4</t>
        </is>
      </c>
    </row>
    <row r="61">
      <c r="A61" t="inlineStr">
        <is>
          <t>TECH_000054</t>
        </is>
      </c>
      <c r="C61" t="inlineStr">
        <is>
          <t>RENAULT_4_TECHNO</t>
        </is>
      </c>
      <c r="D61" t="inlineStr">
        <is>
          <t>AC max charging</t>
        </is>
      </c>
      <c r="E61" t="n">
        <v>11</v>
      </c>
      <c r="F61" t="inlineStr">
        <is>
          <t>KW</t>
        </is>
      </c>
      <c r="G61" t="inlineStr">
        <is>
          <t>SRC_RENAULT_NO_R4_PRICELIST</t>
        </is>
      </c>
      <c r="H61" t="inlineStr">
        <is>
          <t>MEDIUM</t>
        </is>
      </c>
      <c r="I61" t="inlineStr">
        <is>
          <t>2026-07-06</t>
        </is>
      </c>
      <c r="J61" t="inlineStr">
        <is>
          <t>1.4</t>
        </is>
      </c>
    </row>
    <row r="62">
      <c r="A62" t="inlineStr">
        <is>
          <t>TECH_000055</t>
        </is>
      </c>
      <c r="C62" t="inlineStr">
        <is>
          <t>RENAULT_4_TECHNO</t>
        </is>
      </c>
      <c r="D62" t="inlineStr">
        <is>
          <t>Battery net</t>
        </is>
      </c>
      <c r="E62" t="n">
        <v>52</v>
      </c>
      <c r="F62" t="inlineStr">
        <is>
          <t>KWH</t>
        </is>
      </c>
      <c r="G62" t="inlineStr">
        <is>
          <t>SRC_RENAULT_NO_R4_PRICELIST</t>
        </is>
      </c>
      <c r="H62" t="inlineStr">
        <is>
          <t>MEDIUM</t>
        </is>
      </c>
      <c r="I62" t="inlineStr">
        <is>
          <t>2026-07-06</t>
        </is>
      </c>
      <c r="J62" t="inlineStr">
        <is>
          <t>1.4</t>
        </is>
      </c>
    </row>
    <row r="63">
      <c r="A63" t="inlineStr">
        <is>
          <t>TECH_000056</t>
        </is>
      </c>
      <c r="C63" t="inlineStr">
        <is>
          <t>RENAULT_4_TECHNO</t>
        </is>
      </c>
      <c r="D63" t="inlineStr">
        <is>
          <t>Torque</t>
        </is>
      </c>
      <c r="E63" t="n">
        <v>245</v>
      </c>
      <c r="F63" t="inlineStr">
        <is>
          <t>NM</t>
        </is>
      </c>
      <c r="G63" t="inlineStr">
        <is>
          <t>SRC_RENAULT_NO_R4_PRICELIST</t>
        </is>
      </c>
      <c r="H63" t="inlineStr">
        <is>
          <t>MEDIUM</t>
        </is>
      </c>
      <c r="I63" t="inlineStr">
        <is>
          <t>2026-07-06</t>
        </is>
      </c>
      <c r="J63" t="inlineStr">
        <is>
          <t>1.4</t>
        </is>
      </c>
    </row>
    <row r="64">
      <c r="A64" t="inlineStr">
        <is>
          <t>TECH_000057</t>
        </is>
      </c>
      <c r="C64" t="inlineStr">
        <is>
          <t>RENAULT_4_TECHNO</t>
        </is>
      </c>
      <c r="D64" t="inlineStr">
        <is>
          <t>Kerb weight</t>
        </is>
      </c>
      <c r="E64" t="n">
        <v>1568</v>
      </c>
      <c r="F64" t="inlineStr">
        <is>
          <t>KG</t>
        </is>
      </c>
      <c r="G64" t="inlineStr">
        <is>
          <t>SRC_RENAULT_NO_R4_PRICELIST</t>
        </is>
      </c>
      <c r="H64" t="inlineStr">
        <is>
          <t>MEDIUM</t>
        </is>
      </c>
      <c r="I64" t="inlineStr">
        <is>
          <t>2026-07-06</t>
        </is>
      </c>
      <c r="J64" t="inlineStr">
        <is>
          <t>1.4</t>
        </is>
      </c>
    </row>
    <row r="65">
      <c r="A65" t="inlineStr">
        <is>
          <t>TECH_000058</t>
        </is>
      </c>
      <c r="C65" t="inlineStr">
        <is>
          <t>RENAULT_4_TECHNO_PLEIN_SUD</t>
        </is>
      </c>
      <c r="D65" t="inlineStr">
        <is>
          <t>WLTP range</t>
        </is>
      </c>
      <c r="E65" t="n">
        <v>394</v>
      </c>
      <c r="F65" t="inlineStr">
        <is>
          <t>KM</t>
        </is>
      </c>
      <c r="G65" t="inlineStr">
        <is>
          <t>SRC_RENAULT_NO_R4_PRICELIST</t>
        </is>
      </c>
      <c r="H65" t="inlineStr">
        <is>
          <t>MEDIUM</t>
        </is>
      </c>
      <c r="I65" t="inlineStr">
        <is>
          <t>2026-07-06</t>
        </is>
      </c>
      <c r="J65" t="inlineStr">
        <is>
          <t>1.4</t>
        </is>
      </c>
    </row>
    <row r="66">
      <c r="A66" t="inlineStr">
        <is>
          <t>TECH_000059</t>
        </is>
      </c>
      <c r="C66" t="inlineStr">
        <is>
          <t>RENAULT_4_TECHNO_PLEIN_SUD</t>
        </is>
      </c>
      <c r="D66" t="inlineStr">
        <is>
          <t>WLTP consumption</t>
        </is>
      </c>
      <c r="E66" t="n">
        <v>15.7</v>
      </c>
      <c r="F66" t="inlineStr">
        <is>
          <t>KWH_100KM</t>
        </is>
      </c>
      <c r="G66" t="inlineStr">
        <is>
          <t>SRC_RENAULT_NO_R4_PRICELIST</t>
        </is>
      </c>
      <c r="H66" t="inlineStr">
        <is>
          <t>MEDIUM</t>
        </is>
      </c>
      <c r="I66" t="inlineStr">
        <is>
          <t>2026-07-06</t>
        </is>
      </c>
      <c r="J66" t="inlineStr">
        <is>
          <t>1.4</t>
        </is>
      </c>
    </row>
    <row r="67">
      <c r="A67" t="inlineStr">
        <is>
          <t>TECH_000060</t>
        </is>
      </c>
      <c r="C67" t="inlineStr">
        <is>
          <t>RENAULT_4_TECHNO_PLEIN_SUD</t>
        </is>
      </c>
      <c r="D67" t="inlineStr">
        <is>
          <t>DC max charging</t>
        </is>
      </c>
      <c r="E67" t="n">
        <v>100</v>
      </c>
      <c r="F67" t="inlineStr">
        <is>
          <t>KW</t>
        </is>
      </c>
      <c r="G67" t="inlineStr">
        <is>
          <t>SRC_RENAULT_NO_R4_PRICELIST</t>
        </is>
      </c>
      <c r="H67" t="inlineStr">
        <is>
          <t>MEDIUM</t>
        </is>
      </c>
      <c r="I67" t="inlineStr">
        <is>
          <t>2026-07-06</t>
        </is>
      </c>
      <c r="J67" t="inlineStr">
        <is>
          <t>1.4</t>
        </is>
      </c>
    </row>
    <row r="68">
      <c r="A68" t="inlineStr">
        <is>
          <t>TECH_000061</t>
        </is>
      </c>
      <c r="C68" t="inlineStr">
        <is>
          <t>RENAULT_4_TECHNO_PLEIN_SUD</t>
        </is>
      </c>
      <c r="D68" t="inlineStr">
        <is>
          <t>AC max charging</t>
        </is>
      </c>
      <c r="E68" t="n">
        <v>11</v>
      </c>
      <c r="F68" t="inlineStr">
        <is>
          <t>KW</t>
        </is>
      </c>
      <c r="G68" t="inlineStr">
        <is>
          <t>SRC_RENAULT_NO_R4_PRICELIST</t>
        </is>
      </c>
      <c r="H68" t="inlineStr">
        <is>
          <t>MEDIUM</t>
        </is>
      </c>
      <c r="I68" t="inlineStr">
        <is>
          <t>2026-07-06</t>
        </is>
      </c>
      <c r="J68" t="inlineStr">
        <is>
          <t>1.4</t>
        </is>
      </c>
    </row>
    <row r="69">
      <c r="A69" t="inlineStr">
        <is>
          <t>TECH_000062</t>
        </is>
      </c>
      <c r="C69" t="inlineStr">
        <is>
          <t>RENAULT_4_TECHNO_PLEIN_SUD</t>
        </is>
      </c>
      <c r="D69" t="inlineStr">
        <is>
          <t>Battery net</t>
        </is>
      </c>
      <c r="E69" t="n">
        <v>52</v>
      </c>
      <c r="F69" t="inlineStr">
        <is>
          <t>KWH</t>
        </is>
      </c>
      <c r="G69" t="inlineStr">
        <is>
          <t>SRC_RENAULT_NO_R4_PRICELIST</t>
        </is>
      </c>
      <c r="H69" t="inlineStr">
        <is>
          <t>MEDIUM</t>
        </is>
      </c>
      <c r="I69" t="inlineStr">
        <is>
          <t>2026-07-06</t>
        </is>
      </c>
      <c r="J69" t="inlineStr">
        <is>
          <t>1.4</t>
        </is>
      </c>
    </row>
    <row r="70">
      <c r="A70" t="inlineStr">
        <is>
          <t>TECH_000063</t>
        </is>
      </c>
      <c r="C70" t="inlineStr">
        <is>
          <t>RENAULT_4_TECHNO_PLEIN_SUD</t>
        </is>
      </c>
      <c r="D70" t="inlineStr">
        <is>
          <t>Torque</t>
        </is>
      </c>
      <c r="E70" t="n">
        <v>245</v>
      </c>
      <c r="F70" t="inlineStr">
        <is>
          <t>NM</t>
        </is>
      </c>
      <c r="G70" t="inlineStr">
        <is>
          <t>SRC_RENAULT_NO_R4_PRICELIST</t>
        </is>
      </c>
      <c r="H70" t="inlineStr">
        <is>
          <t>MEDIUM</t>
        </is>
      </c>
      <c r="I70" t="inlineStr">
        <is>
          <t>2026-07-06</t>
        </is>
      </c>
      <c r="J70" t="inlineStr">
        <is>
          <t>1.4</t>
        </is>
      </c>
    </row>
    <row r="71">
      <c r="A71" t="inlineStr">
        <is>
          <t>TECH_000064</t>
        </is>
      </c>
      <c r="C71" t="inlineStr">
        <is>
          <t>RENAULT_4_ICONIC</t>
        </is>
      </c>
      <c r="D71" t="inlineStr">
        <is>
          <t>WLTP range</t>
        </is>
      </c>
      <c r="E71" t="n">
        <v>396</v>
      </c>
      <c r="F71" t="inlineStr">
        <is>
          <t>KM</t>
        </is>
      </c>
      <c r="G71" t="inlineStr">
        <is>
          <t>SRC_RENAULT_NO_R4_PRICELIST</t>
        </is>
      </c>
      <c r="H71" t="inlineStr">
        <is>
          <t>MEDIUM</t>
        </is>
      </c>
      <c r="I71" t="inlineStr">
        <is>
          <t>2026-07-06</t>
        </is>
      </c>
      <c r="J71" t="inlineStr">
        <is>
          <t>1.4</t>
        </is>
      </c>
    </row>
    <row r="72">
      <c r="A72" t="inlineStr">
        <is>
          <t>TECH_000065</t>
        </is>
      </c>
      <c r="C72" t="inlineStr">
        <is>
          <t>RENAULT_4_ICONIC</t>
        </is>
      </c>
      <c r="D72" t="inlineStr">
        <is>
          <t>WLTP consumption</t>
        </is>
      </c>
      <c r="E72" t="n">
        <v>15.6</v>
      </c>
      <c r="F72" t="inlineStr">
        <is>
          <t>KWH_100KM</t>
        </is>
      </c>
      <c r="G72" t="inlineStr">
        <is>
          <t>SRC_RENAULT_NO_R4_PRICELIST</t>
        </is>
      </c>
      <c r="H72" t="inlineStr">
        <is>
          <t>MEDIUM</t>
        </is>
      </c>
      <c r="I72" t="inlineStr">
        <is>
          <t>2026-07-06</t>
        </is>
      </c>
      <c r="J72" t="inlineStr">
        <is>
          <t>1.4</t>
        </is>
      </c>
    </row>
    <row r="73">
      <c r="A73" t="inlineStr">
        <is>
          <t>TECH_000066</t>
        </is>
      </c>
      <c r="C73" t="inlineStr">
        <is>
          <t>RENAULT_4_ICONIC</t>
        </is>
      </c>
      <c r="D73" t="inlineStr">
        <is>
          <t>DC max charging</t>
        </is>
      </c>
      <c r="E73" t="n">
        <v>100</v>
      </c>
      <c r="F73" t="inlineStr">
        <is>
          <t>KW</t>
        </is>
      </c>
      <c r="G73" t="inlineStr">
        <is>
          <t>SRC_RENAULT_NO_R4_PRICELIST</t>
        </is>
      </c>
      <c r="H73" t="inlineStr">
        <is>
          <t>MEDIUM</t>
        </is>
      </c>
      <c r="I73" t="inlineStr">
        <is>
          <t>2026-07-06</t>
        </is>
      </c>
      <c r="J73" t="inlineStr">
        <is>
          <t>1.4</t>
        </is>
      </c>
    </row>
    <row r="74">
      <c r="A74" t="inlineStr">
        <is>
          <t>TECH_000067</t>
        </is>
      </c>
      <c r="C74" t="inlineStr">
        <is>
          <t>RENAULT_4_ICONIC</t>
        </is>
      </c>
      <c r="D74" t="inlineStr">
        <is>
          <t>AC max charging</t>
        </is>
      </c>
      <c r="E74" t="n">
        <v>11</v>
      </c>
      <c r="F74" t="inlineStr">
        <is>
          <t>KW</t>
        </is>
      </c>
      <c r="G74" t="inlineStr">
        <is>
          <t>SRC_RENAULT_NO_R4_PRICELIST</t>
        </is>
      </c>
      <c r="H74" t="inlineStr">
        <is>
          <t>MEDIUM</t>
        </is>
      </c>
      <c r="I74" t="inlineStr">
        <is>
          <t>2026-07-06</t>
        </is>
      </c>
      <c r="J74" t="inlineStr">
        <is>
          <t>1.4</t>
        </is>
      </c>
    </row>
    <row r="75">
      <c r="A75" t="inlineStr">
        <is>
          <t>TECH_000068</t>
        </is>
      </c>
      <c r="C75" t="inlineStr">
        <is>
          <t>RENAULT_4_ICONIC</t>
        </is>
      </c>
      <c r="D75" t="inlineStr">
        <is>
          <t>Battery net</t>
        </is>
      </c>
      <c r="E75" t="n">
        <v>52</v>
      </c>
      <c r="F75" t="inlineStr">
        <is>
          <t>KWH</t>
        </is>
      </c>
      <c r="G75" t="inlineStr">
        <is>
          <t>SRC_RENAULT_NO_R4_PRICELIST</t>
        </is>
      </c>
      <c r="H75" t="inlineStr">
        <is>
          <t>MEDIUM</t>
        </is>
      </c>
      <c r="I75" t="inlineStr">
        <is>
          <t>2026-07-06</t>
        </is>
      </c>
      <c r="J75" t="inlineStr">
        <is>
          <t>1.4</t>
        </is>
      </c>
    </row>
    <row r="76">
      <c r="A76" t="inlineStr">
        <is>
          <t>TECH_000069</t>
        </is>
      </c>
      <c r="C76" t="inlineStr">
        <is>
          <t>RENAULT_4_ICONIC</t>
        </is>
      </c>
      <c r="D76" t="inlineStr">
        <is>
          <t>Torque</t>
        </is>
      </c>
      <c r="E76" t="n">
        <v>245</v>
      </c>
      <c r="F76" t="inlineStr">
        <is>
          <t>NM</t>
        </is>
      </c>
      <c r="G76" t="inlineStr">
        <is>
          <t>SRC_RENAULT_NO_R4_PRICELIST</t>
        </is>
      </c>
      <c r="H76" t="inlineStr">
        <is>
          <t>MEDIUM</t>
        </is>
      </c>
      <c r="I76" t="inlineStr">
        <is>
          <t>2026-07-06</t>
        </is>
      </c>
      <c r="J76" t="inlineStr">
        <is>
          <t>1.4</t>
        </is>
      </c>
    </row>
    <row r="77">
      <c r="A77" t="inlineStr">
        <is>
          <t>TECH_000070</t>
        </is>
      </c>
      <c r="C77" t="inlineStr">
        <is>
          <t>RENAULT_4_ICONIC</t>
        </is>
      </c>
      <c r="D77" t="inlineStr">
        <is>
          <t>Kerb weight</t>
        </is>
      </c>
      <c r="E77" t="n">
        <v>1574</v>
      </c>
      <c r="F77" t="inlineStr">
        <is>
          <t>KG</t>
        </is>
      </c>
      <c r="G77" t="inlineStr">
        <is>
          <t>SRC_RENAULT_NO_R4_PRICELIST</t>
        </is>
      </c>
      <c r="H77" t="inlineStr">
        <is>
          <t>MEDIUM</t>
        </is>
      </c>
      <c r="I77" t="inlineStr">
        <is>
          <t>2026-07-06</t>
        </is>
      </c>
      <c r="J77" t="inlineStr">
        <is>
          <t>1.4</t>
        </is>
      </c>
    </row>
    <row r="78">
      <c r="A78" t="inlineStr">
        <is>
          <t>TECH_000071</t>
        </is>
      </c>
      <c r="C78" t="inlineStr">
        <is>
          <t>RENAULT_4_ICONIC_PLEIN_SUD</t>
        </is>
      </c>
      <c r="D78" t="inlineStr">
        <is>
          <t>WLTP range</t>
        </is>
      </c>
      <c r="E78" t="n">
        <v>392</v>
      </c>
      <c r="F78" t="inlineStr">
        <is>
          <t>KM</t>
        </is>
      </c>
      <c r="G78" t="inlineStr">
        <is>
          <t>SRC_RENAULT_NO_R4_PRICELIST</t>
        </is>
      </c>
      <c r="H78" t="inlineStr">
        <is>
          <t>MEDIUM</t>
        </is>
      </c>
      <c r="I78" t="inlineStr">
        <is>
          <t>2026-07-06</t>
        </is>
      </c>
      <c r="J78" t="inlineStr">
        <is>
          <t>1.4</t>
        </is>
      </c>
    </row>
    <row r="79">
      <c r="A79" t="inlineStr">
        <is>
          <t>TECH_000072</t>
        </is>
      </c>
      <c r="C79" t="inlineStr">
        <is>
          <t>RENAULT_4_ICONIC_PLEIN_SUD</t>
        </is>
      </c>
      <c r="D79" t="inlineStr">
        <is>
          <t>WLTP consumption</t>
        </is>
      </c>
      <c r="E79" t="n">
        <v>15.8</v>
      </c>
      <c r="F79" t="inlineStr">
        <is>
          <t>KWH_100KM</t>
        </is>
      </c>
      <c r="G79" t="inlineStr">
        <is>
          <t>SRC_RENAULT_NO_R4_PRICELIST</t>
        </is>
      </c>
      <c r="H79" t="inlineStr">
        <is>
          <t>MEDIUM</t>
        </is>
      </c>
      <c r="I79" t="inlineStr">
        <is>
          <t>2026-07-06</t>
        </is>
      </c>
      <c r="J79" t="inlineStr">
        <is>
          <t>1.4</t>
        </is>
      </c>
    </row>
    <row r="80">
      <c r="A80" t="inlineStr">
        <is>
          <t>TECH_000073</t>
        </is>
      </c>
      <c r="C80" t="inlineStr">
        <is>
          <t>RENAULT_4_ICONIC_PLEIN_SUD</t>
        </is>
      </c>
      <c r="D80" t="inlineStr">
        <is>
          <t>DC max charging</t>
        </is>
      </c>
      <c r="E80" t="n">
        <v>100</v>
      </c>
      <c r="F80" t="inlineStr">
        <is>
          <t>KW</t>
        </is>
      </c>
      <c r="G80" t="inlineStr">
        <is>
          <t>SRC_RENAULT_NO_R4_PRICELIST</t>
        </is>
      </c>
      <c r="H80" t="inlineStr">
        <is>
          <t>MEDIUM</t>
        </is>
      </c>
      <c r="I80" t="inlineStr">
        <is>
          <t>2026-07-06</t>
        </is>
      </c>
      <c r="J80" t="inlineStr">
        <is>
          <t>1.4</t>
        </is>
      </c>
    </row>
    <row r="81">
      <c r="A81" t="inlineStr">
        <is>
          <t>TECH_000074</t>
        </is>
      </c>
      <c r="C81" t="inlineStr">
        <is>
          <t>RENAULT_4_ICONIC_PLEIN_SUD</t>
        </is>
      </c>
      <c r="D81" t="inlineStr">
        <is>
          <t>AC max charging</t>
        </is>
      </c>
      <c r="E81" t="n">
        <v>11</v>
      </c>
      <c r="F81" t="inlineStr">
        <is>
          <t>KW</t>
        </is>
      </c>
      <c r="G81" t="inlineStr">
        <is>
          <t>SRC_RENAULT_NO_R4_PRICELIST</t>
        </is>
      </c>
      <c r="H81" t="inlineStr">
        <is>
          <t>MEDIUM</t>
        </is>
      </c>
      <c r="I81" t="inlineStr">
        <is>
          <t>2026-07-06</t>
        </is>
      </c>
      <c r="J81" t="inlineStr">
        <is>
          <t>1.4</t>
        </is>
      </c>
    </row>
    <row r="82">
      <c r="A82" t="inlineStr">
        <is>
          <t>TECH_000075</t>
        </is>
      </c>
      <c r="C82" t="inlineStr">
        <is>
          <t>RENAULT_4_ICONIC_PLEIN_SUD</t>
        </is>
      </c>
      <c r="D82" t="inlineStr">
        <is>
          <t>Battery net</t>
        </is>
      </c>
      <c r="E82" t="n">
        <v>52</v>
      </c>
      <c r="F82" t="inlineStr">
        <is>
          <t>KWH</t>
        </is>
      </c>
      <c r="G82" t="inlineStr">
        <is>
          <t>SRC_RENAULT_NO_R4_PRICELIST</t>
        </is>
      </c>
      <c r="H82" t="inlineStr">
        <is>
          <t>MEDIUM</t>
        </is>
      </c>
      <c r="I82" t="inlineStr">
        <is>
          <t>2026-07-06</t>
        </is>
      </c>
      <c r="J82" t="inlineStr">
        <is>
          <t>1.4</t>
        </is>
      </c>
    </row>
    <row r="83">
      <c r="A83" t="inlineStr">
        <is>
          <t>TECH_000076</t>
        </is>
      </c>
      <c r="C83" t="inlineStr">
        <is>
          <t>RENAULT_4_ICONIC_PLEIN_SUD</t>
        </is>
      </c>
      <c r="D83" t="inlineStr">
        <is>
          <t>Torque</t>
        </is>
      </c>
      <c r="E83" t="n">
        <v>245</v>
      </c>
      <c r="F83" t="inlineStr">
        <is>
          <t>NM</t>
        </is>
      </c>
      <c r="G83" t="inlineStr">
        <is>
          <t>SRC_RENAULT_NO_R4_PRICELIST</t>
        </is>
      </c>
      <c r="H83" t="inlineStr">
        <is>
          <t>MEDIUM</t>
        </is>
      </c>
      <c r="I83" t="inlineStr">
        <is>
          <t>2026-07-06</t>
        </is>
      </c>
      <c r="J83" t="inlineStr">
        <is>
          <t>1.4</t>
        </is>
      </c>
    </row>
    <row r="84">
      <c r="A84" t="inlineStr">
        <is>
          <t>TECH_000077</t>
        </is>
      </c>
      <c r="B84" t="inlineStr">
        <is>
          <t>SKODA_ELROQ</t>
        </is>
      </c>
      <c r="D84" t="inlineStr">
        <is>
          <t>Length</t>
        </is>
      </c>
      <c r="E84" t="n">
        <v>4488</v>
      </c>
      <c r="F84" t="inlineStr">
        <is>
          <t>MM</t>
        </is>
      </c>
      <c r="G84" t="inlineStr">
        <is>
          <t>SRC_SKODA_GLOBAL_TECHDATA</t>
        </is>
      </c>
      <c r="H84" t="inlineStr">
        <is>
          <t>MEDIUM</t>
        </is>
      </c>
      <c r="I84" t="inlineStr">
        <is>
          <t>2026-07-06</t>
        </is>
      </c>
      <c r="J84" t="inlineStr">
        <is>
          <t>1.4</t>
        </is>
      </c>
    </row>
    <row r="85">
      <c r="A85" t="inlineStr">
        <is>
          <t>TECH_000078</t>
        </is>
      </c>
      <c r="B85" t="inlineStr">
        <is>
          <t>SKODA_ELROQ</t>
        </is>
      </c>
      <c r="D85" t="inlineStr">
        <is>
          <t>Width</t>
        </is>
      </c>
      <c r="E85" t="n">
        <v>1884</v>
      </c>
      <c r="F85" t="inlineStr">
        <is>
          <t>MM</t>
        </is>
      </c>
      <c r="G85" t="inlineStr">
        <is>
          <t>SRC_SKODA_GLOBAL_TECHDATA</t>
        </is>
      </c>
      <c r="H85" t="inlineStr">
        <is>
          <t>MEDIUM</t>
        </is>
      </c>
      <c r="I85" t="inlineStr">
        <is>
          <t>2026-07-06</t>
        </is>
      </c>
      <c r="J85" t="inlineStr">
        <is>
          <t>1.4</t>
        </is>
      </c>
    </row>
    <row r="86">
      <c r="A86" t="inlineStr">
        <is>
          <t>TECH_000079</t>
        </is>
      </c>
      <c r="B86" t="inlineStr">
        <is>
          <t>SKODA_ELROQ</t>
        </is>
      </c>
      <c r="D86" t="inlineStr">
        <is>
          <t>Boot volume</t>
        </is>
      </c>
      <c r="E86" t="n">
        <v>470</v>
      </c>
      <c r="F86" t="inlineStr">
        <is>
          <t>L</t>
        </is>
      </c>
      <c r="G86" t="inlineStr">
        <is>
          <t>SRC_SKODA_GLOBAL_TECHDATA</t>
        </is>
      </c>
      <c r="H86" t="inlineStr">
        <is>
          <t>MEDIUM</t>
        </is>
      </c>
      <c r="I86" t="inlineStr">
        <is>
          <t>2026-07-06</t>
        </is>
      </c>
      <c r="J86" t="inlineStr">
        <is>
          <t>1.4</t>
        </is>
      </c>
    </row>
    <row r="87">
      <c r="A87" t="inlineStr">
        <is>
          <t>TECH_000080</t>
        </is>
      </c>
      <c r="C87" t="inlineStr">
        <is>
          <t>SKODA_ELROQ_ESSENCE_60</t>
        </is>
      </c>
      <c r="D87" t="inlineStr">
        <is>
          <t>WLTP range</t>
        </is>
      </c>
      <c r="E87" t="n">
        <v>453</v>
      </c>
      <c r="F87" t="inlineStr">
        <is>
          <t>KM</t>
        </is>
      </c>
      <c r="G87" t="inlineStr">
        <is>
          <t>SRC_SKODA_NO_ELROQ_PRICELIST</t>
        </is>
      </c>
      <c r="H87" t="inlineStr">
        <is>
          <t>MEDIUM</t>
        </is>
      </c>
      <c r="I87" t="inlineStr">
        <is>
          <t>2026-07-06</t>
        </is>
      </c>
      <c r="J87" t="inlineStr">
        <is>
          <t>1.4</t>
        </is>
      </c>
    </row>
    <row r="88">
      <c r="A88" t="inlineStr">
        <is>
          <t>TECH_000081</t>
        </is>
      </c>
      <c r="C88" t="inlineStr">
        <is>
          <t>SKODA_ELROQ_ESSENCE_60</t>
        </is>
      </c>
      <c r="D88" t="inlineStr">
        <is>
          <t>WLTP consumption</t>
        </is>
      </c>
      <c r="E88" t="n">
        <v>15.1</v>
      </c>
      <c r="F88" t="inlineStr">
        <is>
          <t>KWH_100KM</t>
        </is>
      </c>
      <c r="G88" t="inlineStr">
        <is>
          <t>SRC_SKODA_NO_ELROQ_PRICELIST</t>
        </is>
      </c>
      <c r="H88" t="inlineStr">
        <is>
          <t>MEDIUM</t>
        </is>
      </c>
      <c r="I88" t="inlineStr">
        <is>
          <t>2026-07-06</t>
        </is>
      </c>
      <c r="J88" t="inlineStr">
        <is>
          <t>1.4</t>
        </is>
      </c>
    </row>
    <row r="89">
      <c r="A89" t="inlineStr">
        <is>
          <t>TECH_000082</t>
        </is>
      </c>
      <c r="C89" t="inlineStr">
        <is>
          <t>SKODA_ELROQ_ESSENCE_60</t>
        </is>
      </c>
      <c r="D89" t="inlineStr">
        <is>
          <t>DC max charging</t>
        </is>
      </c>
      <c r="E89" t="n">
        <v>105</v>
      </c>
      <c r="F89" t="inlineStr">
        <is>
          <t>KW</t>
        </is>
      </c>
      <c r="G89" t="inlineStr">
        <is>
          <t>SRC_SKODA_NO_ELROQ_PRICELIST</t>
        </is>
      </c>
      <c r="H89" t="inlineStr">
        <is>
          <t>MEDIUM</t>
        </is>
      </c>
      <c r="I89" t="inlineStr">
        <is>
          <t>2026-07-06</t>
        </is>
      </c>
      <c r="J89" t="inlineStr">
        <is>
          <t>1.4</t>
        </is>
      </c>
    </row>
    <row r="90">
      <c r="A90" t="inlineStr">
        <is>
          <t>TECH_000083</t>
        </is>
      </c>
      <c r="C90" t="inlineStr">
        <is>
          <t>SKODA_ELROQ_ESSENCE_60</t>
        </is>
      </c>
      <c r="D90" t="inlineStr">
        <is>
          <t>Motor power</t>
        </is>
      </c>
      <c r="E90" t="n">
        <v>140</v>
      </c>
      <c r="F90" t="inlineStr">
        <is>
          <t>KW</t>
        </is>
      </c>
      <c r="G90" t="inlineStr">
        <is>
          <t>SRC_SKODA_NO_ELROQ_PRICELIST</t>
        </is>
      </c>
      <c r="H90" t="inlineStr">
        <is>
          <t>MEDIUM</t>
        </is>
      </c>
      <c r="I90" t="inlineStr">
        <is>
          <t>2026-07-06</t>
        </is>
      </c>
      <c r="J90" t="inlineStr">
        <is>
          <t>1.4</t>
        </is>
      </c>
    </row>
    <row r="91">
      <c r="A91" t="inlineStr">
        <is>
          <t>TECH_000084</t>
        </is>
      </c>
      <c r="C91" t="inlineStr">
        <is>
          <t>SKODA_ELROQ_ESSENCE_60</t>
        </is>
      </c>
      <c r="D91" t="inlineStr">
        <is>
          <t>Battery net</t>
        </is>
      </c>
      <c r="E91" t="n">
        <v>58</v>
      </c>
      <c r="F91" t="inlineStr">
        <is>
          <t>KWH</t>
        </is>
      </c>
      <c r="G91" t="inlineStr">
        <is>
          <t>SRC_SKODA_NO_ELROQ_PRICELIST</t>
        </is>
      </c>
      <c r="H91" t="inlineStr">
        <is>
          <t>MEDIUM</t>
        </is>
      </c>
      <c r="I91" t="inlineStr">
        <is>
          <t>2026-07-06</t>
        </is>
      </c>
      <c r="J91" t="inlineStr">
        <is>
          <t>1.4</t>
        </is>
      </c>
    </row>
    <row r="92">
      <c r="A92" t="inlineStr">
        <is>
          <t>TECH_000085</t>
        </is>
      </c>
      <c r="C92" t="inlineStr">
        <is>
          <t>SKODA_ELROQ_ESSENCE_60</t>
        </is>
      </c>
      <c r="D92" t="inlineStr">
        <is>
          <t>Height</t>
        </is>
      </c>
      <c r="E92" t="n">
        <v>1625</v>
      </c>
      <c r="F92" t="inlineStr">
        <is>
          <t>MM</t>
        </is>
      </c>
      <c r="G92" t="inlineStr">
        <is>
          <t>SRC_SKODA_GLOBAL_TECHDATA</t>
        </is>
      </c>
      <c r="H92" t="inlineStr">
        <is>
          <t>MEDIUM</t>
        </is>
      </c>
      <c r="I92" t="inlineStr">
        <is>
          <t>2026-07-06</t>
        </is>
      </c>
      <c r="J92" t="inlineStr">
        <is>
          <t>1.4</t>
        </is>
      </c>
    </row>
    <row r="93">
      <c r="A93" t="inlineStr">
        <is>
          <t>TECH_000086</t>
        </is>
      </c>
      <c r="C93" t="inlineStr">
        <is>
          <t>SKODA_ELROQ_ESSENCE_60</t>
        </is>
      </c>
      <c r="D93" t="inlineStr">
        <is>
          <t>Ground clearance</t>
        </is>
      </c>
      <c r="E93" t="n">
        <v>186</v>
      </c>
      <c r="F93" t="inlineStr">
        <is>
          <t>MM</t>
        </is>
      </c>
      <c r="G93" t="inlineStr">
        <is>
          <t>SRC_SKODA_GLOBAL_TECHDATA</t>
        </is>
      </c>
      <c r="H93" t="inlineStr">
        <is>
          <t>MEDIUM</t>
        </is>
      </c>
      <c r="I93" t="inlineStr">
        <is>
          <t>2026-07-06</t>
        </is>
      </c>
      <c r="J93" t="inlineStr">
        <is>
          <t>1.4</t>
        </is>
      </c>
    </row>
    <row r="94">
      <c r="A94" t="inlineStr">
        <is>
          <t>TECH_000087</t>
        </is>
      </c>
      <c r="C94" t="inlineStr">
        <is>
          <t>SKODA_ELROQ_SELECTION_60</t>
        </is>
      </c>
      <c r="D94" t="inlineStr">
        <is>
          <t>WLTP range</t>
        </is>
      </c>
      <c r="E94" t="n">
        <v>448</v>
      </c>
      <c r="F94" t="inlineStr">
        <is>
          <t>KM</t>
        </is>
      </c>
      <c r="G94" t="inlineStr">
        <is>
          <t>SRC_SKODA_NO_ELROQ_PRICELIST</t>
        </is>
      </c>
      <c r="H94" t="inlineStr">
        <is>
          <t>MEDIUM</t>
        </is>
      </c>
      <c r="I94" t="inlineStr">
        <is>
          <t>2026-07-06</t>
        </is>
      </c>
      <c r="J94" t="inlineStr">
        <is>
          <t>1.4</t>
        </is>
      </c>
    </row>
    <row r="95">
      <c r="A95" t="inlineStr">
        <is>
          <t>TECH_000088</t>
        </is>
      </c>
      <c r="C95" t="inlineStr">
        <is>
          <t>SKODA_ELROQ_SELECTION_60</t>
        </is>
      </c>
      <c r="D95" t="inlineStr">
        <is>
          <t>WLTP consumption</t>
        </is>
      </c>
      <c r="E95" t="n">
        <v>15.3</v>
      </c>
      <c r="F95" t="inlineStr">
        <is>
          <t>KWH_100KM</t>
        </is>
      </c>
      <c r="G95" t="inlineStr">
        <is>
          <t>SRC_SKODA_NO_ELROQ_PRICELIST</t>
        </is>
      </c>
      <c r="H95" t="inlineStr">
        <is>
          <t>MEDIUM</t>
        </is>
      </c>
      <c r="I95" t="inlineStr">
        <is>
          <t>2026-07-06</t>
        </is>
      </c>
      <c r="J95" t="inlineStr">
        <is>
          <t>1.4</t>
        </is>
      </c>
    </row>
    <row r="96">
      <c r="A96" t="inlineStr">
        <is>
          <t>TECH_000089</t>
        </is>
      </c>
      <c r="C96" t="inlineStr">
        <is>
          <t>SKODA_ELROQ_SELECTION_60</t>
        </is>
      </c>
      <c r="D96" t="inlineStr">
        <is>
          <t>DC max charging</t>
        </is>
      </c>
      <c r="E96" t="n">
        <v>105</v>
      </c>
      <c r="F96" t="inlineStr">
        <is>
          <t>KW</t>
        </is>
      </c>
      <c r="G96" t="inlineStr">
        <is>
          <t>SRC_SKODA_NO_ELROQ_PRICELIST</t>
        </is>
      </c>
      <c r="H96" t="inlineStr">
        <is>
          <t>MEDIUM</t>
        </is>
      </c>
      <c r="I96" t="inlineStr">
        <is>
          <t>2026-07-06</t>
        </is>
      </c>
      <c r="J96" t="inlineStr">
        <is>
          <t>1.4</t>
        </is>
      </c>
    </row>
    <row r="97">
      <c r="A97" t="inlineStr">
        <is>
          <t>TECH_000090</t>
        </is>
      </c>
      <c r="C97" t="inlineStr">
        <is>
          <t>SKODA_ELROQ_SELECTION_60</t>
        </is>
      </c>
      <c r="D97" t="inlineStr">
        <is>
          <t>Motor power</t>
        </is>
      </c>
      <c r="E97" t="n">
        <v>140</v>
      </c>
      <c r="F97" t="inlineStr">
        <is>
          <t>KW</t>
        </is>
      </c>
      <c r="G97" t="inlineStr">
        <is>
          <t>SRC_SKODA_NO_ELROQ_PRICELIST</t>
        </is>
      </c>
      <c r="H97" t="inlineStr">
        <is>
          <t>MEDIUM</t>
        </is>
      </c>
      <c r="I97" t="inlineStr">
        <is>
          <t>2026-07-06</t>
        </is>
      </c>
      <c r="J97" t="inlineStr">
        <is>
          <t>1.4</t>
        </is>
      </c>
    </row>
    <row r="98">
      <c r="A98" t="inlineStr">
        <is>
          <t>TECH_000091</t>
        </is>
      </c>
      <c r="C98" t="inlineStr">
        <is>
          <t>SKODA_ELROQ_SELECTION_60</t>
        </is>
      </c>
      <c r="D98" t="inlineStr">
        <is>
          <t>Battery net</t>
        </is>
      </c>
      <c r="E98" t="n">
        <v>58</v>
      </c>
      <c r="F98" t="inlineStr">
        <is>
          <t>KWH</t>
        </is>
      </c>
      <c r="G98" t="inlineStr">
        <is>
          <t>SRC_SKODA_NO_ELROQ_PRICELIST</t>
        </is>
      </c>
      <c r="H98" t="inlineStr">
        <is>
          <t>MEDIUM</t>
        </is>
      </c>
      <c r="I98" t="inlineStr">
        <is>
          <t>2026-07-06</t>
        </is>
      </c>
      <c r="J98" t="inlineStr">
        <is>
          <t>1.4</t>
        </is>
      </c>
    </row>
    <row r="99">
      <c r="A99" t="inlineStr">
        <is>
          <t>TECH_000092</t>
        </is>
      </c>
      <c r="C99" t="inlineStr">
        <is>
          <t>SKODA_ELROQ_SELECTION_60</t>
        </is>
      </c>
      <c r="D99" t="inlineStr">
        <is>
          <t>Height</t>
        </is>
      </c>
      <c r="E99" t="n">
        <v>1625</v>
      </c>
      <c r="F99" t="inlineStr">
        <is>
          <t>MM</t>
        </is>
      </c>
      <c r="G99" t="inlineStr">
        <is>
          <t>SRC_SKODA_GLOBAL_TECHDATA</t>
        </is>
      </c>
      <c r="H99" t="inlineStr">
        <is>
          <t>MEDIUM</t>
        </is>
      </c>
      <c r="I99" t="inlineStr">
        <is>
          <t>2026-07-06</t>
        </is>
      </c>
      <c r="J99" t="inlineStr">
        <is>
          <t>1.4</t>
        </is>
      </c>
    </row>
    <row r="100">
      <c r="A100" t="inlineStr">
        <is>
          <t>TECH_000093</t>
        </is>
      </c>
      <c r="C100" t="inlineStr">
        <is>
          <t>SKODA_ELROQ_SELECTION_60</t>
        </is>
      </c>
      <c r="D100" t="inlineStr">
        <is>
          <t>Ground clearance</t>
        </is>
      </c>
      <c r="E100" t="n">
        <v>186</v>
      </c>
      <c r="F100" t="inlineStr">
        <is>
          <t>MM</t>
        </is>
      </c>
      <c r="G100" t="inlineStr">
        <is>
          <t>SRC_SKODA_GLOBAL_TECHDATA</t>
        </is>
      </c>
      <c r="H100" t="inlineStr">
        <is>
          <t>MEDIUM</t>
        </is>
      </c>
      <c r="I100" t="inlineStr">
        <is>
          <t>2026-07-06</t>
        </is>
      </c>
      <c r="J100" t="inlineStr">
        <is>
          <t>1.4</t>
        </is>
      </c>
    </row>
    <row r="101">
      <c r="A101" t="inlineStr">
        <is>
          <t>TECH_000094</t>
        </is>
      </c>
      <c r="C101" t="inlineStr">
        <is>
          <t>SKODA_ELROQ_SELECTION_85X</t>
        </is>
      </c>
      <c r="D101" t="inlineStr">
        <is>
          <t>WLTP range</t>
        </is>
      </c>
      <c r="E101" t="n">
        <v>571</v>
      </c>
      <c r="F101" t="inlineStr">
        <is>
          <t>KM</t>
        </is>
      </c>
      <c r="G101" t="inlineStr">
        <is>
          <t>SRC_SKODA_NO_ELROQ_PRICELIST</t>
        </is>
      </c>
      <c r="H101" t="inlineStr">
        <is>
          <t>MEDIUM</t>
        </is>
      </c>
      <c r="I101" t="inlineStr">
        <is>
          <t>2026-07-06</t>
        </is>
      </c>
      <c r="J101" t="inlineStr">
        <is>
          <t>1.4</t>
        </is>
      </c>
    </row>
    <row r="102">
      <c r="A102" t="inlineStr">
        <is>
          <t>TECH_000095</t>
        </is>
      </c>
      <c r="C102" t="inlineStr">
        <is>
          <t>SKODA_ELROQ_SELECTION_85X</t>
        </is>
      </c>
      <c r="D102" t="inlineStr">
        <is>
          <t>WLTP consumption</t>
        </is>
      </c>
      <c r="E102" t="n">
        <v>15.6</v>
      </c>
      <c r="F102" t="inlineStr">
        <is>
          <t>KWH_100KM</t>
        </is>
      </c>
      <c r="G102" t="inlineStr">
        <is>
          <t>SRC_SKODA_NO_ELROQ_PRICELIST</t>
        </is>
      </c>
      <c r="H102" t="inlineStr">
        <is>
          <t>MEDIUM</t>
        </is>
      </c>
      <c r="I102" t="inlineStr">
        <is>
          <t>2026-07-06</t>
        </is>
      </c>
      <c r="J102" t="inlineStr">
        <is>
          <t>1.4</t>
        </is>
      </c>
    </row>
    <row r="103">
      <c r="A103" t="inlineStr">
        <is>
          <t>TECH_000096</t>
        </is>
      </c>
      <c r="C103" t="inlineStr">
        <is>
          <t>SKODA_ELROQ_SELECTION_85X</t>
        </is>
      </c>
      <c r="D103" t="inlineStr">
        <is>
          <t>DC max charging</t>
        </is>
      </c>
      <c r="E103" t="n">
        <v>165</v>
      </c>
      <c r="F103" t="inlineStr">
        <is>
          <t>KW</t>
        </is>
      </c>
      <c r="G103" t="inlineStr">
        <is>
          <t>SRC_SKODA_NO_ELROQ_PRICELIST</t>
        </is>
      </c>
      <c r="H103" t="inlineStr">
        <is>
          <t>MEDIUM</t>
        </is>
      </c>
      <c r="I103" t="inlineStr">
        <is>
          <t>2026-07-06</t>
        </is>
      </c>
      <c r="J103" t="inlineStr">
        <is>
          <t>1.4</t>
        </is>
      </c>
    </row>
    <row r="104">
      <c r="A104" t="inlineStr">
        <is>
          <t>TECH_000097</t>
        </is>
      </c>
      <c r="C104" t="inlineStr">
        <is>
          <t>SKODA_ELROQ_SELECTION_85X</t>
        </is>
      </c>
      <c r="D104" t="inlineStr">
        <is>
          <t>Motor power</t>
        </is>
      </c>
      <c r="E104" t="n">
        <v>220</v>
      </c>
      <c r="F104" t="inlineStr">
        <is>
          <t>KW</t>
        </is>
      </c>
      <c r="G104" t="inlineStr">
        <is>
          <t>SRC_SKODA_NO_ELROQ_PRICELIST</t>
        </is>
      </c>
      <c r="H104" t="inlineStr">
        <is>
          <t>MEDIUM</t>
        </is>
      </c>
      <c r="I104" t="inlineStr">
        <is>
          <t>2026-07-06</t>
        </is>
      </c>
      <c r="J104" t="inlineStr">
        <is>
          <t>1.4</t>
        </is>
      </c>
    </row>
    <row r="105">
      <c r="A105" t="inlineStr">
        <is>
          <t>TECH_000098</t>
        </is>
      </c>
      <c r="C105" t="inlineStr">
        <is>
          <t>SKODA_ELROQ_SELECTION_85X</t>
        </is>
      </c>
      <c r="D105" t="inlineStr">
        <is>
          <t>Battery net</t>
        </is>
      </c>
      <c r="E105" t="n">
        <v>77</v>
      </c>
      <c r="F105" t="inlineStr">
        <is>
          <t>KWH</t>
        </is>
      </c>
      <c r="G105" t="inlineStr">
        <is>
          <t>SRC_SKODA_NO_ELROQ_PRICELIST</t>
        </is>
      </c>
      <c r="H105" t="inlineStr">
        <is>
          <t>MEDIUM</t>
        </is>
      </c>
      <c r="I105" t="inlineStr">
        <is>
          <t>2026-07-06</t>
        </is>
      </c>
      <c r="J105" t="inlineStr">
        <is>
          <t>1.4</t>
        </is>
      </c>
    </row>
    <row r="106">
      <c r="A106" t="inlineStr">
        <is>
          <t>TECH_000099</t>
        </is>
      </c>
      <c r="C106" t="inlineStr">
        <is>
          <t>SKODA_ELROQ_SELECTION_85X</t>
        </is>
      </c>
      <c r="D106" t="inlineStr">
        <is>
          <t>Height</t>
        </is>
      </c>
      <c r="E106" t="n">
        <v>1608</v>
      </c>
      <c r="F106" t="inlineStr">
        <is>
          <t>MM</t>
        </is>
      </c>
      <c r="G106" t="inlineStr">
        <is>
          <t>SRC_SKODA_GLOBAL_TECHDATA</t>
        </is>
      </c>
      <c r="H106" t="inlineStr">
        <is>
          <t>MEDIUM</t>
        </is>
      </c>
      <c r="I106" t="inlineStr">
        <is>
          <t>2026-07-06</t>
        </is>
      </c>
      <c r="J106" t="inlineStr">
        <is>
          <t>1.4</t>
        </is>
      </c>
    </row>
    <row r="107">
      <c r="A107" t="inlineStr">
        <is>
          <t>TECH_000100</t>
        </is>
      </c>
      <c r="C107" t="inlineStr">
        <is>
          <t>SKODA_ELROQ_SELECTION_85X</t>
        </is>
      </c>
      <c r="D107" t="inlineStr">
        <is>
          <t>Ground clearance</t>
        </is>
      </c>
      <c r="E107" t="n">
        <v>170</v>
      </c>
      <c r="F107" t="inlineStr">
        <is>
          <t>MM</t>
        </is>
      </c>
      <c r="G107" t="inlineStr">
        <is>
          <t>SRC_SKODA_GLOBAL_TECHDATA</t>
        </is>
      </c>
      <c r="H107" t="inlineStr">
        <is>
          <t>MEDIUM</t>
        </is>
      </c>
      <c r="I107" t="inlineStr">
        <is>
          <t>2026-07-06</t>
        </is>
      </c>
      <c r="J107" t="inlineStr">
        <is>
          <t>1.4</t>
        </is>
      </c>
    </row>
    <row r="108">
      <c r="A108" t="inlineStr">
        <is>
          <t>TECH_000101</t>
        </is>
      </c>
      <c r="C108" t="inlineStr">
        <is>
          <t>SKODA_ELROQ_RS</t>
        </is>
      </c>
      <c r="D108" t="inlineStr">
        <is>
          <t>WLTP range</t>
        </is>
      </c>
      <c r="E108" t="n">
        <v>559</v>
      </c>
      <c r="F108" t="inlineStr">
        <is>
          <t>KM</t>
        </is>
      </c>
      <c r="G108" t="inlineStr">
        <is>
          <t>SRC_SKODA_NO_ELROQ_PRICELIST</t>
        </is>
      </c>
      <c r="H108" t="inlineStr">
        <is>
          <t>MEDIUM</t>
        </is>
      </c>
      <c r="I108" t="inlineStr">
        <is>
          <t>2026-07-06</t>
        </is>
      </c>
      <c r="J108" t="inlineStr">
        <is>
          <t>1.4</t>
        </is>
      </c>
    </row>
    <row r="109">
      <c r="A109" t="inlineStr">
        <is>
          <t>TECH_000102</t>
        </is>
      </c>
      <c r="C109" t="inlineStr">
        <is>
          <t>SKODA_ELROQ_RS</t>
        </is>
      </c>
      <c r="D109" t="inlineStr">
        <is>
          <t>WLTP consumption</t>
        </is>
      </c>
      <c r="E109" t="n">
        <v>16.1</v>
      </c>
      <c r="F109" t="inlineStr">
        <is>
          <t>KWH_100KM</t>
        </is>
      </c>
      <c r="G109" t="inlineStr">
        <is>
          <t>SRC_SKODA_NO_ELROQ_PRICELIST</t>
        </is>
      </c>
      <c r="H109" t="inlineStr">
        <is>
          <t>MEDIUM</t>
        </is>
      </c>
      <c r="I109" t="inlineStr">
        <is>
          <t>2026-07-06</t>
        </is>
      </c>
      <c r="J109" t="inlineStr">
        <is>
          <t>1.4</t>
        </is>
      </c>
    </row>
    <row r="110">
      <c r="A110" t="inlineStr">
        <is>
          <t>TECH_000103</t>
        </is>
      </c>
      <c r="C110" t="inlineStr">
        <is>
          <t>SKODA_ELROQ_RS</t>
        </is>
      </c>
      <c r="D110" t="inlineStr">
        <is>
          <t>DC max charging</t>
        </is>
      </c>
      <c r="E110" t="n">
        <v>165</v>
      </c>
      <c r="F110" t="inlineStr">
        <is>
          <t>KW</t>
        </is>
      </c>
      <c r="G110" t="inlineStr">
        <is>
          <t>SRC_SKODA_NO_ELROQ_PRICELIST</t>
        </is>
      </c>
      <c r="H110" t="inlineStr">
        <is>
          <t>MEDIUM</t>
        </is>
      </c>
      <c r="I110" t="inlineStr">
        <is>
          <t>2026-07-06</t>
        </is>
      </c>
      <c r="J110" t="inlineStr">
        <is>
          <t>1.4</t>
        </is>
      </c>
    </row>
    <row r="111">
      <c r="A111" t="inlineStr">
        <is>
          <t>TECH_000104</t>
        </is>
      </c>
      <c r="C111" t="inlineStr">
        <is>
          <t>SKODA_ELROQ_RS</t>
        </is>
      </c>
      <c r="D111" t="inlineStr">
        <is>
          <t>Motor power</t>
        </is>
      </c>
      <c r="E111" t="n">
        <v>250</v>
      </c>
      <c r="F111" t="inlineStr">
        <is>
          <t>KW</t>
        </is>
      </c>
      <c r="G111" t="inlineStr">
        <is>
          <t>SRC_SKODA_NO_ELROQ_PRICELIST</t>
        </is>
      </c>
      <c r="H111" t="inlineStr">
        <is>
          <t>MEDIUM</t>
        </is>
      </c>
      <c r="I111" t="inlineStr">
        <is>
          <t>2026-07-06</t>
        </is>
      </c>
      <c r="J111" t="inlineStr">
        <is>
          <t>1.4</t>
        </is>
      </c>
    </row>
    <row r="112">
      <c r="A112" t="inlineStr">
        <is>
          <t>TECH_000105</t>
        </is>
      </c>
      <c r="C112" t="inlineStr">
        <is>
          <t>SKODA_ELROQ_RS</t>
        </is>
      </c>
      <c r="D112" t="inlineStr">
        <is>
          <t>Battery net</t>
        </is>
      </c>
      <c r="E112" t="n">
        <v>77</v>
      </c>
      <c r="F112" t="inlineStr">
        <is>
          <t>KWH</t>
        </is>
      </c>
      <c r="G112" t="inlineStr">
        <is>
          <t>SRC_SKODA_NO_ELROQ_PRICELIST</t>
        </is>
      </c>
      <c r="H112" t="inlineStr">
        <is>
          <t>MEDIUM</t>
        </is>
      </c>
      <c r="I112" t="inlineStr">
        <is>
          <t>2026-07-06</t>
        </is>
      </c>
      <c r="J112" t="inlineStr">
        <is>
          <t>1.4</t>
        </is>
      </c>
    </row>
    <row r="113">
      <c r="A113" t="inlineStr">
        <is>
          <t>TECH_000106</t>
        </is>
      </c>
      <c r="C113" t="inlineStr">
        <is>
          <t>SKODA_ELROQ_RS</t>
        </is>
      </c>
      <c r="D113" t="inlineStr">
        <is>
          <t>Height</t>
        </is>
      </c>
      <c r="E113" t="n">
        <v>1608</v>
      </c>
      <c r="F113" t="inlineStr">
        <is>
          <t>MM</t>
        </is>
      </c>
      <c r="G113" t="inlineStr">
        <is>
          <t>SRC_SKODA_GLOBAL_TECHDATA</t>
        </is>
      </c>
      <c r="H113" t="inlineStr">
        <is>
          <t>MEDIUM</t>
        </is>
      </c>
      <c r="I113" t="inlineStr">
        <is>
          <t>2026-07-06</t>
        </is>
      </c>
      <c r="J113" t="inlineStr">
        <is>
          <t>1.4</t>
        </is>
      </c>
    </row>
    <row r="114">
      <c r="A114" t="inlineStr">
        <is>
          <t>TECH_000107</t>
        </is>
      </c>
      <c r="C114" t="inlineStr">
        <is>
          <t>SKODA_ELROQ_RS</t>
        </is>
      </c>
      <c r="D114" t="inlineStr">
        <is>
          <t>Ground clearance</t>
        </is>
      </c>
      <c r="E114" t="n">
        <v>170</v>
      </c>
      <c r="F114" t="inlineStr">
        <is>
          <t>MM</t>
        </is>
      </c>
      <c r="G114" t="inlineStr">
        <is>
          <t>SRC_SKODA_GLOBAL_TECHDATA</t>
        </is>
      </c>
      <c r="H114" t="inlineStr">
        <is>
          <t>MEDIUM</t>
        </is>
      </c>
      <c r="I114" t="inlineStr">
        <is>
          <t>2026-07-06</t>
        </is>
      </c>
      <c r="J114" t="inlineStr">
        <is>
          <t>1.4</t>
        </is>
      </c>
    </row>
    <row r="115">
      <c r="A115" t="inlineStr">
        <is>
          <t>TECH_000108</t>
        </is>
      </c>
      <c r="B115" t="inlineStr">
        <is>
          <t>VOLVO_EX30</t>
        </is>
      </c>
      <c r="D115" t="inlineStr">
        <is>
          <t>Length</t>
        </is>
      </c>
      <c r="E115" t="n">
        <v>4233</v>
      </c>
      <c r="F115" t="inlineStr">
        <is>
          <t>MM</t>
        </is>
      </c>
      <c r="G115" t="inlineStr">
        <is>
          <t>SRC_VOLVO_NO_EX30_SPECS</t>
        </is>
      </c>
      <c r="H115" t="inlineStr">
        <is>
          <t>MEDIUM</t>
        </is>
      </c>
      <c r="I115" t="inlineStr">
        <is>
          <t>2026-07-06</t>
        </is>
      </c>
      <c r="J115" t="inlineStr">
        <is>
          <t>1.4</t>
        </is>
      </c>
    </row>
    <row r="116">
      <c r="A116" t="inlineStr">
        <is>
          <t>TECH_000109</t>
        </is>
      </c>
      <c r="B116" t="inlineStr">
        <is>
          <t>VOLVO_EX30</t>
        </is>
      </c>
      <c r="D116" t="inlineStr">
        <is>
          <t>Width</t>
        </is>
      </c>
      <c r="E116" t="n">
        <v>1838</v>
      </c>
      <c r="F116" t="inlineStr">
        <is>
          <t>MM</t>
        </is>
      </c>
      <c r="G116" t="inlineStr">
        <is>
          <t>SRC_VOLVO_NO_EX30_SPECS</t>
        </is>
      </c>
      <c r="H116" t="inlineStr">
        <is>
          <t>MEDIUM</t>
        </is>
      </c>
      <c r="I116" t="inlineStr">
        <is>
          <t>2026-07-06</t>
        </is>
      </c>
      <c r="J116" t="inlineStr">
        <is>
          <t>1.4</t>
        </is>
      </c>
    </row>
    <row r="117">
      <c r="A117" t="inlineStr">
        <is>
          <t>TECH_000110</t>
        </is>
      </c>
      <c r="B117" t="inlineStr">
        <is>
          <t>VOLVO_EX30</t>
        </is>
      </c>
      <c r="D117" t="inlineStr">
        <is>
          <t>Height</t>
        </is>
      </c>
      <c r="E117" t="n">
        <v>1550</v>
      </c>
      <c r="F117" t="inlineStr">
        <is>
          <t>MM</t>
        </is>
      </c>
      <c r="G117" t="inlineStr">
        <is>
          <t>SRC_VOLVO_NO_EX30_SPECS</t>
        </is>
      </c>
      <c r="H117" t="inlineStr">
        <is>
          <t>MEDIUM</t>
        </is>
      </c>
      <c r="I117" t="inlineStr">
        <is>
          <t>2026-07-06</t>
        </is>
      </c>
      <c r="J117" t="inlineStr">
        <is>
          <t>1.4</t>
        </is>
      </c>
    </row>
    <row r="118">
      <c r="A118" t="inlineStr">
        <is>
          <t>TECH_000111</t>
        </is>
      </c>
      <c r="C118" t="inlineStr">
        <is>
          <t>VOLVO_EX30_P5</t>
        </is>
      </c>
      <c r="D118" t="inlineStr">
        <is>
          <t>WLTP range</t>
        </is>
      </c>
      <c r="E118" t="n">
        <v>337</v>
      </c>
      <c r="F118" t="inlineStr">
        <is>
          <t>KM</t>
        </is>
      </c>
      <c r="G118" t="inlineStr">
        <is>
          <t>SRC_VOLVO_NO_EX30_SPECS</t>
        </is>
      </c>
      <c r="H118" t="inlineStr">
        <is>
          <t>MEDIUM</t>
        </is>
      </c>
      <c r="I118" t="inlineStr">
        <is>
          <t>2026-07-06</t>
        </is>
      </c>
      <c r="J118" t="inlineStr">
        <is>
          <t>1.4</t>
        </is>
      </c>
    </row>
    <row r="119">
      <c r="A119" t="inlineStr">
        <is>
          <t>TECH_000112</t>
        </is>
      </c>
      <c r="C119" t="inlineStr">
        <is>
          <t>VOLVO_EX30_P5</t>
        </is>
      </c>
      <c r="D119" t="inlineStr">
        <is>
          <t>WLTP consumption</t>
        </is>
      </c>
      <c r="E119" t="n">
        <v>17.1</v>
      </c>
      <c r="F119" t="inlineStr">
        <is>
          <t>KWH_100KM</t>
        </is>
      </c>
      <c r="G119" t="inlineStr">
        <is>
          <t>SRC_VOLVO_NO_EX30_SPECS</t>
        </is>
      </c>
      <c r="H119" t="inlineStr">
        <is>
          <t>MEDIUM</t>
        </is>
      </c>
      <c r="I119" t="inlineStr">
        <is>
          <t>2026-07-06</t>
        </is>
      </c>
      <c r="J119" t="inlineStr">
        <is>
          <t>1.4</t>
        </is>
      </c>
    </row>
    <row r="120">
      <c r="A120" t="inlineStr">
        <is>
          <t>TECH_000113</t>
        </is>
      </c>
      <c r="C120" t="inlineStr">
        <is>
          <t>VOLVO_EX30_P5</t>
        </is>
      </c>
      <c r="D120" t="inlineStr">
        <is>
          <t>DC max charging</t>
        </is>
      </c>
      <c r="E120" t="n">
        <v>150</v>
      </c>
      <c r="F120" t="inlineStr">
        <is>
          <t>KW</t>
        </is>
      </c>
      <c r="G120" t="inlineStr">
        <is>
          <t>SRC_VOLVO_NO_EX30_SPECS</t>
        </is>
      </c>
      <c r="H120" t="inlineStr">
        <is>
          <t>MEDIUM</t>
        </is>
      </c>
      <c r="I120" t="inlineStr">
        <is>
          <t>2026-07-06</t>
        </is>
      </c>
      <c r="J120" t="inlineStr">
        <is>
          <t>1.4</t>
        </is>
      </c>
    </row>
    <row r="121">
      <c r="A121" t="inlineStr">
        <is>
          <t>TECH_000114</t>
        </is>
      </c>
      <c r="C121" t="inlineStr">
        <is>
          <t>VOLVO_EX30_P5</t>
        </is>
      </c>
      <c r="D121" t="inlineStr">
        <is>
          <t>Motor power</t>
        </is>
      </c>
      <c r="E121" t="n">
        <v>200</v>
      </c>
      <c r="F121" t="inlineStr">
        <is>
          <t>KW</t>
        </is>
      </c>
      <c r="G121" t="inlineStr">
        <is>
          <t>SRC_VOLVO_NO_EX30_SPECS</t>
        </is>
      </c>
      <c r="H121" t="inlineStr">
        <is>
          <t>MEDIUM</t>
        </is>
      </c>
      <c r="I121" t="inlineStr">
        <is>
          <t>2026-07-06</t>
        </is>
      </c>
      <c r="J121" t="inlineStr">
        <is>
          <t>1.4</t>
        </is>
      </c>
    </row>
    <row r="122">
      <c r="A122" t="inlineStr">
        <is>
          <t>TECH_000115</t>
        </is>
      </c>
      <c r="C122" t="inlineStr">
        <is>
          <t>VOLVO_EX30_P5</t>
        </is>
      </c>
      <c r="D122" t="inlineStr">
        <is>
          <t>Torque</t>
        </is>
      </c>
      <c r="E122" t="n">
        <v>343</v>
      </c>
      <c r="F122" t="inlineStr">
        <is>
          <t>NM</t>
        </is>
      </c>
      <c r="G122" t="inlineStr">
        <is>
          <t>SRC_VOLVO_NO_EX30_SPECS</t>
        </is>
      </c>
      <c r="H122" t="inlineStr">
        <is>
          <t>MEDIUM</t>
        </is>
      </c>
      <c r="I122" t="inlineStr">
        <is>
          <t>2026-07-06</t>
        </is>
      </c>
      <c r="J122" t="inlineStr">
        <is>
          <t>1.4</t>
        </is>
      </c>
    </row>
    <row r="123">
      <c r="A123" t="inlineStr">
        <is>
          <t>TECH_000116</t>
        </is>
      </c>
      <c r="C123" t="inlineStr">
        <is>
          <t>VOLVO_EX30_P5</t>
        </is>
      </c>
      <c r="D123" t="inlineStr">
        <is>
          <t>Battery net</t>
        </is>
      </c>
      <c r="E123" t="n">
        <v>51</v>
      </c>
      <c r="F123" t="inlineStr">
        <is>
          <t>KWH</t>
        </is>
      </c>
      <c r="G123" t="inlineStr">
        <is>
          <t>SRC_VOLVO_NO_EX30_SPECS</t>
        </is>
      </c>
      <c r="H123" t="inlineStr">
        <is>
          <t>MEDIUM</t>
        </is>
      </c>
      <c r="I123" t="inlineStr">
        <is>
          <t>2026-07-06</t>
        </is>
      </c>
      <c r="J123" t="inlineStr">
        <is>
          <t>1.4</t>
        </is>
      </c>
    </row>
    <row r="124">
      <c r="A124" t="inlineStr">
        <is>
          <t>TECH_000117</t>
        </is>
      </c>
      <c r="C124" t="inlineStr">
        <is>
          <t>VOLVO_EX30_P5</t>
        </is>
      </c>
      <c r="D124" t="inlineStr">
        <is>
          <t>Kerb weight</t>
        </is>
      </c>
      <c r="E124" t="n">
        <v>1840</v>
      </c>
      <c r="F124" t="inlineStr">
        <is>
          <t>KG</t>
        </is>
      </c>
      <c r="G124" t="inlineStr">
        <is>
          <t>SRC_VOLVO_NO_EX30_SPECS</t>
        </is>
      </c>
      <c r="H124" t="inlineStr">
        <is>
          <t>MEDIUM</t>
        </is>
      </c>
      <c r="I124" t="inlineStr">
        <is>
          <t>2026-07-06</t>
        </is>
      </c>
      <c r="J124" t="inlineStr">
        <is>
          <t>1.4</t>
        </is>
      </c>
    </row>
    <row r="125">
      <c r="A125" t="inlineStr">
        <is>
          <t>TECH_000118</t>
        </is>
      </c>
      <c r="C125" t="inlineStr">
        <is>
          <t>VOLVO_EX30_P5</t>
        </is>
      </c>
      <c r="D125" t="inlineStr">
        <is>
          <t>Top speed</t>
        </is>
      </c>
      <c r="E125" t="n">
        <v>180</v>
      </c>
      <c r="F125" t="inlineStr">
        <is>
          <t>KMH</t>
        </is>
      </c>
      <c r="G125" t="inlineStr">
        <is>
          <t>SRC_VOLVO_NO_EX30_SPECS</t>
        </is>
      </c>
      <c r="H125" t="inlineStr">
        <is>
          <t>MEDIUM</t>
        </is>
      </c>
      <c r="I125" t="inlineStr">
        <is>
          <t>2026-07-06</t>
        </is>
      </c>
      <c r="J125" t="inlineStr">
        <is>
          <t>1.4</t>
        </is>
      </c>
    </row>
    <row r="126">
      <c r="A126" t="inlineStr">
        <is>
          <t>TECH_000119</t>
        </is>
      </c>
      <c r="C126" t="inlineStr">
        <is>
          <t>VOLVO_EX30_P5_LONG_RANGE</t>
        </is>
      </c>
      <c r="D126" t="inlineStr">
        <is>
          <t>WLTP range</t>
        </is>
      </c>
      <c r="E126" t="n">
        <v>475</v>
      </c>
      <c r="F126" t="inlineStr">
        <is>
          <t>KM</t>
        </is>
      </c>
      <c r="G126" t="inlineStr">
        <is>
          <t>SRC_VOLVO_NO_EX30_SPECS</t>
        </is>
      </c>
      <c r="H126" t="inlineStr">
        <is>
          <t>MEDIUM</t>
        </is>
      </c>
      <c r="I126" t="inlineStr">
        <is>
          <t>2026-07-06</t>
        </is>
      </c>
      <c r="J126" t="inlineStr">
        <is>
          <t>1.4</t>
        </is>
      </c>
    </row>
    <row r="127">
      <c r="A127" t="inlineStr">
        <is>
          <t>TECH_000120</t>
        </is>
      </c>
      <c r="C127" t="inlineStr">
        <is>
          <t>VOLVO_EX30_P5_LONG_RANGE</t>
        </is>
      </c>
      <c r="D127" t="inlineStr">
        <is>
          <t>WLTP consumption</t>
        </is>
      </c>
      <c r="E127" t="n">
        <v>17</v>
      </c>
      <c r="F127" t="inlineStr">
        <is>
          <t>KWH_100KM</t>
        </is>
      </c>
      <c r="G127" t="inlineStr">
        <is>
          <t>SRC_VOLVO_NO_EX30_SPECS</t>
        </is>
      </c>
      <c r="H127" t="inlineStr">
        <is>
          <t>MEDIUM</t>
        </is>
      </c>
      <c r="I127" t="inlineStr">
        <is>
          <t>2026-07-06</t>
        </is>
      </c>
      <c r="J127" t="inlineStr">
        <is>
          <t>1.4</t>
        </is>
      </c>
    </row>
    <row r="128">
      <c r="A128" t="inlineStr">
        <is>
          <t>TECH_000121</t>
        </is>
      </c>
      <c r="C128" t="inlineStr">
        <is>
          <t>VOLVO_EX30_P5_LONG_RANGE</t>
        </is>
      </c>
      <c r="D128" t="inlineStr">
        <is>
          <t>DC max charging</t>
        </is>
      </c>
      <c r="E128" t="n">
        <v>175</v>
      </c>
      <c r="F128" t="inlineStr">
        <is>
          <t>KW</t>
        </is>
      </c>
      <c r="G128" t="inlineStr">
        <is>
          <t>SRC_VOLVO_NO_EX30_SPECS</t>
        </is>
      </c>
      <c r="H128" t="inlineStr">
        <is>
          <t>MEDIUM</t>
        </is>
      </c>
      <c r="I128" t="inlineStr">
        <is>
          <t>2026-07-06</t>
        </is>
      </c>
      <c r="J128" t="inlineStr">
        <is>
          <t>1.4</t>
        </is>
      </c>
    </row>
    <row r="129">
      <c r="A129" t="inlineStr">
        <is>
          <t>TECH_000122</t>
        </is>
      </c>
      <c r="C129" t="inlineStr">
        <is>
          <t>VOLVO_EX30_P5_LONG_RANGE</t>
        </is>
      </c>
      <c r="D129" t="inlineStr">
        <is>
          <t>Motor power</t>
        </is>
      </c>
      <c r="E129" t="n">
        <v>200</v>
      </c>
      <c r="F129" t="inlineStr">
        <is>
          <t>KW</t>
        </is>
      </c>
      <c r="G129" t="inlineStr">
        <is>
          <t>SRC_VOLVO_NO_EX30_SPECS</t>
        </is>
      </c>
      <c r="H129" t="inlineStr">
        <is>
          <t>MEDIUM</t>
        </is>
      </c>
      <c r="I129" t="inlineStr">
        <is>
          <t>2026-07-06</t>
        </is>
      </c>
      <c r="J129" t="inlineStr">
        <is>
          <t>1.4</t>
        </is>
      </c>
    </row>
    <row r="130">
      <c r="A130" t="inlineStr">
        <is>
          <t>TECH_000123</t>
        </is>
      </c>
      <c r="C130" t="inlineStr">
        <is>
          <t>VOLVO_EX30_P5_LONG_RANGE</t>
        </is>
      </c>
      <c r="D130" t="inlineStr">
        <is>
          <t>Torque</t>
        </is>
      </c>
      <c r="E130" t="n">
        <v>343</v>
      </c>
      <c r="F130" t="inlineStr">
        <is>
          <t>NM</t>
        </is>
      </c>
      <c r="G130" t="inlineStr">
        <is>
          <t>SRC_VOLVO_NO_EX30_SPECS</t>
        </is>
      </c>
      <c r="H130" t="inlineStr">
        <is>
          <t>MEDIUM</t>
        </is>
      </c>
      <c r="I130" t="inlineStr">
        <is>
          <t>2026-07-06</t>
        </is>
      </c>
      <c r="J130" t="inlineStr">
        <is>
          <t>1.4</t>
        </is>
      </c>
    </row>
    <row r="131">
      <c r="A131" t="inlineStr">
        <is>
          <t>TECH_000124</t>
        </is>
      </c>
      <c r="C131" t="inlineStr">
        <is>
          <t>VOLVO_EX30_P5_LONG_RANGE</t>
        </is>
      </c>
      <c r="D131" t="inlineStr">
        <is>
          <t>Battery net</t>
        </is>
      </c>
      <c r="E131" t="n">
        <v>69</v>
      </c>
      <c r="F131" t="inlineStr">
        <is>
          <t>KWH</t>
        </is>
      </c>
      <c r="G131" t="inlineStr">
        <is>
          <t>SRC_VOLVO_NO_EX30_SPECS</t>
        </is>
      </c>
      <c r="H131" t="inlineStr">
        <is>
          <t>MEDIUM</t>
        </is>
      </c>
      <c r="I131" t="inlineStr">
        <is>
          <t>2026-07-06</t>
        </is>
      </c>
      <c r="J131" t="inlineStr">
        <is>
          <t>1.4</t>
        </is>
      </c>
    </row>
    <row r="132">
      <c r="A132" t="inlineStr">
        <is>
          <t>TECH_000125</t>
        </is>
      </c>
      <c r="C132" t="inlineStr">
        <is>
          <t>VOLVO_EX30_P5_LONG_RANGE</t>
        </is>
      </c>
      <c r="D132" t="inlineStr">
        <is>
          <t>Kerb weight</t>
        </is>
      </c>
      <c r="E132" t="n">
        <v>1850</v>
      </c>
      <c r="F132" t="inlineStr">
        <is>
          <t>KG</t>
        </is>
      </c>
      <c r="G132" t="inlineStr">
        <is>
          <t>SRC_VOLVO_NO_EX30_SPECS</t>
        </is>
      </c>
      <c r="H132" t="inlineStr">
        <is>
          <t>MEDIUM</t>
        </is>
      </c>
      <c r="I132" t="inlineStr">
        <is>
          <t>2026-07-06</t>
        </is>
      </c>
      <c r="J132" t="inlineStr">
        <is>
          <t>1.4</t>
        </is>
      </c>
    </row>
    <row r="133">
      <c r="A133" t="inlineStr">
        <is>
          <t>TECH_000126</t>
        </is>
      </c>
      <c r="C133" t="inlineStr">
        <is>
          <t>VOLVO_EX30_P5_LONG_RANGE</t>
        </is>
      </c>
      <c r="D133" t="inlineStr">
        <is>
          <t>Top speed</t>
        </is>
      </c>
      <c r="E133" t="n">
        <v>180</v>
      </c>
      <c r="F133" t="inlineStr">
        <is>
          <t>KMH</t>
        </is>
      </c>
      <c r="G133" t="inlineStr">
        <is>
          <t>SRC_VOLVO_NO_EX30_SPECS</t>
        </is>
      </c>
      <c r="H133" t="inlineStr">
        <is>
          <t>MEDIUM</t>
        </is>
      </c>
      <c r="I133" t="inlineStr">
        <is>
          <t>2026-07-06</t>
        </is>
      </c>
      <c r="J133" t="inlineStr">
        <is>
          <t>1.4</t>
        </is>
      </c>
    </row>
    <row r="134">
      <c r="A134" t="inlineStr">
        <is>
          <t>TECH_000127</t>
        </is>
      </c>
      <c r="C134" t="inlineStr">
        <is>
          <t>VOLVO_EX30_P8_AWD</t>
        </is>
      </c>
      <c r="D134" t="inlineStr">
        <is>
          <t>WLTP range</t>
        </is>
      </c>
      <c r="E134" t="n">
        <v>450</v>
      </c>
      <c r="F134" t="inlineStr">
        <is>
          <t>KM</t>
        </is>
      </c>
      <c r="G134" t="inlineStr">
        <is>
          <t>SRC_VOLVO_NO_EX30_SPECS</t>
        </is>
      </c>
      <c r="H134" t="inlineStr">
        <is>
          <t>MEDIUM</t>
        </is>
      </c>
      <c r="I134" t="inlineStr">
        <is>
          <t>2026-07-06</t>
        </is>
      </c>
      <c r="J134" t="inlineStr">
        <is>
          <t>1.4</t>
        </is>
      </c>
    </row>
    <row r="135">
      <c r="A135" t="inlineStr">
        <is>
          <t>TECH_000128</t>
        </is>
      </c>
      <c r="C135" t="inlineStr">
        <is>
          <t>VOLVO_EX30_P8_AWD</t>
        </is>
      </c>
      <c r="D135" t="inlineStr">
        <is>
          <t>WLTP consumption</t>
        </is>
      </c>
      <c r="E135" t="n">
        <v>17.5</v>
      </c>
      <c r="F135" t="inlineStr">
        <is>
          <t>KWH_100KM</t>
        </is>
      </c>
      <c r="G135" t="inlineStr">
        <is>
          <t>SRC_VOLVO_NO_EX30_SPECS</t>
        </is>
      </c>
      <c r="H135" t="inlineStr">
        <is>
          <t>MEDIUM</t>
        </is>
      </c>
      <c r="I135" t="inlineStr">
        <is>
          <t>2026-07-06</t>
        </is>
      </c>
      <c r="J135" t="inlineStr">
        <is>
          <t>1.4</t>
        </is>
      </c>
    </row>
    <row r="136">
      <c r="A136" t="inlineStr">
        <is>
          <t>TECH_000129</t>
        </is>
      </c>
      <c r="C136" t="inlineStr">
        <is>
          <t>VOLVO_EX30_P8_AWD</t>
        </is>
      </c>
      <c r="D136" t="inlineStr">
        <is>
          <t>DC max charging</t>
        </is>
      </c>
      <c r="E136" t="n">
        <v>175</v>
      </c>
      <c r="F136" t="inlineStr">
        <is>
          <t>KW</t>
        </is>
      </c>
      <c r="G136" t="inlineStr">
        <is>
          <t>SRC_VOLVO_NO_EX30_SPECS</t>
        </is>
      </c>
      <c r="H136" t="inlineStr">
        <is>
          <t>MEDIUM</t>
        </is>
      </c>
      <c r="I136" t="inlineStr">
        <is>
          <t>2026-07-06</t>
        </is>
      </c>
      <c r="J136" t="inlineStr">
        <is>
          <t>1.4</t>
        </is>
      </c>
    </row>
    <row r="137">
      <c r="A137" t="inlineStr">
        <is>
          <t>TECH_000130</t>
        </is>
      </c>
      <c r="C137" t="inlineStr">
        <is>
          <t>VOLVO_EX30_P8_AWD</t>
        </is>
      </c>
      <c r="D137" t="inlineStr">
        <is>
          <t>Motor power</t>
        </is>
      </c>
      <c r="E137" t="n">
        <v>315</v>
      </c>
      <c r="F137" t="inlineStr">
        <is>
          <t>KW</t>
        </is>
      </c>
      <c r="G137" t="inlineStr">
        <is>
          <t>SRC_VOLVO_NO_EX30_SPECS</t>
        </is>
      </c>
      <c r="H137" t="inlineStr">
        <is>
          <t>MEDIUM</t>
        </is>
      </c>
      <c r="I137" t="inlineStr">
        <is>
          <t>2026-07-06</t>
        </is>
      </c>
      <c r="J137" t="inlineStr">
        <is>
          <t>1.4</t>
        </is>
      </c>
    </row>
    <row r="138">
      <c r="A138" t="inlineStr">
        <is>
          <t>TECH_000131</t>
        </is>
      </c>
      <c r="C138" t="inlineStr">
        <is>
          <t>VOLVO_EX30_P8_AWD</t>
        </is>
      </c>
      <c r="D138" t="inlineStr">
        <is>
          <t>Torque</t>
        </is>
      </c>
      <c r="E138" t="n">
        <v>543</v>
      </c>
      <c r="F138" t="inlineStr">
        <is>
          <t>NM</t>
        </is>
      </c>
      <c r="G138" t="inlineStr">
        <is>
          <t>SRC_VOLVO_NO_EX30_SPECS</t>
        </is>
      </c>
      <c r="H138" t="inlineStr">
        <is>
          <t>MEDIUM</t>
        </is>
      </c>
      <c r="I138" t="inlineStr">
        <is>
          <t>2026-07-06</t>
        </is>
      </c>
      <c r="J138" t="inlineStr">
        <is>
          <t>1.4</t>
        </is>
      </c>
    </row>
    <row r="139">
      <c r="A139" t="inlineStr">
        <is>
          <t>TECH_000132</t>
        </is>
      </c>
      <c r="C139" t="inlineStr">
        <is>
          <t>VOLVO_EX30_P8_AWD</t>
        </is>
      </c>
      <c r="D139" t="inlineStr">
        <is>
          <t>Battery net</t>
        </is>
      </c>
      <c r="E139" t="n">
        <v>69</v>
      </c>
      <c r="F139" t="inlineStr">
        <is>
          <t>KWH</t>
        </is>
      </c>
      <c r="G139" t="inlineStr">
        <is>
          <t>SRC_VOLVO_NO_EX30_SPECS</t>
        </is>
      </c>
      <c r="H139" t="inlineStr">
        <is>
          <t>MEDIUM</t>
        </is>
      </c>
      <c r="I139" t="inlineStr">
        <is>
          <t>2026-07-06</t>
        </is>
      </c>
      <c r="J139" t="inlineStr">
        <is>
          <t>1.4</t>
        </is>
      </c>
    </row>
    <row r="140">
      <c r="A140" t="inlineStr">
        <is>
          <t>TECH_000133</t>
        </is>
      </c>
      <c r="C140" t="inlineStr">
        <is>
          <t>VOLVO_EX30_P8_AWD</t>
        </is>
      </c>
      <c r="D140" t="inlineStr">
        <is>
          <t>Kerb weight</t>
        </is>
      </c>
      <c r="E140" t="n">
        <v>1960</v>
      </c>
      <c r="F140" t="inlineStr">
        <is>
          <t>KG</t>
        </is>
      </c>
      <c r="G140" t="inlineStr">
        <is>
          <t>SRC_VOLVO_NO_EX30_SPECS</t>
        </is>
      </c>
      <c r="H140" t="inlineStr">
        <is>
          <t>MEDIUM</t>
        </is>
      </c>
      <c r="I140" t="inlineStr">
        <is>
          <t>2026-07-06</t>
        </is>
      </c>
      <c r="J140" t="inlineStr">
        <is>
          <t>1.4</t>
        </is>
      </c>
    </row>
    <row r="141">
      <c r="A141" t="inlineStr">
        <is>
          <t>TECH_000134</t>
        </is>
      </c>
      <c r="C141" t="inlineStr">
        <is>
          <t>VOLVO_EX30_P8_AWD</t>
        </is>
      </c>
      <c r="D141" t="inlineStr">
        <is>
          <t>Top speed</t>
        </is>
      </c>
      <c r="E141" t="n">
        <v>180</v>
      </c>
      <c r="F141" t="inlineStr">
        <is>
          <t>KMH</t>
        </is>
      </c>
      <c r="G141" t="inlineStr">
        <is>
          <t>SRC_VOLVO_NO_EX30_SPECS</t>
        </is>
      </c>
      <c r="H141" t="inlineStr">
        <is>
          <t>MEDIUM</t>
        </is>
      </c>
      <c r="I141" t="inlineStr">
        <is>
          <t>2026-07-06</t>
        </is>
      </c>
      <c r="J141" t="inlineStr">
        <is>
          <t>1.4</t>
        </is>
      </c>
    </row>
    <row r="142">
      <c r="A142" t="inlineStr">
        <is>
          <t>TECH_000135</t>
        </is>
      </c>
      <c r="C142" t="inlineStr">
        <is>
          <t>KIA_EV2_FWD_LONG_RANGE_GT_LINE</t>
        </is>
      </c>
      <c r="D142" t="inlineStr">
        <is>
          <t>WLTP range</t>
        </is>
      </c>
      <c r="E142" t="n">
        <v>453</v>
      </c>
      <c r="F142" t="inlineStr">
        <is>
          <t>KM</t>
        </is>
      </c>
      <c r="G142" t="inlineStr">
        <is>
          <t>SRC_KIA_NETTBUTIKK_EV2</t>
        </is>
      </c>
      <c r="H142" t="inlineStr">
        <is>
          <t>MEDIUM</t>
        </is>
      </c>
      <c r="I142" t="inlineStr">
        <is>
          <t>2026-07-06</t>
        </is>
      </c>
      <c r="J142" t="inlineStr">
        <is>
          <t>1.4</t>
        </is>
      </c>
    </row>
    <row r="143">
      <c r="A143" t="inlineStr">
        <is>
          <t>TECH_000136</t>
        </is>
      </c>
      <c r="C143" t="inlineStr">
        <is>
          <t>KIA_EV2_FWD_LONG_RANGE_GT_LINE</t>
        </is>
      </c>
      <c r="D143" t="inlineStr">
        <is>
          <t>WLTP consumption</t>
        </is>
      </c>
      <c r="E143" t="n">
        <v>15.2</v>
      </c>
      <c r="F143" t="inlineStr">
        <is>
          <t>KWH_100KM</t>
        </is>
      </c>
      <c r="G143" t="inlineStr">
        <is>
          <t>SRC_KIA_NETTBUTIKK_EV2</t>
        </is>
      </c>
      <c r="H143" t="inlineStr">
        <is>
          <t>MEDIUM</t>
        </is>
      </c>
      <c r="I143" t="inlineStr">
        <is>
          <t>2026-07-06</t>
        </is>
      </c>
      <c r="J143" t="inlineStr">
        <is>
          <t>1.4</t>
        </is>
      </c>
    </row>
    <row r="144">
      <c r="A144" t="inlineStr">
        <is>
          <t>TECH_000137</t>
        </is>
      </c>
      <c r="C144" t="inlineStr">
        <is>
          <t>KIA_EV2_FWD_LONG_RANGE_GT_LINE</t>
        </is>
      </c>
      <c r="D144" t="inlineStr">
        <is>
          <t>AC max charging</t>
        </is>
      </c>
      <c r="E144" t="n">
        <v>11</v>
      </c>
      <c r="F144" t="inlineStr">
        <is>
          <t>KW</t>
        </is>
      </c>
      <c r="G144" t="inlineStr">
        <is>
          <t>SRC_KIA_NETTBUTIKK_EV2</t>
        </is>
      </c>
      <c r="H144" t="inlineStr">
        <is>
          <t>MEDIUM</t>
        </is>
      </c>
      <c r="I144" t="inlineStr">
        <is>
          <t>2026-07-06</t>
        </is>
      </c>
      <c r="J144" t="inlineStr">
        <is>
          <t>1.4</t>
        </is>
      </c>
    </row>
    <row r="145">
      <c r="A145" t="inlineStr">
        <is>
          <t>TECH_000138</t>
        </is>
      </c>
      <c r="C145" t="inlineStr">
        <is>
          <t>KIA_EV2_FWD_LONG_RANGE_GT_LINE</t>
        </is>
      </c>
      <c r="D145" t="inlineStr">
        <is>
          <t>Battery net</t>
        </is>
      </c>
      <c r="E145" t="n">
        <v>62</v>
      </c>
      <c r="F145" t="inlineStr">
        <is>
          <t>KWH</t>
        </is>
      </c>
      <c r="G145" t="inlineStr">
        <is>
          <t>SRC_KIA_NETTBUTIKK_EV2</t>
        </is>
      </c>
      <c r="H145" t="inlineStr">
        <is>
          <t>MEDIUM</t>
        </is>
      </c>
      <c r="I145" t="inlineStr">
        <is>
          <t>2026-07-06</t>
        </is>
      </c>
      <c r="J145" t="inlineStr">
        <is>
          <t>1.4</t>
        </is>
      </c>
    </row>
    <row r="146">
      <c r="A146" t="inlineStr">
        <is>
          <t>TECH_000139</t>
        </is>
      </c>
      <c r="C146" t="inlineStr">
        <is>
          <t>KIA_EV2_FWD_LONG_RANGE_GT_LINE</t>
        </is>
      </c>
      <c r="D146" t="inlineStr">
        <is>
          <t>Max trailer weight</t>
        </is>
      </c>
      <c r="E146" t="n">
        <v>750</v>
      </c>
      <c r="F146" t="inlineStr">
        <is>
          <t>KG</t>
        </is>
      </c>
      <c r="G146" t="inlineStr">
        <is>
          <t>SRC_KIA_NETTBUTIKK_EV2</t>
        </is>
      </c>
      <c r="H146" t="inlineStr">
        <is>
          <t>MEDIUM</t>
        </is>
      </c>
      <c r="I146" t="inlineStr">
        <is>
          <t>2026-07-06</t>
        </is>
      </c>
      <c r="J146" t="inlineStr">
        <is>
          <t>1.4</t>
        </is>
      </c>
    </row>
    <row r="147">
      <c r="A147" t="inlineStr">
        <is>
          <t>TECH_000140</t>
        </is>
      </c>
      <c r="C147" t="inlineStr">
        <is>
          <t>KIA_EV2_FWD_LONG_RANGE_GT_LINE</t>
        </is>
      </c>
      <c r="D147" t="inlineStr">
        <is>
          <t>Boot volume</t>
        </is>
      </c>
      <c r="E147" t="n">
        <v>362</v>
      </c>
      <c r="F147" t="inlineStr">
        <is>
          <t>L</t>
        </is>
      </c>
      <c r="G147" t="inlineStr">
        <is>
          <t>SRC_KIA_NETTBUTIKK_EV2</t>
        </is>
      </c>
      <c r="H147" t="inlineStr">
        <is>
          <t>LOW</t>
        </is>
      </c>
      <c r="I147" t="inlineStr">
        <is>
          <t>2026-07-06</t>
        </is>
      </c>
      <c r="J147" t="inlineStr">
        <is>
          <t>1.4</t>
        </is>
      </c>
    </row>
    <row r="148">
      <c r="A148" t="inlineStr">
        <is>
          <t>TECH_000141</t>
        </is>
      </c>
      <c r="C148" t="inlineStr">
        <is>
          <t>KIA_EV2_FWD_LONG_RANGE_GT_LINE</t>
        </is>
      </c>
      <c r="D148" t="inlineStr">
        <is>
          <t>Frunk volume</t>
        </is>
      </c>
      <c r="E148" t="n">
        <v>15</v>
      </c>
      <c r="F148" t="inlineStr">
        <is>
          <t>L</t>
        </is>
      </c>
      <c r="G148" t="inlineStr">
        <is>
          <t>SRC_KIA_NETTBUTIKK_EV2</t>
        </is>
      </c>
      <c r="H148" t="inlineStr">
        <is>
          <t>LOW</t>
        </is>
      </c>
      <c r="I148" t="inlineStr">
        <is>
          <t>2026-07-06</t>
        </is>
      </c>
      <c r="J148" t="inlineStr">
        <is>
          <t>1.4</t>
        </is>
      </c>
    </row>
    <row r="149">
      <c r="A149" t="inlineStr">
        <is>
          <t>TECH_000142</t>
        </is>
      </c>
      <c r="C149" t="inlineStr">
        <is>
          <t>VOLVO_EX30_P8_AWD</t>
        </is>
      </c>
      <c r="D149" t="inlineStr">
        <is>
          <t>Winter highway range estimate</t>
        </is>
      </c>
      <c r="E149" t="n">
        <v>338</v>
      </c>
      <c r="F149" t="inlineStr">
        <is>
          <t>KM</t>
        </is>
      </c>
      <c r="G149" t="inlineStr">
        <is>
          <t>SRC_ELBIL_VOLVO_EX30_WINTER</t>
        </is>
      </c>
      <c r="H149" t="inlineStr">
        <is>
          <t>MEDIUM</t>
        </is>
      </c>
      <c r="I149" t="inlineStr">
        <is>
          <t>2026-07-06</t>
        </is>
      </c>
      <c r="J149" t="inlineStr">
        <is>
          <t>1.4</t>
        </is>
      </c>
    </row>
    <row r="150">
      <c r="A150" t="inlineStr">
        <is>
          <t>TECH_000143</t>
        </is>
      </c>
      <c r="C150" t="inlineStr">
        <is>
          <t>RENAULT_4_TECHNO</t>
        </is>
      </c>
      <c r="D150" t="inlineStr">
        <is>
          <t>Winter highway range estimate</t>
        </is>
      </c>
      <c r="E150" t="n">
        <v>287</v>
      </c>
      <c r="F150" t="inlineStr">
        <is>
          <t>KM</t>
        </is>
      </c>
      <c r="G150" t="inlineStr">
        <is>
          <t>SRC_ELBIL_RENAULT4_TEST</t>
        </is>
      </c>
      <c r="H150" t="inlineStr">
        <is>
          <t>LOW</t>
        </is>
      </c>
      <c r="I150" t="inlineStr">
        <is>
          <t>2026-07-06</t>
        </is>
      </c>
      <c r="J150" t="inlineStr">
        <is>
          <t>1.4</t>
        </is>
      </c>
    </row>
    <row r="151">
      <c r="A151" t="inlineStr">
        <is>
          <t>TECH_000144</t>
        </is>
      </c>
      <c r="C151" t="inlineStr">
        <is>
          <t>KIA_EV2_FWD_LONG_RANGE_GT_LINE</t>
        </is>
      </c>
      <c r="D151" t="inlineStr">
        <is>
          <t>Length</t>
        </is>
      </c>
      <c r="E151" t="n">
        <v>4065</v>
      </c>
      <c r="F151" t="inlineStr">
        <is>
          <t>MM</t>
        </is>
      </c>
      <c r="G151" t="inlineStr">
        <is>
          <t>SRC_KIA_UK_SPECS_PDF</t>
        </is>
      </c>
      <c r="H151" t="inlineStr">
        <is>
          <t>MEDIUM</t>
        </is>
      </c>
      <c r="I151" t="inlineStr">
        <is>
          <t>2026-07-06</t>
        </is>
      </c>
      <c r="J151"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6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72"/>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pa 15 minutter) og 13,6 kWh/100km forbruk for denne konfigurasjonen - godt over minimumsbehovet gitt lav estimert arlig kjorelengde (~8000 km/ar), men ladehastighet er uansett lavt vektet i denne kriteriemodellen.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motorstoy, lite dekkstoy pa motorvei og lite fjaeringsstoy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hoyere hastighet pa Standard Range-varianten, med dempere beskrevet som stive og "ikke spesielt sofistikerte." What Car? rapporterer motsatt at fjaeringen er relativt myk og glatter ut humper, om enn med krengning i svinger. Direkte motstridende funn - dokumentert som uenighet, ikke lost.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pa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hoyest forbruk i utvalget) uten tilsvarende mer rekkevidde. Merprisen gar hovedsakelig til firehjulsdrift og ytelse (0-100 pa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kjoperens egne tilvalg (4-seter, vinterhjul) og er ikke representativt for trimmens egen verdi. Vurdert pa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med 220mm. Denne konfigurasjonen oppfyller ikke engang minstekravet (M002), langt mindre gir den margin utover det. Laveste mulige score, og et symptom pa at denne konfigurasjonen ikke skulle vaert vektet evaluert i utgangspunktet (se DecisionLog DEC_M002_VIOLATION).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storst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pa motorvei.' Kort omtale fremfor en dyptgaende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far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VOLVO_EX30_P8_AWD</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VOLVO_EX30_P8_AWD</t>
        </is>
      </c>
      <c r="D58" t="inlineStr">
        <is>
          <t>Teknologi</t>
        </is>
      </c>
      <c r="E58" t="n">
        <v>2</v>
      </c>
      <c r="F58" t="inlineStr">
        <is>
          <t>HIGH</t>
        </is>
      </c>
      <c r="G58" t="inlineStr">
        <is>
          <t>Denne konfigurasjonen (Twin Performance AWD, 468 900 kr) er Plus-utstyrsnivå, ikke Ultra - 360-graders kamera og automatisk parkeringsassistent er forbeholdt Ultra (ca. 505 900 kr for samme drivlinje). Mangler den spesifikke 360-verdien kriteriet fremhever, i tråd med Tesla, Renault og Skoda sin vurdering. [Kriterium W009]</t>
        </is>
      </c>
      <c r="H58" t="inlineStr">
        <is>
          <t>EV_000073</t>
        </is>
      </c>
      <c r="I58" t="inlineStr">
        <is>
          <t>1.4</t>
        </is>
      </c>
    </row>
    <row r="59">
      <c r="A59" t="inlineStr">
        <is>
          <t>REV_000058</t>
        </is>
      </c>
      <c r="C59" t="inlineStr">
        <is>
          <t>KIA_EV2_FWD_LONG_RANGE_GT_LINE</t>
        </is>
      </c>
      <c r="D59" t="inlineStr">
        <is>
          <t>Teknologi</t>
        </is>
      </c>
      <c r="E59" t="n">
        <v>4</v>
      </c>
      <c r="F59" t="inlineStr">
        <is>
          <t>MEDIUM</t>
        </is>
      </c>
      <c r="G59" t="inlineStr">
        <is>
          <t>Plattformen (delt ccNC-infotainment med EV3/EV6/EV9) har en bekreftet historikk med substansielle, funksjonsutvidende OTA-oppdateringer, men EV2 var ikke inkludert i den sist bekreftede utrullingen (februar 2026) og har ingen egen OTA-historikk ennå - bilen er rett og slett for ny. Sterk plattformevidens, men ikke bilspesifikt bevist. [Kriterium W006]</t>
        </is>
      </c>
      <c r="H59" t="inlineStr">
        <is>
          <t>EV_000074,EV_000075,EV_000076</t>
        </is>
      </c>
      <c r="I59" t="inlineStr">
        <is>
          <t>1.4</t>
        </is>
      </c>
    </row>
    <row r="60">
      <c r="A60" t="inlineStr">
        <is>
          <t>REV_000059</t>
        </is>
      </c>
      <c r="C60" t="inlineStr">
        <is>
          <t>KIA_EV2_FWD_LONG_RANGE_GT_LINE</t>
        </is>
      </c>
      <c r="D60" t="inlineStr">
        <is>
          <t>Teknologi</t>
        </is>
      </c>
      <c r="E60" t="n">
        <v>4</v>
      </c>
      <c r="F60" t="inlineStr">
        <is>
          <t>HIGH</t>
        </is>
      </c>
      <c r="G60" t="inlineStr">
        <is>
          <t>Euro NCAP ga søstermodellen EV3 'Very Good' for assistert kjøring med 'Excellent' styringsassistanse, og en dansk EV2-spesifikk test bekrefter at automatisk vognbaneskift 'fungerer rigtig godt'. En mindre innvending om at systemet holder for hardt i rattet svekker ikke det overordnede positive bildet. [Kriterium W008]</t>
        </is>
      </c>
      <c r="H60" t="inlineStr">
        <is>
          <t>EV_000077,EV_000078,EV_000079</t>
        </is>
      </c>
      <c r="I60" t="inlineStr">
        <is>
          <t>1.4</t>
        </is>
      </c>
    </row>
    <row r="61">
      <c r="A61" t="inlineStr">
        <is>
          <t>REV_000060</t>
        </is>
      </c>
      <c r="C61" t="inlineStr">
        <is>
          <t>KIA_EV2_FWD_LONG_RANGE_GT_LINE</t>
        </is>
      </c>
      <c r="D61" t="inlineStr">
        <is>
          <t>Teknologi</t>
        </is>
      </c>
      <c r="E61" t="n">
        <v>5</v>
      </c>
      <c r="F61" t="inlineStr">
        <is>
          <t>MEDIUM</t>
        </is>
      </c>
      <c r="G61" t="inlineStr">
        <is>
          <t>360-graders kamera er bekreftet standardutstyr for nettopp denne konfigurasjonen via forhandlertilbud (Bertel O. Steen). Første av de fem konfigurasjonene som faktisk har denne funksjonen som kriteriet er bygget rundt. [Kriterium W009]</t>
        </is>
      </c>
      <c r="H61" t="inlineStr">
        <is>
          <t>EV_000080</t>
        </is>
      </c>
      <c r="I61" t="inlineStr">
        <is>
          <t>1.4</t>
        </is>
      </c>
    </row>
    <row r="62">
      <c r="A62" t="inlineStr">
        <is>
          <t>REV_000061</t>
        </is>
      </c>
      <c r="C62" t="inlineStr">
        <is>
          <t>TESLA_MODEL_3_LONG_RANGE_RWD</t>
        </is>
      </c>
      <c r="D62" t="inlineStr">
        <is>
          <t>Langtidseierskap</t>
        </is>
      </c>
      <c r="E62" t="n">
        <v>5</v>
      </c>
      <c r="F62" t="inlineStr">
        <is>
          <t>HIGH</t>
        </is>
      </c>
      <c r="G62" t="inlineStr">
        <is>
          <t>Model 3 har vært Norges mest solgte bilmodell i flere år (2020 og 2021, med over 12 000 solgte i 2021 alene), og over 60 000 eksemplarer ruller på norske skilter i dag - den desidert lengste og mest dokumenterte sporhistorikken av de fem konfigurasjonene. Både produsent og modell fremstår som lavest mulig risiko i denne sammenligningen. [Kriterium W014]</t>
        </is>
      </c>
      <c r="H62" t="inlineStr">
        <is>
          <t>EV_000081</t>
        </is>
      </c>
      <c r="I62" t="inlineStr">
        <is>
          <t>1.4</t>
        </is>
      </c>
    </row>
    <row r="63">
      <c r="A63" t="inlineStr">
        <is>
          <t>REV_000062</t>
        </is>
      </c>
      <c r="C63" t="inlineStr">
        <is>
          <t>TESLA_MODEL_3_LONG_RANGE_RWD</t>
        </is>
      </c>
      <c r="D63" t="inlineStr">
        <is>
          <t>Langtidseierskap</t>
        </is>
      </c>
      <c r="E63" t="n">
        <v>3</v>
      </c>
      <c r="F63" t="inlineStr">
        <is>
          <t>MEDIUM</t>
        </is>
      </c>
      <c r="G63" t="inlineStr">
        <is>
          <t>Tesla tilbyr 4 års/80 000 km generell nybilgaranti - kortest av de fem konfigurasjonene - samt 8 års batterigaranti (minst 70 % kapasitet) og 12 års rustgaranti uten kilometergrense. Serviceapparatet er også strukturelt annerledes enn de øvrige: færre faste servicesentre (Bærum og Oslo), supplert med mobil service fremfor et tradisjonelt forhandlernett. Solide batterivilkår, men svakest generell garanti og et tynnere fysisk serviceapparat enn konkurrentene. [Kriterium W015]</t>
        </is>
      </c>
      <c r="H63" t="inlineStr">
        <is>
          <t>EV_000082</t>
        </is>
      </c>
      <c r="I63" t="inlineStr">
        <is>
          <t>1.4</t>
        </is>
      </c>
    </row>
    <row r="64">
      <c r="A64" t="inlineStr">
        <is>
          <t>REV_000063</t>
        </is>
      </c>
      <c r="C64" t="inlineStr">
        <is>
          <t>RENAULT_4_TECHNO</t>
        </is>
      </c>
      <c r="D64" t="inlineStr">
        <is>
          <t>Langtidseierskap</t>
        </is>
      </c>
      <c r="E64" t="n">
        <v>3</v>
      </c>
      <c r="F64" t="inlineStr">
        <is>
          <t>MEDIUM</t>
        </is>
      </c>
      <c r="G64" t="inlineStr">
        <is>
          <t>Renault 4 E-Tech er tilgjengelig i Norge fra høsten 2025 - under ett år på markedet ved vurderingstidspunktet, og en helt ny plattform (AmpR Small) uten egen lang sporhistorikk. Produsenten selv er langt fra ny (over 125 år i bilbransjen, lang nordisk tilstedeværelse), men den konkrete konfigurasjonens ferskhet tilsier en forsiktig middels vurdering. [Kriterium W014]</t>
        </is>
      </c>
      <c r="H64" t="inlineStr">
        <is>
          <t>EV_000083</t>
        </is>
      </c>
      <c r="I64" t="inlineStr">
        <is>
          <t>1.4</t>
        </is>
      </c>
    </row>
    <row r="65">
      <c r="A65" t="inlineStr">
        <is>
          <t>REV_000064</t>
        </is>
      </c>
      <c r="C65" t="inlineStr">
        <is>
          <t>RENAULT_4_TECHNO</t>
        </is>
      </c>
      <c r="D65" t="inlineStr">
        <is>
          <t>Langtidseierskap</t>
        </is>
      </c>
      <c r="E65" t="n">
        <v>4</v>
      </c>
      <c r="F65" t="inlineStr">
        <is>
          <t>MEDIUM</t>
        </is>
      </c>
      <c r="G65" t="inlineStr">
        <is>
          <t>Renault innførte fra mai 2025 5 års/150 000 km generell garanti på alle nye elbiler, i tillegg til 8 års/160 000 km batterigaranti (minst 70 % SOH). Vilkårene ble bekreftet via dansk Renault-kilde (samme paneuropeiske elbilpolitikk gjelder trolig Norge, men ikke direkte bekreftet på en norsk side) - solid garanti kombinert med et langt etablert forhandler- og serviceapparat i Norge. [Kriterium W015]</t>
        </is>
      </c>
      <c r="H65" t="inlineStr">
        <is>
          <t>EV_000084</t>
        </is>
      </c>
      <c r="I65" t="inlineStr">
        <is>
          <t>1.4</t>
        </is>
      </c>
    </row>
    <row r="66">
      <c r="A66" t="inlineStr">
        <is>
          <t>REV_000065</t>
        </is>
      </c>
      <c r="C66" t="inlineStr">
        <is>
          <t>SKODA_ELROQ_SELECTION_60</t>
        </is>
      </c>
      <c r="D66" t="inlineStr">
        <is>
          <t>Langtidseierskap</t>
        </is>
      </c>
      <c r="E66" t="n">
        <v>4</v>
      </c>
      <c r="F66" t="inlineStr">
        <is>
          <t>MEDIUM</t>
        </is>
      </c>
      <c r="G66" t="inlineStr">
        <is>
          <t>Elroq gikk i produksjon januar 2025 med leveranser fra tidlig 2025 - rundt halvannet år på markedet. Viktigere: den er den andre Skoda-modellen bygget på Volkswagen-konsernets MEB-plattform, som også deler arkitektur med Enyaq, ID.3, ID.4/ID.5 og Audi Q4 e-tron - en plattform med flere års reell driftserfaring på tvers av merker. Modenheten i den delte plattformen veier tyngre enn Elroqs egen korte modellhistorikk. [Kriterium W014]</t>
        </is>
      </c>
      <c r="H66" t="inlineStr">
        <is>
          <t>EV_000085</t>
        </is>
      </c>
      <c r="I66" t="inlineStr">
        <is>
          <t>1.4</t>
        </is>
      </c>
    </row>
    <row r="67">
      <c r="A67" t="inlineStr">
        <is>
          <t>REV_000066</t>
        </is>
      </c>
      <c r="C67" t="inlineStr">
        <is>
          <t>SKODA_ELROQ_SELECTION_60</t>
        </is>
      </c>
      <c r="D67" t="inlineStr">
        <is>
          <t>Langtidseierskap</t>
        </is>
      </c>
      <c r="E67" t="n">
        <v>4</v>
      </c>
      <c r="F67" t="inlineStr">
        <is>
          <t>HIGH</t>
        </is>
      </c>
      <c r="G67" t="inlineStr">
        <is>
          <t>Skoda-Norge (importert av Harald A. Møller AS) tilbyr 5 års/100 000 km generell nybilgaranti samt 8 års/160 000 km batterigaranti (minst 70 % kapasitet) på alle nye elbiler. Kortere kilometergrense enn Renault og Kia, men fortsatt god margin for en familiebil med begrenset årlig kjørelengde (jf. W018), og et langt etablert, landsdekkende forhandlernett via Møller-apparatet. [Kriterium W015]</t>
        </is>
      </c>
      <c r="H67" t="inlineStr">
        <is>
          <t>EV_000086</t>
        </is>
      </c>
      <c r="I67" t="inlineStr">
        <is>
          <t>1.4</t>
        </is>
      </c>
    </row>
    <row r="68">
      <c r="A68" t="inlineStr">
        <is>
          <t>REV_000067</t>
        </is>
      </c>
      <c r="C68" t="inlineStr">
        <is>
          <t>VOLVO_EX30_P8_AWD</t>
        </is>
      </c>
      <c r="D68" t="inlineStr">
        <is>
          <t>Langtidseierskap</t>
        </is>
      </c>
      <c r="E68" t="n">
        <v>3</v>
      </c>
      <c r="F68" t="inlineStr">
        <is>
          <t>MEDIUM</t>
        </is>
      </c>
      <c r="G68" t="inlineStr">
        <is>
          <t>EX30 har vært på det norske markedet i rundt to-tre år - lengre enn Renault 4, Elroq og EV2 - og Volvo er en veletablert produsent med lang nordisk historie. Men modellen lanserte med alvorlige programvarefeil (sorte skjermer, feil på nøkkelfri adgang, rapportert strømtap) alvorlige nok til å utløse forbrukerrettighetsreturer i Storbritannia, og det tok Volvo omtrent et år å rette dette via OTA. En reell, dokumentert kvalitetshendelse tidlig i modellens levetid trekker ned til tross for lengre markedstilstedeværelse enn de tre nyeste konfigurasjonene. [Kriterium W014]</t>
        </is>
      </c>
      <c r="H68" t="inlineStr">
        <is>
          <t>EV_000071,EV_000072</t>
        </is>
      </c>
      <c r="I68" t="inlineStr">
        <is>
          <t>1.4</t>
        </is>
      </c>
    </row>
    <row r="69">
      <c r="A69" t="inlineStr">
        <is>
          <t>REV_000068</t>
        </is>
      </c>
      <c r="C69" t="inlineStr">
        <is>
          <t>VOLVO_EX30_P8_AWD</t>
        </is>
      </c>
      <c r="D69" t="inlineStr">
        <is>
          <t>Langtidseierskap</t>
        </is>
      </c>
      <c r="E69" t="n">
        <v>4</v>
      </c>
      <c r="F69" t="inlineStr">
        <is>
          <t>HIGH</t>
        </is>
      </c>
      <c r="G69" t="inlineStr">
        <is>
          <t>Volvo tilbyr 5 års/100 000 km generell nybilgaranti samt 8 års/160 000 km batterigaranti (minst 70 % kapasitet) - identiske vilkår med Skoda. Volvo har et av de lengst etablerte forhandler- og serviceapparatene i Norge av de fem merkene. Solid, men ikke ledende, garanti sammenlignet med Kia. [Kriterium W015]</t>
        </is>
      </c>
      <c r="H69" t="inlineStr">
        <is>
          <t>EV_000087</t>
        </is>
      </c>
      <c r="I69" t="inlineStr">
        <is>
          <t>1.4</t>
        </is>
      </c>
    </row>
    <row r="70">
      <c r="A70" t="inlineStr">
        <is>
          <t>REV_000069</t>
        </is>
      </c>
      <c r="C70" t="inlineStr">
        <is>
          <t>KIA_EV2_FWD_LONG_RANGE_GT_LINE</t>
        </is>
      </c>
      <c r="D70" t="inlineStr">
        <is>
          <t>Langtidseierskap</t>
        </is>
      </c>
      <c r="E70" t="n">
        <v>2</v>
      </c>
      <c r="F70" t="inlineStr">
        <is>
          <t>HIGH</t>
        </is>
      </c>
      <c r="G70" t="inlineStr">
        <is>
          <t>EV2 GT Line er den klart ferskeste av de fem konfigurasjonene: Kias egen pressemelding bekrefter at produksjon for alle batterialternativer kom i gang 25. juni 2026, og salget av EV2 startet formelt først 2. juli 2026 - bokstavelig talt dager før denne vurderingen. Det finnes ingen reell norsk eller nordisk eierhistorikk å vurdere ennå. Kia som produsent har solid generell renommé og lang historie, og plattformen deler programvarearv med EV3/EV6/EV9 (jf. W006-vurderingen), men kriteriets eksplisitte krav om konservativ vurdering ved kort nordisk historikk tilsier en lav score her. [Kriterium W014]</t>
        </is>
      </c>
      <c r="H70" t="inlineStr">
        <is>
          <t>EV_000088</t>
        </is>
      </c>
      <c r="I70" t="inlineStr">
        <is>
          <t>1.4</t>
        </is>
      </c>
    </row>
    <row r="71">
      <c r="A71" t="inlineStr">
        <is>
          <t>REV_000070</t>
        </is>
      </c>
      <c r="C71" t="inlineStr">
        <is>
          <t>KIA_EV2_FWD_LONG_RANGE_GT_LINE</t>
        </is>
      </c>
      <c r="D71" t="inlineStr">
        <is>
          <t>Langtidseierskap</t>
        </is>
      </c>
      <c r="E71" t="n">
        <v>5</v>
      </c>
      <c r="F71" t="inlineStr">
        <is>
          <t>HIGH</t>
        </is>
      </c>
      <c r="G71" t="inlineStr">
        <is>
          <t>Kia tilbyr 7 års/150 000 km generell nybilgaranti som dekker både bil og elbilbatteri (fra modellår 2026 utvidet til 8 år/160 000 km) - lengst av de fem konfigurasjonene, og garantien overføres til neste eier, noe som også styrker bruktverdien. Kombinert med et etablert, landsdekkende forhandlernett i Norge gir dette den klart sterkeste vurderingen på dette kriteriet, til tross for at EV2 selv er en helt ny modell (jf. W014). [Kriterium W015]</t>
        </is>
      </c>
      <c r="H71" t="inlineStr">
        <is>
          <t>EV_000089</t>
        </is>
      </c>
      <c r="I71" t="inlineStr">
        <is>
          <t>1.4</t>
        </is>
      </c>
    </row>
    <row r="72">
      <c r="A72" t="inlineStr">
        <is>
          <t>REV_000071</t>
        </is>
      </c>
      <c r="C72" t="inlineStr">
        <is>
          <t>TESLA_MODEL_3_LONG_RANGE_RWD</t>
        </is>
      </c>
      <c r="D72" t="inlineStr">
        <is>
          <t>Langtidseierskap</t>
        </is>
      </c>
      <c r="E72" t="n">
        <v>5</v>
      </c>
      <c r="F72" t="inlineStr">
        <is>
          <t>HIGH</t>
        </is>
      </c>
      <c r="G72" t="inlineStr">
        <is>
          <t>Model 3 har den desidert lengste og mest kontinuerlig dokumenterte vinterhistorikken av de fem konfigurasjonene: testet av NAF/Motor hvert år siden 2020, med jevnt sterke og forbedrede resultater (521-548 km faktisk kjørt over ulike vintertester, WLTP økt fra 560 til 614 km). Et reelt, flerårig "over tid"-bevis for nordisk klimaegnethet. [Kriterium W016]</t>
        </is>
      </c>
      <c r="H72" t="inlineStr">
        <is>
          <t>EV_000090</t>
        </is>
      </c>
      <c r="I72"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91"/>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hoyere hastigheter gir en vel spretten folelse"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Forerassistenter kvalitet: elbil.no sin norske test bekrefter adaptiv cruise control er standard pa Techno (og Iconic), og at den fungerer 'overraskende greit pa motorvei'. Kort omtale, ikke en dyptgaende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pa Iconic-varianten (+20 000 kr over Techno). Techno far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row r="75">
      <c r="A75" t="inlineStr">
        <is>
          <t>EV_000074</t>
        </is>
      </c>
      <c r="C75" t="inlineStr">
        <is>
          <t>KIA_EV2_FWD_LONG_RANGE_GT_LINE</t>
        </is>
      </c>
      <c r="D75" t="inlineStr">
        <is>
          <t>OTA/fremtidssikring: Kia sin offisielle oppdateringsnotis for februar 2026 lister Carnival, EV3, EV6 PE, EV6 GT, EV9 og Sorento som mottakere - EV2 er ikke inkludert i denne konkrete utrullingen, som bekrefter at bilen ennå ikke har egen OTA-historikk selv om plattformen støtter det.</t>
        </is>
      </c>
      <c r="E75" t="inlineStr">
        <is>
          <t>SRC_KIA_UPDATE_FEB2026</t>
        </is>
      </c>
      <c r="F75" t="inlineStr">
        <is>
          <t>HIGH</t>
        </is>
      </c>
    </row>
    <row r="76">
      <c r="A76" t="inlineStr">
        <is>
          <t>EV_000075</t>
        </is>
      </c>
      <c r="C76" t="inlineStr">
        <is>
          <t>KIA_EV2_FWD_LONG_RANGE_GT_LINE</t>
        </is>
      </c>
      <c r="D76" t="inlineStr">
        <is>
          <t>OTA/fremtidssikring: Kia sin pressemelding om OTA-oppdatering RU 24.2 til EV3 (samme ccNC-plattform) la til AI-stemmeassistent, YouTube-strømming og Wi-Fi-hotspot - 18 endringer totalt. Bekrefter reell funksjonsutvidende OTA-kapasitet på plattformen, ikke bare feilrettinger.</t>
        </is>
      </c>
      <c r="E76" t="inlineStr">
        <is>
          <t>SRC_KIA_PRESS_EV3_OTA_MAR2025</t>
        </is>
      </c>
      <c r="F76" t="inlineStr">
        <is>
          <t>MEDIUM</t>
        </is>
      </c>
    </row>
    <row r="77">
      <c r="A77" t="inlineStr">
        <is>
          <t>EV_000076</t>
        </is>
      </c>
      <c r="C77" t="inlineStr">
        <is>
          <t>KIA_EV2_FWD_LONG_RANGE_GT_LINE</t>
        </is>
      </c>
      <c r="D77" t="inlineStr">
        <is>
          <t>OTA/fremtidssikring: elbil.no bekrefter at trådløse programvareoppdateringer er tilgjengelig på EV2, uten å kommentere sporhistorikk eller kvalitet.</t>
        </is>
      </c>
      <c r="E77" t="inlineStr">
        <is>
          <t>SRC_ELBIL_KIA_EV2_TEST</t>
        </is>
      </c>
      <c r="F77" t="inlineStr">
        <is>
          <t>MEDIUM</t>
        </is>
      </c>
    </row>
    <row r="78">
      <c r="A78" t="inlineStr">
        <is>
          <t>EV_000077</t>
        </is>
      </c>
      <c r="C78" t="inlineStr">
        <is>
          <t>KIA_EV2_FWD_LONG_RANGE_GT_LINE</t>
        </is>
      </c>
      <c r="D78" t="inlineStr">
        <is>
          <t>Førerassistenter kvalitet: Euro NCAP sin vurdering av EV3 (nærmeste plattform- og programvaresøster) gir 'Very Good' samlet for assistert kjøring. Styringsassistanse 'Excellent' (35/35 poeng) - holder feltposisjon effektivt på 80/100/120 km/t. Adaptiv cruise control 'Adequate' (25,3/40) - scorer lavere på forbikjøring og fletting.</t>
        </is>
      </c>
      <c r="E78" t="inlineStr">
        <is>
          <t>SRC_EURONCAP_EV3_2025</t>
        </is>
      </c>
      <c r="F78" t="inlineStr">
        <is>
          <t>HIGH</t>
        </is>
      </c>
    </row>
    <row r="79">
      <c r="A79" t="inlineStr">
        <is>
          <t>EV_000078</t>
        </is>
      </c>
      <c r="C79" t="inlineStr">
        <is>
          <t>KIA_EV2_FWD_LONG_RANGE_GT_LINE</t>
        </is>
      </c>
      <c r="D79" t="inlineStr">
        <is>
          <t>Førerassistenter kvalitet: FDM sin EV2-spesifikke test bekrefter at bilen selv kan foreta vognbaneskift på motorveien, og at 'begge dele fungerer rigtig godt'.</t>
        </is>
      </c>
      <c r="E79" t="inlineStr">
        <is>
          <t>SRC_FDM_KIA_EV2_TEST</t>
        </is>
      </c>
      <c r="F79" t="inlineStr">
        <is>
          <t>HIGH</t>
        </is>
      </c>
    </row>
    <row r="80">
      <c r="A80" t="inlineStr">
        <is>
          <t>EV_000079</t>
        </is>
      </c>
      <c r="C80" t="inlineStr">
        <is>
          <t>KIA_EV2_FWD_LONG_RANGE_GT_LINE</t>
        </is>
      </c>
      <c r="D80" t="inlineStr">
        <is>
          <t>Førerassistenter kvalitet: bilmagasinet.dk sin EV2-spesifikke test bemerker at det adaptive systemet 'holder usædvanligt hårdt i rattet' og krever bevisst styreinnsats for å overstyre - en kritikk av inngripen, ikke av ytelse.</t>
        </is>
      </c>
      <c r="E80" t="inlineStr">
        <is>
          <t>SRC_BILMAGASINET_KIA_EV2</t>
        </is>
      </c>
      <c r="F80" t="inlineStr">
        <is>
          <t>MEDIUM</t>
        </is>
      </c>
    </row>
    <row r="81">
      <c r="A81" t="inlineStr">
        <is>
          <t>EV_000080</t>
        </is>
      </c>
      <c r="C81" t="inlineStr">
        <is>
          <t>KIA_EV2_FWD_LONG_RANGE_GT_LINE</t>
        </is>
      </c>
      <c r="D81" t="inlineStr">
        <is>
          <t>Kamera/parkering: Bertel O. Steen sitt tilbud for nettopp denne konfigurasjonen (EV2 FWD Long Range GT Line) bekrefter 360-graders kamera som standardutstyr.</t>
        </is>
      </c>
      <c r="E81" t="inlineStr">
        <is>
          <t>SRC_BOS_KIA_EV2_QUOTE</t>
        </is>
      </c>
      <c r="F81" t="inlineStr">
        <is>
          <t>MEDIUM</t>
        </is>
      </c>
    </row>
    <row r="82">
      <c r="A82" t="inlineStr">
        <is>
          <t>EV_000081</t>
        </is>
      </c>
      <c r="C82" t="inlineStr">
        <is>
          <t>TESLA_MODEL_3_LONG_RANGE_RWD</t>
        </is>
      </c>
      <c r="D82" t="inlineStr">
        <is>
          <t>Modellrisiko: Tesla Model 3 var Norges mest solgte bilmodell i 2020 og 2021 (over 12 000 solgte i 2021), og over 60 000 eksemplarer er i dag registrert på norske skilter. Ifølge OFV ble det registrert 2 562 nye Model 3 i november 2025 alene.</t>
        </is>
      </c>
      <c r="E82" t="inlineStr">
        <is>
          <t>SRC_TESLA_MODEL3_NO_SALES_HISTORY</t>
        </is>
      </c>
      <c r="F82" t="inlineStr">
        <is>
          <t>MEDIUM</t>
        </is>
      </c>
    </row>
    <row r="83">
      <c r="A83" t="inlineStr">
        <is>
          <t>EV_000082</t>
        </is>
      </c>
      <c r="C83" t="inlineStr">
        <is>
          <t>TESLA_MODEL_3_LONG_RANGE_RWD</t>
        </is>
      </c>
      <c r="D83" t="inlineStr">
        <is>
          <t>Garanti: Tesla oppgir 4 års/80 000 km generell nybilgaranti, 8 års batterigaranti (minst 70 % kapasitet beholdt) og 12 års rustgjennomtæringsgaranti uten kilometergrense. Serviceapparatet i Norge er strukturert rundt et fåtall faste servicesentre (Bærum, Oslo) supplert med mobil service, ikke et tradisjonelt forhandlernett.</t>
        </is>
      </c>
      <c r="E83" t="inlineStr">
        <is>
          <t>SRC_TESLA_NO_WARRANTY</t>
        </is>
      </c>
      <c r="F83" t="inlineStr">
        <is>
          <t>MEDIUM</t>
        </is>
      </c>
    </row>
    <row r="84">
      <c r="A84" t="inlineStr">
        <is>
          <t>EV_000083</t>
        </is>
      </c>
      <c r="C84" t="inlineStr">
        <is>
          <t>RENAULT_4_TECHNO</t>
        </is>
      </c>
      <c r="D84" t="inlineStr">
        <is>
          <t>Modellrisiko: Renault 4 E-Tech Electric ble tilgjengelig i det norske markedet fra høsten 2025 - under ett år på markedet ved vurderingstidspunktet (juli 2026). Bygget på Renaults nye AmpR Small-plattform uten egen lang driftshistorikk.</t>
        </is>
      </c>
      <c r="E84" t="inlineStr">
        <is>
          <t>SRC_RENAULT_4_NO_LAUNCH</t>
        </is>
      </c>
      <c r="F84" t="inlineStr">
        <is>
          <t>MEDIUM</t>
        </is>
      </c>
    </row>
    <row r="85">
      <c r="A85" t="inlineStr">
        <is>
          <t>EV_000084</t>
        </is>
      </c>
      <c r="C85" t="inlineStr">
        <is>
          <t>RENAULT_4_TECHNO</t>
        </is>
      </c>
      <c r="D85" t="inlineStr">
        <is>
          <t>Garanti: Renault innførte fra mai 2025 5 års/150 000 km generell nybilgaranti på alle nye elbiler, samt 8 års/160 000 km batterigaranti (minst 70 % SOH-kapasitet garantert). Bekreftet via dansk Renault-kilde som del av en paneuropeisk garantiendring; ikke direkte bekreftet på en norsk kildeside.</t>
        </is>
      </c>
      <c r="E85" t="inlineStr">
        <is>
          <t>SRC_RENAULT_EV_WARRANTY_2025</t>
        </is>
      </c>
      <c r="F85" t="inlineStr">
        <is>
          <t>MEDIUM</t>
        </is>
      </c>
    </row>
    <row r="86">
      <c r="A86" t="inlineStr">
        <is>
          <t>EV_000085</t>
        </is>
      </c>
      <c r="C86" t="inlineStr">
        <is>
          <t>SKODA_ELROQ_SELECTION_60</t>
        </is>
      </c>
      <c r="D86" t="inlineStr">
        <is>
          <t>Modellrisiko: Elroq gikk i produksjon januar 2025 med kundeleveranser fra tidlig 2025, etter å ha blitt vist frem på Paris Motor Show oktober 2024. Er den andre Skoda-modellen på Volkswagen-konsernets MEB-plattform, som deler arkitektur med Enyaq, ID.3, ID.4/ID.5 og Audi Q4 e-tron.</t>
        </is>
      </c>
      <c r="E86" t="inlineStr">
        <is>
          <t>SRC_SKODA_ELROQ_WIKIPEDIA_PLATFORM</t>
        </is>
      </c>
      <c r="F86" t="inlineStr">
        <is>
          <t>MEDIUM</t>
        </is>
      </c>
    </row>
    <row r="87">
      <c r="A87" t="inlineStr">
        <is>
          <t>EV_000086</t>
        </is>
      </c>
      <c r="C87" t="inlineStr">
        <is>
          <t>SKODA_ELROQ_SELECTION_60</t>
        </is>
      </c>
      <c r="D87" t="inlineStr">
        <is>
          <t>Garanti: Skoda-Norge (importert av Harald A. Møller AS) oppgir 5 års/100 000 km generell nybilgaranti, samt 8 års/160 000 km batterigaranti (minst 70 % kapasitet) på alle nye elbiler og ladbare hybrider.</t>
        </is>
      </c>
      <c r="E87" t="inlineStr">
        <is>
          <t>SRC_SKODA_NO_WARRANTY</t>
        </is>
      </c>
      <c r="F87" t="inlineStr">
        <is>
          <t>HIGH</t>
        </is>
      </c>
    </row>
    <row r="88">
      <c r="A88" t="inlineStr">
        <is>
          <t>EV_000087</t>
        </is>
      </c>
      <c r="C88" t="inlineStr">
        <is>
          <t>VOLVO_EX30_P8_AWD</t>
        </is>
      </c>
      <c r="D88" t="inlineStr">
        <is>
          <t>Garanti: Volvo oppgir 5 års/100 000 km generell nybilgaranti, samt opptil 8 års/160 000 km batterigaranti (minst 70 % kapasitet beholdt) på høyvoltbatteriet.</t>
        </is>
      </c>
      <c r="E88" t="inlineStr">
        <is>
          <t>SRC_VOLVO_NO_BATTERY_WARRANTY</t>
        </is>
      </c>
      <c r="F88" t="inlineStr">
        <is>
          <t>MEDIUM</t>
        </is>
      </c>
    </row>
    <row r="89">
      <c r="A89" t="inlineStr">
        <is>
          <t>EV_000088</t>
        </is>
      </c>
      <c r="C89" t="inlineStr">
        <is>
          <t>KIA_EV2_FWD_LONG_RANGE_GT_LINE</t>
        </is>
      </c>
      <c r="D89" t="inlineStr">
        <is>
          <t>Modellrisiko: Kias egen pressemelding (via NTB) bekrefter at produksjon for alle EV2-batterialternativer kom i gang 25. juni 2026, og en oppfølgende pressemelding bekrefter at salget av EV2 startet 2. juli 2026 - få dager før denne vurderingen. GT Line-utgaven er blant de første variantene i salg.</t>
        </is>
      </c>
      <c r="E89" t="inlineStr">
        <is>
          <t>SRC_KIA_EV2_NTB_PRODUCTION</t>
        </is>
      </c>
      <c r="F89" t="inlineStr">
        <is>
          <t>HIGH</t>
        </is>
      </c>
    </row>
    <row r="90">
      <c r="A90" t="inlineStr">
        <is>
          <t>EV_000089</t>
        </is>
      </c>
      <c r="C90" t="inlineStr">
        <is>
          <t>KIA_EV2_FWD_LONG_RANGE_GT_LINE</t>
        </is>
      </c>
      <c r="D90" t="inlineStr">
        <is>
          <t>Garanti: Kia oppgir 7 års/150 000 km generell nybilgaranti som også dekker elbilbatteriets kapasitet (fra modellår 2026 utvidet til 8 års/160 000 km). Garantien overføres til neste eier ved videresalg.</t>
        </is>
      </c>
      <c r="E90" t="inlineStr">
        <is>
          <t>SRC_KIA_NO_7YR_WARRANTY</t>
        </is>
      </c>
      <c r="F90" t="inlineStr">
        <is>
          <t>HIGH</t>
        </is>
      </c>
    </row>
    <row r="91">
      <c r="A91" t="inlineStr">
        <is>
          <t>EV_000090</t>
        </is>
      </c>
      <c r="C91" t="inlineStr">
        <is>
          <t>TESLA_MODEL_3_LONG_RANGE_RWD</t>
        </is>
      </c>
      <c r="D91" t="inlineStr">
        <is>
          <t>Nordisk modenhet: Tesla Model 3 har deltatt i NAF/Motor sin årlige vintertest hvert år siden 2020, med jevnt sterke og forbedrede resultater (WLTP-rekkevidde økt fra 560 til 614 km over generasjoner; faktisk kjørt distanse ca. 521-548 km i ulike vintertester) - den klart lengste, mest kontinuerlig verifiserte vinterhistorikken av de fem konfigurasjonene.</t>
        </is>
      </c>
      <c r="E91" t="inlineStr">
        <is>
          <t>SRC_NAF_TESLA_MODEL3_VINTERTEST</t>
        </is>
      </c>
      <c r="F91" t="inlineStr">
        <is>
          <t>HIGH</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55"/>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fjaering/komfort og sikt.</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row>
    <row r="39">
      <c r="A39" t="inlineStr">
        <is>
          <t>SRC_FRYDENBO_VOLVO_EX30_TRIMCOMPARE</t>
        </is>
      </c>
      <c r="B39" t="inlineStr">
        <is>
          <t>OTHER</t>
        </is>
      </c>
      <c r="C39" t="inlineStr">
        <is>
          <t>Volvo EX30 trim level comparison</t>
        </is>
      </c>
      <c r="D39" t="inlineStr">
        <is>
          <t>Frydenbø (Volvo dealer, Norway)</t>
        </is>
      </c>
      <c r="E39" t="inlineStr">
        <is>
          <t>https://www.frydenbo.no/</t>
        </is>
      </c>
      <c r="G39" t="inlineStr">
        <is>
          <t>2026-07-06</t>
        </is>
      </c>
      <c r="H39" t="inlineStr">
        <is>
          <t>Independently corroborates that at the Twin Performance AWD powertrain, Plus trim (468,900 NOK) excludes the 360-degree camera/Park Pilot, which is only added at Ultra trim (~505,900 NOK) for the same powertrain.</t>
        </is>
      </c>
    </row>
    <row r="40">
      <c r="A40" t="inlineStr">
        <is>
          <t>SRC_KIA_UPDATE_FEB2026</t>
        </is>
      </c>
      <c r="B40" t="inlineStr">
        <is>
          <t>MANUFACTURER</t>
        </is>
      </c>
      <c r="C40" t="inlineStr">
        <is>
          <t>Infotainment system update notice, February 2026</t>
        </is>
      </c>
      <c r="D40" t="inlineStr">
        <is>
          <t>Kia (update.kia.com)</t>
        </is>
      </c>
      <c r="E40" t="inlineStr">
        <is>
          <t>https://update.kia.com/EU/EN/updateNoticeView/Y2YGqZ</t>
        </is>
      </c>
      <c r="F40" t="inlineStr">
        <is>
          <t>2026-02-09</t>
        </is>
      </c>
      <c r="G40" t="inlineStr">
        <is>
          <t>2026-07-06</t>
        </is>
      </c>
      <c r="H40" t="inlineStr">
        <is>
          <t>Official Kia OTA update notice. Applicable models explicitly listed: Carnival (25MY), EV3 (MY25), EV6 PE (MY25), EV6 GT (New Facelift MY25+), EV9 (MY24-MY25), Sorento variants (MY25). EV2, EV4, EV5 are NOT listed as recipients of this update.</t>
        </is>
      </c>
    </row>
    <row r="41">
      <c r="A41" t="inlineStr">
        <is>
          <t>SRC_KIA_PRESS_EV3_OTA_MAR2025</t>
        </is>
      </c>
      <c r="B41" t="inlineStr">
        <is>
          <t>MANUFACTURER</t>
        </is>
      </c>
      <c r="C41" t="inlineStr">
        <is>
          <t>Kia EV3 OTA update RU 24.2</t>
        </is>
      </c>
      <c r="D41" t="inlineStr">
        <is>
          <t>Kia (press release, via trade press)</t>
        </is>
      </c>
      <c r="E41" t="inlineStr">
        <is>
          <t>https://www.kiapressoffice.com/releases/1813</t>
        </is>
      </c>
      <c r="F41" t="inlineStr">
        <is>
          <t>2025-03</t>
        </is>
      </c>
      <c r="G41" t="inlineStr">
        <is>
          <t>2026-07-06</t>
        </is>
      </c>
      <c r="H41" t="inlineStr">
        <is>
          <t>Press release describing a substantive, feature-adding OTA update to the EV3 (AI voice assistant, YouTube streaming, Wi-Fi hotspot - 18 changes total), demonstrating the shared ccNC platform's OTA capability goes beyond bug fixes.</t>
        </is>
      </c>
    </row>
    <row r="42">
      <c r="A42" t="inlineStr">
        <is>
          <t>SRC_ELBIL_KIA_EV2_TEST</t>
        </is>
      </c>
      <c r="B42" t="inlineStr">
        <is>
          <t>PROFESSIONAL_REVIEW</t>
        </is>
      </c>
      <c r="C42" t="inlineStr">
        <is>
          <t>Test av Kia EV2</t>
        </is>
      </c>
      <c r="D42" t="inlineStr">
        <is>
          <t>Norsk elbilforening (elbil.no)</t>
        </is>
      </c>
      <c r="E42" t="inlineStr">
        <is>
          <t>https://elbil.no/</t>
        </is>
      </c>
      <c r="G42" t="inlineStr">
        <is>
          <t>2026-07-06</t>
        </is>
      </c>
      <c r="H42" t="inlineStr">
        <is>
          <t>Confirms OTA ('Trådløs programvareoppdateringer') is available on the EV2, without further track-record commentary. Also references a Surround View Monitor ambiguously ('også tilgjengelig') without clearly stating standard vs optional status.</t>
        </is>
      </c>
    </row>
    <row r="43">
      <c r="A43" t="inlineStr">
        <is>
          <t>SRC_EURONCAP_EV3_2025</t>
        </is>
      </c>
      <c r="B43" t="inlineStr">
        <is>
          <t>CERTIFICATION</t>
        </is>
      </c>
      <c r="C43" t="inlineStr">
        <is>
          <t>Kia EV3 - Assisted Driving assessment</t>
        </is>
      </c>
      <c r="D43" t="inlineStr">
        <is>
          <t>Euro NCAP</t>
        </is>
      </c>
      <c r="E43" t="inlineStr">
        <is>
          <t>https://www.euroncap.com/assessments/kia/ev3/a026/</t>
        </is>
      </c>
      <c r="F43" t="inlineStr">
        <is>
          <t>2025</t>
        </is>
      </c>
      <c r="G43" t="inlineStr">
        <is>
          <t>2026-07-06</t>
        </is>
      </c>
      <c r="H43" t="inlineStr">
        <is>
          <t>Official Euro NCAP assisted-driving assessment of the EV3 (closest platform/software sibling to EV2), rated 'Very Good' overall. Steering Assistance 'Excellent' (35/35): maintains lane position effectively at 80/100/120 km/h. Adaptive Cruise Control 'Adequate' (25.3/40): scores lower on undertake prevention and cut-in situations.</t>
        </is>
      </c>
    </row>
    <row r="44">
      <c r="A44" t="inlineStr">
        <is>
          <t>SRC_FDM_KIA_EV2_TEST</t>
        </is>
      </c>
      <c r="B44" t="inlineStr">
        <is>
          <t>PROFESSIONAL_REVIEW</t>
        </is>
      </c>
      <c r="C44" t="inlineStr">
        <is>
          <t>Kia EV2 test</t>
        </is>
      </c>
      <c r="D44" t="inlineStr">
        <is>
          <t>FDM (Danish motoring association)</t>
        </is>
      </c>
      <c r="E44" t="inlineStr">
        <is>
          <t>https://fdm.dk/</t>
        </is>
      </c>
      <c r="G44" t="inlineStr">
        <is>
          <t>2026-07-06</t>
        </is>
      </c>
      <c r="H44" t="inlineStr">
        <is>
          <t>EV2-specific Danish test. Direct quote: 'bilen kan selv foretage vognbaneskift på motorvejen, og begge dele fungerer rigtig godt' (the car can change lanes itself on the motorway, and both functions work very well).</t>
        </is>
      </c>
    </row>
    <row r="45">
      <c r="A45" t="inlineStr">
        <is>
          <t>SRC_BILMAGASINET_KIA_EV2</t>
        </is>
      </c>
      <c r="B45" t="inlineStr">
        <is>
          <t>PROFESSIONAL_REVIEW</t>
        </is>
      </c>
      <c r="C45" t="inlineStr">
        <is>
          <t>Kia EV2 test</t>
        </is>
      </c>
      <c r="D45" t="inlineStr">
        <is>
          <t>bilmagasinet.dk</t>
        </is>
      </c>
      <c r="E45" t="inlineStr">
        <is>
          <t>https://bilmagasinet.dk/</t>
        </is>
      </c>
      <c r="G45" t="inlineStr">
        <is>
          <t>2026-07-06</t>
        </is>
      </c>
      <c r="H45" t="inlineStr">
        <is>
          <t>EV2-specific Danish test. Notes the adaptive cruise/lane-assist system 'holder usædvanligt hårdt i rattet' (holds unusually firmly on the wheel), requiring deliberate steering input to override - an over-intervention complaint, not a performance failure.</t>
        </is>
      </c>
    </row>
    <row r="46">
      <c r="A46" t="inlineStr">
        <is>
          <t>SRC_TESLA_NO_WARRANTY</t>
        </is>
      </c>
      <c r="B46" t="inlineStr">
        <is>
          <t>MANUFACTURER</t>
        </is>
      </c>
      <c r="C46" t="inlineStr">
        <is>
          <t>Bilgaranti | Tesla-støtte Norge</t>
        </is>
      </c>
      <c r="D46" t="inlineStr">
        <is>
          <t>Tesla</t>
        </is>
      </c>
      <c r="E46" t="inlineStr">
        <is>
          <t>https://www.tesla.com/no_no/support/vehicle-warranty</t>
        </is>
      </c>
      <c r="G46" t="inlineStr">
        <is>
          <t>2026-07-07</t>
        </is>
      </c>
      <c r="H46" t="inlineStr">
        <is>
          <t>Official Tesla Norway warranty page. Direct fetch returned HTTP 403; terms corroborated via search-result synthesis (4 års/80 000 km generell nybilgaranti, 8 års batterigaranti med garantert minst 70 % kapasitet, 12 års rustgjennomtæringsgaranti uten kilometergrense). Bør verifiseres direkte ved behov for presisjon.</t>
        </is>
      </c>
    </row>
    <row r="47">
      <c r="A47" t="inlineStr">
        <is>
          <t>SRC_TESLA_MODEL3_NO_SALES_HISTORY</t>
        </is>
      </c>
      <c r="B47" t="inlineStr">
        <is>
          <t>PROFESSIONAL_REVIEW</t>
        </is>
      </c>
      <c r="C47" t="inlineStr">
        <is>
          <t>Rekordår i salg av nye biler: Tesla er Norges mest solgte bil</t>
        </is>
      </c>
      <c r="D47" t="inlineStr">
        <is>
          <t>NRK / ITavisen (basert på OFV-tall)</t>
        </is>
      </c>
      <c r="E47" t="inlineStr">
        <is>
          <t>https://www.nrk.no/norge/rekordar-i-salg-av-nye-biler_-tesla-er-norges-mest-solgte-bil-1.15793772</t>
        </is>
      </c>
      <c r="G47" t="inlineStr">
        <is>
          <t>2026-07-07</t>
        </is>
      </c>
      <c r="H47" t="inlineStr">
        <is>
          <t>Nyhetsdekning av offisiell registreringsstatistikk fra OFV (Opplysningsrådet for Veitrafikken). Model 3 var Norges mest solgte bilmodell i 2020 og 2021 (over 12 000 solgte i 2021 alene), og over 60 000 eksemplarer er i dag registrert i Norge; OFV-tall for november 2025 viser 2 562 nyregistrerte Model 3 i den ene måneden alene.</t>
        </is>
      </c>
    </row>
    <row r="48">
      <c r="A48" t="inlineStr">
        <is>
          <t>SRC_RENAULT_EV_WARRANTY_2025</t>
        </is>
      </c>
      <c r="B48" t="inlineStr">
        <is>
          <t>MANUFACTURER</t>
        </is>
      </c>
      <c r="C48" t="inlineStr">
        <is>
          <t>Renault garanti – hvor længe og hvad er dækket?</t>
        </is>
      </c>
      <c r="D48" t="inlineStr">
        <is>
          <t>Renault (Danmark, renault.dk)</t>
        </is>
      </c>
      <c r="E48" t="inlineStr">
        <is>
          <t>https://www.renault.dk/kob/garanti</t>
        </is>
      </c>
      <c r="G48" t="inlineStr">
        <is>
          <t>2026-07-07</t>
        </is>
      </c>
      <c r="H48" t="inlineStr">
        <is>
          <t>Dansk Renault-garantiside. Beskriver en paneuropeisk garantiendring fra mai 2025: 5 år/150 000 km generell garanti på alle nye elektriske Renault-modeller, samt 8 år/160 000 km batterigaranti (minst 70 % SOH garantert). Ikke uavhengig bekreftet på en norsk Renault-side; behandlet som MEDIUM-konfidens for det norske markedet.</t>
        </is>
      </c>
    </row>
    <row r="49">
      <c r="A49" t="inlineStr">
        <is>
          <t>SRC_RENAULT_4_NO_LAUNCH</t>
        </is>
      </c>
      <c r="B49" t="inlineStr">
        <is>
          <t>MANUFACTURER</t>
        </is>
      </c>
      <c r="C49" t="inlineStr">
        <is>
          <t>Renault 4 E-Tech electric</t>
        </is>
      </c>
      <c r="D49" t="inlineStr">
        <is>
          <t>Renault Norge</t>
        </is>
      </c>
      <c r="E49" t="inlineStr">
        <is>
          <t>https://www.renault.no/personbil/renault-4-e-tech-electric</t>
        </is>
      </c>
      <c r="G49" t="inlineStr">
        <is>
          <t>2026-07-07</t>
        </is>
      </c>
      <c r="H49" t="inlineStr">
        <is>
          <t>Offisiell Renault Norge-produktside bekrefter at 4 E-Tech Electric kommer tilbake for 2025 som en helelektrisk modell ("tilbake i 2025, 100 % elektrisk"); eksakt norsk lanseringsdato er ikke oppgitt på selve siden. Samlet søkeresultat (ikke uavhengig reverifisert) plasserer markedstilgjengelighet til høsten 2025.</t>
        </is>
      </c>
    </row>
    <row r="50">
      <c r="A50" t="inlineStr">
        <is>
          <t>SRC_SKODA_NO_WARRANTY</t>
        </is>
      </c>
      <c r="B50" t="inlineStr">
        <is>
          <t>MANUFACTURER</t>
        </is>
      </c>
      <c r="C50" t="inlineStr">
        <is>
          <t>Garanti | Gode garantiordninger</t>
        </is>
      </c>
      <c r="D50" t="inlineStr">
        <is>
          <t>Skoda Norge (Harald A. Møller AS)</t>
        </is>
      </c>
      <c r="E50" t="inlineStr">
        <is>
          <t>https://www.skoda-auto.no/eie/garantier</t>
        </is>
      </c>
      <c r="G50" t="inlineStr">
        <is>
          <t>2026-07-07</t>
        </is>
      </c>
      <c r="H50" t="inlineStr">
        <is>
          <t>Offisiell Skoda Norge-garantiside, hentet direkte. "5 års Norgesgaranti": 5 år/100 000 km generell garanti (biler førstegangsregistrert etter 2011-01-01, importert av Harald A. Møller AS). Alle nye ladbare hybrider og elbiler: 8 år/160 000 km batteripakkegaranti.</t>
        </is>
      </c>
    </row>
    <row r="51">
      <c r="A51" t="inlineStr">
        <is>
          <t>SRC_SKODA_ELROQ_WIKIPEDIA_PLATFORM</t>
        </is>
      </c>
      <c r="B51" t="inlineStr">
        <is>
          <t>COMMUNITY</t>
        </is>
      </c>
      <c r="C51" t="inlineStr">
        <is>
          <t>Škoda Elroq</t>
        </is>
      </c>
      <c r="D51" t="inlineStr">
        <is>
          <t>Wikipedia</t>
        </is>
      </c>
      <c r="E51" t="inlineStr">
        <is>
          <t>https://en.wikipedia.org/wiki/%C5%A0koda_Elroq</t>
        </is>
      </c>
      <c r="G51" t="inlineStr">
        <is>
          <t>2026-07-07</t>
        </is>
      </c>
      <c r="H51" t="inlineStr">
        <is>
          <t>Bekrefter at Elroq gikk i produksjon januar 2025 med de første kundeleveransene tidlig i 2025, etter å ha blitt vist frem på Paris Motor Show oktober 2024. Er den andre Skoda-modellen på Volkswagen-konsernets MEB-plattform, som deles med Enyaq, ID.3, ID.4/ID.5 og Audi Q4 e-tron.</t>
        </is>
      </c>
    </row>
    <row r="52">
      <c r="A52" t="inlineStr">
        <is>
          <t>SRC_VOLVO_NO_BATTERY_WARRANTY</t>
        </is>
      </c>
      <c r="B52" t="inlineStr">
        <is>
          <t>MANUFACTURER</t>
        </is>
      </c>
      <c r="C52" t="inlineStr">
        <is>
          <t>Opptil 8 års garanti på høyvoltbatteriet</t>
        </is>
      </c>
      <c r="D52" t="inlineStr">
        <is>
          <t>Volvo Cars Norge</t>
        </is>
      </c>
      <c r="E52" t="inlineStr">
        <is>
          <t>https://www.volvocars.com/no/l/own/garanti-hybridbatteri/</t>
        </is>
      </c>
      <c r="G52" t="inlineStr">
        <is>
          <t>2026-07-07</t>
        </is>
      </c>
      <c r="H52" t="inlineStr">
        <is>
          <t>Offisiell Volvo Norge-garantiside. Direkte henting ga HTTP 403; vilkårene er bekreftet via søkeresultat-syntese (5 år/100 000 km generell garanti, opptil 8 år/160 000 km batterigaranti med garantert minst 70 % kapasitet). Bør verifiseres direkte ved behov for presisjon.</t>
        </is>
      </c>
    </row>
    <row r="53">
      <c r="A53" t="inlineStr">
        <is>
          <t>SRC_KIA_NO_7YR_WARRANTY</t>
        </is>
      </c>
      <c r="B53" t="inlineStr">
        <is>
          <t>MANUFACTURER</t>
        </is>
      </c>
      <c r="C53" t="inlineStr">
        <is>
          <t>Kia 7-års garanti</t>
        </is>
      </c>
      <c r="D53" t="inlineStr">
        <is>
          <t>Kia Bil Norge</t>
        </is>
      </c>
      <c r="E53" t="inlineStr">
        <is>
          <t>https://www.kia.com/no/service-og-vedlikehold/verdier-og-fordeler/7-ars-garanti/7-ars-garanti/</t>
        </is>
      </c>
      <c r="G53" t="inlineStr">
        <is>
          <t>2026-07-07</t>
        </is>
      </c>
      <c r="H53" t="inlineStr">
        <is>
          <t>Offisiell Kia Norge-garantiside, hentet direkte. 7 år/150 000 km generell garanti og batterigaranti for elbiler (kapasitetsgrense 65 % for biler registrert etter oktober 2019), utvidet til 8 år/160 000 km fra modellår 2026. Garantien overføres til neste eier.</t>
        </is>
      </c>
    </row>
    <row r="54">
      <c r="A54" t="inlineStr">
        <is>
          <t>SRC_KIA_EV2_NTB_PRODUCTION</t>
        </is>
      </c>
      <c r="B54" t="inlineStr">
        <is>
          <t>MANUFACTURER</t>
        </is>
      </c>
      <c r="C54" t="inlineStr">
        <is>
          <t>Slik blir EV2 Long Range – produksjonen har startet</t>
        </is>
      </c>
      <c r="D54" t="inlineStr">
        <is>
          <t>Kia (via NTB kommunikasjon)</t>
        </is>
      </c>
      <c r="E54" t="inlineStr">
        <is>
          <t>https://kommunikasjon.ntb.no/pressemelding/18967754/slik-blir-ev2-long-range-produksjonen-har-startet</t>
        </is>
      </c>
      <c r="G54" t="inlineStr">
        <is>
          <t>2026-07-07</t>
        </is>
      </c>
      <c r="H54" t="inlineStr">
        <is>
          <t>Offisiell Kia-pressemelding distribuert via NTB. Bekrefter produksjonsstart for alle EV2-batterialternativer 2026-06-25, og en oppfølgende pressemelding bekrefter at salget av EV2 formelt startet 2026-07-02 - få dager før denne vurderingen. GT Line tilbys blant de første variantene i salg.</t>
        </is>
      </c>
    </row>
    <row r="55">
      <c r="A55" t="inlineStr">
        <is>
          <t>SRC_NAF_TESLA_MODEL3_VINTERTEST</t>
        </is>
      </c>
      <c r="B55" t="inlineStr">
        <is>
          <t>PROFESSIONAL_REVIEW</t>
        </is>
      </c>
      <c r="C55" t="inlineStr">
        <is>
          <t>Verdens største vintertest: Tesla Model 3 gikk lengst</t>
        </is>
      </c>
      <c r="D55" t="inlineStr">
        <is>
          <t>bil24.no (dekning av NAF/Motor sin El Prix-vintertest)</t>
        </is>
      </c>
      <c r="E55" t="inlineStr">
        <is>
          <t>https://bil24.no/verdens-storste-vintertest-tesla-model-3-gikk-lengst/</t>
        </is>
      </c>
      <c r="G55" t="inlineStr">
        <is>
          <t>2026-07-07</t>
        </is>
      </c>
      <c r="H55" t="inlineStr">
        <is>
          <t>Dekker NAF/Motor sin årlige El Prix-vintertest, der Tesla Model 3 har deltatt hvert år siden 2020 med jevnt sterke resultater (WLTP-oppgitt rekkevidde økt fra 560 til 614 km over generasjoner; faktisk kjørt distanse har variert mellom ca. 521 og 548 km i ulike vintertester, gjennomgående blant de beste i klassen).</t>
        </is>
      </c>
    </row>
  </sheetData>
  <autoFilter ref="A1:H1"/>
  <dataValidations count="1">
    <dataValidation sqref="B2:B1048576" showDropDown="0" showInputMessage="0" showErrorMessage="1" allowBlank="1" type="list">
      <formula1>Enum_SourceType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72"/>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VOLVO_EX30_P8_AWD</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VOLVO_EX30_P8_AWD</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row r="59">
      <c r="A59" t="inlineStr">
        <is>
          <t>SCORE_000059</t>
        </is>
      </c>
      <c r="B59" t="inlineStr">
        <is>
          <t>KIA_EV2_FWD_LONG_RANGE_GT_LINE</t>
        </is>
      </c>
      <c r="C59" t="inlineStr">
        <is>
          <t>W006</t>
        </is>
      </c>
      <c r="D59" t="inlineStr">
        <is>
          <t>REV_000058</t>
        </is>
      </c>
      <c r="E59" t="inlineStr">
        <is>
          <t>1.4</t>
        </is>
      </c>
      <c r="F59">
        <f>ROUND(INDEX('07_Reviews'!$E:$E,MATCH(D59,'07_Reviews'!$A:$A,0))/5*100,2)</f>
        <v/>
      </c>
      <c r="G59">
        <f>ROUND(F59*INDEX('01_Criteria'!$F:$F,MATCH(C59,'01_Criteria'!$A:$A,0))/100,2)</f>
        <v/>
      </c>
      <c r="H59" t="inlineStr">
        <is>
          <t>Traceable to REV_000058 -&gt; supporting Evidence -&gt; cited Source. RawScore/WeightedScore computed via the ADR-005 formula engine.</t>
        </is>
      </c>
    </row>
    <row r="60">
      <c r="A60" t="inlineStr">
        <is>
          <t>SCORE_000060</t>
        </is>
      </c>
      <c r="B60" t="inlineStr">
        <is>
          <t>KIA_EV2_FWD_LONG_RANGE_GT_LINE</t>
        </is>
      </c>
      <c r="C60" t="inlineStr">
        <is>
          <t>W008</t>
        </is>
      </c>
      <c r="D60" t="inlineStr">
        <is>
          <t>REV_000059</t>
        </is>
      </c>
      <c r="E60" t="inlineStr">
        <is>
          <t>1.4</t>
        </is>
      </c>
      <c r="F60">
        <f>ROUND(INDEX('07_Reviews'!$E:$E,MATCH(D60,'07_Reviews'!$A:$A,0))/5*100,2)</f>
        <v/>
      </c>
      <c r="G60">
        <f>ROUND(F60*INDEX('01_Criteria'!$F:$F,MATCH(C60,'01_Criteria'!$A:$A,0))/100,2)</f>
        <v/>
      </c>
      <c r="H60" t="inlineStr">
        <is>
          <t>Traceable to REV_000059 -&gt; supporting Evidence -&gt; cited Source. RawScore/WeightedScore computed via the ADR-005 formula engine.</t>
        </is>
      </c>
    </row>
    <row r="61">
      <c r="A61" t="inlineStr">
        <is>
          <t>SCORE_000061</t>
        </is>
      </c>
      <c r="B61" t="inlineStr">
        <is>
          <t>KIA_EV2_FWD_LONG_RANGE_GT_LINE</t>
        </is>
      </c>
      <c r="C61" t="inlineStr">
        <is>
          <t>W009</t>
        </is>
      </c>
      <c r="D61" t="inlineStr">
        <is>
          <t>REV_000060</t>
        </is>
      </c>
      <c r="E61" t="inlineStr">
        <is>
          <t>1.4</t>
        </is>
      </c>
      <c r="F61">
        <f>ROUND(INDEX('07_Reviews'!$E:$E,MATCH(D61,'07_Reviews'!$A:$A,0))/5*100,2)</f>
        <v/>
      </c>
      <c r="G61">
        <f>ROUND(F61*INDEX('01_Criteria'!$F:$F,MATCH(C61,'01_Criteria'!$A:$A,0))/100,2)</f>
        <v/>
      </c>
      <c r="H61" t="inlineStr">
        <is>
          <t>Traceable to REV_000060 -&gt; supporting Evidence -&gt; cited Source. RawScore/WeightedScore computed via the ADR-005 formula engine.</t>
        </is>
      </c>
    </row>
    <row r="62">
      <c r="A62" t="inlineStr">
        <is>
          <t>SCORE_000062</t>
        </is>
      </c>
      <c r="B62" t="inlineStr">
        <is>
          <t>TESLA_MODEL_3_LONG_RANGE_RWD</t>
        </is>
      </c>
      <c r="C62" t="inlineStr">
        <is>
          <t>W014</t>
        </is>
      </c>
      <c r="D62" t="inlineStr">
        <is>
          <t>REV_000061</t>
        </is>
      </c>
      <c r="E62" t="inlineStr">
        <is>
          <t>1.4</t>
        </is>
      </c>
      <c r="F62">
        <f>ROUND(INDEX('07_Reviews'!$E:$E,MATCH(D62,'07_Reviews'!$A:$A,0))/5*100,2)</f>
        <v/>
      </c>
      <c r="G62">
        <f>ROUND(F62*INDEX('01_Criteria'!$F:$F,MATCH(C62,'01_Criteria'!$A:$A,0))/100,2)</f>
        <v/>
      </c>
      <c r="H62" t="inlineStr">
        <is>
          <t>Traceable to REV_000061 -&gt; supporting Evidence -&gt; cited Source. RawScore/WeightedScore computed via the ADR-005 formula engine.</t>
        </is>
      </c>
    </row>
    <row r="63">
      <c r="A63" t="inlineStr">
        <is>
          <t>SCORE_000063</t>
        </is>
      </c>
      <c r="B63" t="inlineStr">
        <is>
          <t>TESLA_MODEL_3_LONG_RANGE_RWD</t>
        </is>
      </c>
      <c r="C63" t="inlineStr">
        <is>
          <t>W015</t>
        </is>
      </c>
      <c r="D63" t="inlineStr">
        <is>
          <t>REV_000062</t>
        </is>
      </c>
      <c r="E63" t="inlineStr">
        <is>
          <t>1.4</t>
        </is>
      </c>
      <c r="F63">
        <f>ROUND(INDEX('07_Reviews'!$E:$E,MATCH(D63,'07_Reviews'!$A:$A,0))/5*100,2)</f>
        <v/>
      </c>
      <c r="G63">
        <f>ROUND(F63*INDEX('01_Criteria'!$F:$F,MATCH(C63,'01_Criteria'!$A:$A,0))/100,2)</f>
        <v/>
      </c>
      <c r="H63" t="inlineStr">
        <is>
          <t>Traceable to REV_000062 -&gt; supporting Evidence -&gt; cited Source. RawScore/WeightedScore computed via the ADR-005 formula engine.</t>
        </is>
      </c>
    </row>
    <row r="64">
      <c r="A64" t="inlineStr">
        <is>
          <t>SCORE_000064</t>
        </is>
      </c>
      <c r="B64" t="inlineStr">
        <is>
          <t>RENAULT_4_TECHNO</t>
        </is>
      </c>
      <c r="C64" t="inlineStr">
        <is>
          <t>W014</t>
        </is>
      </c>
      <c r="D64" t="inlineStr">
        <is>
          <t>REV_000063</t>
        </is>
      </c>
      <c r="E64" t="inlineStr">
        <is>
          <t>1.4</t>
        </is>
      </c>
      <c r="F64">
        <f>ROUND(INDEX('07_Reviews'!$E:$E,MATCH(D64,'07_Reviews'!$A:$A,0))/5*100,2)</f>
        <v/>
      </c>
      <c r="G64">
        <f>ROUND(F64*INDEX('01_Criteria'!$F:$F,MATCH(C64,'01_Criteria'!$A:$A,0))/100,2)</f>
        <v/>
      </c>
      <c r="H64" t="inlineStr">
        <is>
          <t>Traceable to REV_000063 -&gt; supporting Evidence -&gt; cited Source. RawScore/WeightedScore computed via the ADR-005 formula engine.</t>
        </is>
      </c>
    </row>
    <row r="65">
      <c r="A65" t="inlineStr">
        <is>
          <t>SCORE_000065</t>
        </is>
      </c>
      <c r="B65" t="inlineStr">
        <is>
          <t>RENAULT_4_TECHNO</t>
        </is>
      </c>
      <c r="C65" t="inlineStr">
        <is>
          <t>W015</t>
        </is>
      </c>
      <c r="D65" t="inlineStr">
        <is>
          <t>REV_000064</t>
        </is>
      </c>
      <c r="E65" t="inlineStr">
        <is>
          <t>1.4</t>
        </is>
      </c>
      <c r="F65">
        <f>ROUND(INDEX('07_Reviews'!$E:$E,MATCH(D65,'07_Reviews'!$A:$A,0))/5*100,2)</f>
        <v/>
      </c>
      <c r="G65">
        <f>ROUND(F65*INDEX('01_Criteria'!$F:$F,MATCH(C65,'01_Criteria'!$A:$A,0))/100,2)</f>
        <v/>
      </c>
      <c r="H65" t="inlineStr">
        <is>
          <t>Traceable to REV_000064 -&gt; supporting Evidence -&gt; cited Source. RawScore/WeightedScore computed via the ADR-005 formula engine.</t>
        </is>
      </c>
    </row>
    <row r="66">
      <c r="A66" t="inlineStr">
        <is>
          <t>SCORE_000066</t>
        </is>
      </c>
      <c r="B66" t="inlineStr">
        <is>
          <t>SKODA_ELROQ_SELECTION_60</t>
        </is>
      </c>
      <c r="C66" t="inlineStr">
        <is>
          <t>W014</t>
        </is>
      </c>
      <c r="D66" t="inlineStr">
        <is>
          <t>REV_000065</t>
        </is>
      </c>
      <c r="E66" t="inlineStr">
        <is>
          <t>1.4</t>
        </is>
      </c>
      <c r="F66">
        <f>ROUND(INDEX('07_Reviews'!$E:$E,MATCH(D66,'07_Reviews'!$A:$A,0))/5*100,2)</f>
        <v/>
      </c>
      <c r="G66">
        <f>ROUND(F66*INDEX('01_Criteria'!$F:$F,MATCH(C66,'01_Criteria'!$A:$A,0))/100,2)</f>
        <v/>
      </c>
      <c r="H66" t="inlineStr">
        <is>
          <t>Traceable to REV_000065 -&gt; supporting Evidence -&gt; cited Source. RawScore/WeightedScore computed via the ADR-005 formula engine.</t>
        </is>
      </c>
    </row>
    <row r="67">
      <c r="A67" t="inlineStr">
        <is>
          <t>SCORE_000067</t>
        </is>
      </c>
      <c r="B67" t="inlineStr">
        <is>
          <t>SKODA_ELROQ_SELECTION_60</t>
        </is>
      </c>
      <c r="C67" t="inlineStr">
        <is>
          <t>W015</t>
        </is>
      </c>
      <c r="D67" t="inlineStr">
        <is>
          <t>REV_000066</t>
        </is>
      </c>
      <c r="E67" t="inlineStr">
        <is>
          <t>1.4</t>
        </is>
      </c>
      <c r="F67">
        <f>ROUND(INDEX('07_Reviews'!$E:$E,MATCH(D67,'07_Reviews'!$A:$A,0))/5*100,2)</f>
        <v/>
      </c>
      <c r="G67">
        <f>ROUND(F67*INDEX('01_Criteria'!$F:$F,MATCH(C67,'01_Criteria'!$A:$A,0))/100,2)</f>
        <v/>
      </c>
      <c r="H67" t="inlineStr">
        <is>
          <t>Traceable to REV_000066 -&gt; supporting Evidence -&gt; cited Source. RawScore/WeightedScore computed via the ADR-005 formula engine.</t>
        </is>
      </c>
    </row>
    <row r="68">
      <c r="A68" t="inlineStr">
        <is>
          <t>SCORE_000068</t>
        </is>
      </c>
      <c r="B68" t="inlineStr">
        <is>
          <t>VOLVO_EX30_P8_AWD</t>
        </is>
      </c>
      <c r="C68" t="inlineStr">
        <is>
          <t>W014</t>
        </is>
      </c>
      <c r="D68" t="inlineStr">
        <is>
          <t>REV_000067</t>
        </is>
      </c>
      <c r="E68" t="inlineStr">
        <is>
          <t>1.4</t>
        </is>
      </c>
      <c r="F68">
        <f>ROUND(INDEX('07_Reviews'!$E:$E,MATCH(D68,'07_Reviews'!$A:$A,0))/5*100,2)</f>
        <v/>
      </c>
      <c r="G68">
        <f>ROUND(F68*INDEX('01_Criteria'!$F:$F,MATCH(C68,'01_Criteria'!$A:$A,0))/100,2)</f>
        <v/>
      </c>
      <c r="H68" t="inlineStr">
        <is>
          <t>Traceable to REV_000067 -&gt; supporting Evidence -&gt; cited Source. RawScore/WeightedScore computed via the ADR-005 formula engine.</t>
        </is>
      </c>
    </row>
    <row r="69">
      <c r="A69" t="inlineStr">
        <is>
          <t>SCORE_000069</t>
        </is>
      </c>
      <c r="B69" t="inlineStr">
        <is>
          <t>VOLVO_EX30_P8_AWD</t>
        </is>
      </c>
      <c r="C69" t="inlineStr">
        <is>
          <t>W015</t>
        </is>
      </c>
      <c r="D69" t="inlineStr">
        <is>
          <t>REV_000068</t>
        </is>
      </c>
      <c r="E69" t="inlineStr">
        <is>
          <t>1.4</t>
        </is>
      </c>
      <c r="F69">
        <f>ROUND(INDEX('07_Reviews'!$E:$E,MATCH(D69,'07_Reviews'!$A:$A,0))/5*100,2)</f>
        <v/>
      </c>
      <c r="G69">
        <f>ROUND(F69*INDEX('01_Criteria'!$F:$F,MATCH(C69,'01_Criteria'!$A:$A,0))/100,2)</f>
        <v/>
      </c>
      <c r="H69" t="inlineStr">
        <is>
          <t>Traceable to REV_000068 -&gt; supporting Evidence -&gt; cited Source. RawScore/WeightedScore computed via the ADR-005 formula engine.</t>
        </is>
      </c>
    </row>
    <row r="70">
      <c r="A70" t="inlineStr">
        <is>
          <t>SCORE_000070</t>
        </is>
      </c>
      <c r="B70" t="inlineStr">
        <is>
          <t>KIA_EV2_FWD_LONG_RANGE_GT_LINE</t>
        </is>
      </c>
      <c r="C70" t="inlineStr">
        <is>
          <t>W014</t>
        </is>
      </c>
      <c r="D70" t="inlineStr">
        <is>
          <t>REV_000069</t>
        </is>
      </c>
      <c r="E70" t="inlineStr">
        <is>
          <t>1.4</t>
        </is>
      </c>
      <c r="F70">
        <f>ROUND(INDEX('07_Reviews'!$E:$E,MATCH(D70,'07_Reviews'!$A:$A,0))/5*100,2)</f>
        <v/>
      </c>
      <c r="G70">
        <f>ROUND(F70*INDEX('01_Criteria'!$F:$F,MATCH(C70,'01_Criteria'!$A:$A,0))/100,2)</f>
        <v/>
      </c>
      <c r="H70" t="inlineStr">
        <is>
          <t>Traceable to REV_000069 -&gt; supporting Evidence -&gt; cited Source. RawScore/WeightedScore computed via the ADR-005 formula engine.</t>
        </is>
      </c>
    </row>
    <row r="71">
      <c r="A71" t="inlineStr">
        <is>
          <t>SCORE_000071</t>
        </is>
      </c>
      <c r="B71" t="inlineStr">
        <is>
          <t>KIA_EV2_FWD_LONG_RANGE_GT_LINE</t>
        </is>
      </c>
      <c r="C71" t="inlineStr">
        <is>
          <t>W015</t>
        </is>
      </c>
      <c r="D71" t="inlineStr">
        <is>
          <t>REV_000070</t>
        </is>
      </c>
      <c r="E71" t="inlineStr">
        <is>
          <t>1.4</t>
        </is>
      </c>
      <c r="F71">
        <f>ROUND(INDEX('07_Reviews'!$E:$E,MATCH(D71,'07_Reviews'!$A:$A,0))/5*100,2)</f>
        <v/>
      </c>
      <c r="G71">
        <f>ROUND(F71*INDEX('01_Criteria'!$F:$F,MATCH(C71,'01_Criteria'!$A:$A,0))/100,2)</f>
        <v/>
      </c>
      <c r="H71" t="inlineStr">
        <is>
          <t>Traceable to REV_000070 -&gt; supporting Evidence -&gt; cited Source. RawScore/WeightedScore computed via the ADR-005 formula engine.</t>
        </is>
      </c>
    </row>
    <row r="72">
      <c r="A72" t="inlineStr">
        <is>
          <t>SCORE_000072</t>
        </is>
      </c>
      <c r="B72" t="inlineStr">
        <is>
          <t>TESLA_MODEL_3_LONG_RANGE_RWD</t>
        </is>
      </c>
      <c r="C72" t="inlineStr">
        <is>
          <t>W016</t>
        </is>
      </c>
      <c r="D72" t="inlineStr">
        <is>
          <t>REV_000071</t>
        </is>
      </c>
      <c r="E72" t="inlineStr">
        <is>
          <t>1.4</t>
        </is>
      </c>
      <c r="F72">
        <f>ROUND(INDEX('07_Reviews'!$E:$E,MATCH(D72,'07_Reviews'!$A:$A,0))/5*100,2)</f>
        <v/>
      </c>
      <c r="G72">
        <f>ROUND(F72*INDEX('01_Criteria'!$F:$F,MATCH(C72,'01_Criteria'!$A:$A,0))/100,2)</f>
        <v/>
      </c>
      <c r="H72" t="inlineStr">
        <is>
          <t>Traceable to REV_000071 -&gt;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17"/>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row>
  </sheetData>
  <autoFilter ref="A1:G3"/>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2026-07-07T06:42:08Z</dcterms:modified>
  <cp:lastModifiedBy>Codex</cp:lastModifiedBy>
  <cp:keywords>EV Decision Framework; FrameworkVersion 1.0; workbook schema</cp:keywords>
</cp:coreProperties>
</file>