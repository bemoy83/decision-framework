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0" windowWidth="28800" windowHeight="17600" tabRatio="600" firstSheet="0" activeTab="0" autoFilterDateGrouping="1"/>
  </bookViews>
  <sheets>
    <sheet name="README" sheetId="1" state="visible" r:id="rId1"/>
    <sheet name="01_Criteria" sheetId="2" state="visible" r:id="rId2"/>
    <sheet name="02_Vehicles" sheetId="3" state="visible" r:id="rId3"/>
    <sheet name="03_Configurations" sheetId="4" state="visible" r:id="rId4"/>
    <sheet name="04_Technical" sheetId="5" state="visible" r:id="rId5"/>
    <sheet name="05_Equipment" sheetId="6" state="visible" r:id="rId6"/>
    <sheet name="06_EquipmentDefinitions" sheetId="7" state="visible" r:id="rId7"/>
    <sheet name="07_Reviews" sheetId="8" state="visible" r:id="rId8"/>
    <sheet name="08_Evidence" sheetId="9" state="visible" r:id="rId9"/>
    <sheet name="09_Sources" sheetId="10" state="visible" r:id="rId10"/>
    <sheet name="10_Scoring" sheetId="11" state="visible" r:id="rId11"/>
    <sheet name="11_DecisionLog" sheetId="12" state="visible" r:id="rId12"/>
    <sheet name="12_OverallScores" sheetId="13" state="visible" r:id="rId13"/>
  </sheets>
  <definedNames>
    <definedName name="Enum_Availability">'README'!$X$2:$X$6</definedName>
    <definedName name="Enum_Confidence">'README'!$Y$2:$Y$5</definedName>
    <definedName name="Enum_VehicleStatus">'README'!$Z$2:$Z$7</definedName>
    <definedName name="Enum_ConfigurationStatus">'README'!$AA$2:$AA$5</definedName>
    <definedName name="Enum_RequirementType">'README'!$AB$2:$AB$5</definedName>
    <definedName name="Enum_SourceType">'README'!$AC$2:$AC$10</definedName>
    <definedName name="Enum_EvidenceType">'README'!$AD$2:$AD$7</definedName>
    <definedName name="Enum_Market">'README'!$AE$2:$AE$8</definedName>
    <definedName name="Enum_Unit">'README'!$AF$2:$AF$13</definedName>
    <definedName name="Enum_FrameworkStatus">'README'!$AG$2:$AG$5</definedName>
    <definedName name="Enum_DecisionStatus">'README'!$AH$2:$AH$5</definedName>
    <definedName name="Validation_Boolean">'README'!$AI$2:$AI$3</definedName>
    <definedName name="_xlnm._FilterDatabase" localSheetId="0" hidden="1">'README'!$A$1:$B$8</definedName>
    <definedName name="_xlnm._FilterDatabase" localSheetId="1" hidden="1">'01_Criteria'!$A$1:$J$30</definedName>
    <definedName name="_xlnm._FilterDatabase" localSheetId="2" hidden="1">'02_Vehicles'!$A$1:$G$5</definedName>
    <definedName name="_xlnm._FilterDatabase" localSheetId="3" hidden="1">'03_Configurations'!$A$1:$G$1</definedName>
    <definedName name="_xlnm._FilterDatabase" localSheetId="4" hidden="1">'04_Technical'!$A$1:$J$7</definedName>
    <definedName name="_xlnm._FilterDatabase" localSheetId="5" hidden="1">'05_Equipment'!$A$1:$F$1</definedName>
    <definedName name="_xlnm._FilterDatabase" localSheetId="6" hidden="1">'06_EquipmentDefinitions'!$A$1:$F$21</definedName>
    <definedName name="_xlnm._FilterDatabase" localSheetId="7" hidden="1">'07_Reviews'!$A$1:$I$1</definedName>
    <definedName name="_xlnm._FilterDatabase" localSheetId="8" hidden="1">'08_Evidence'!$A$1:$H$1</definedName>
    <definedName name="_xlnm._FilterDatabase" localSheetId="9" hidden="1">'09_Sources'!$A$1:$H$1</definedName>
    <definedName name="_xlnm._FilterDatabase" localSheetId="10" hidden="1">'10_Scoring'!$A$1:$H$1</definedName>
    <definedName name="_xlnm._FilterDatabase" localSheetId="11" hidden="1">'11_DecisionLog'!$A$1:$G$3</definedName>
  </definedNames>
  <calcPr calcId="0" fullCalcOnLoad="1"/>
</workbook>
</file>

<file path=xl/styles.xml><?xml version="1.0" encoding="utf-8"?>
<styleSheet xmlns="http://schemas.openxmlformats.org/spreadsheetml/2006/main">
  <numFmts count="0"/>
  <fonts count="2">
    <font>
      <name val="Aptos"/>
      <family val="2"/>
      <color theme="1"/>
      <sz val="11"/>
    </font>
    <font>
      <name val="Aptos"/>
      <family val="2"/>
      <b val="1"/>
      <color rgb="FFFFFFFF"/>
      <sz val="11"/>
    </font>
  </fonts>
  <fills count="3">
    <fill>
      <patternFill/>
    </fill>
    <fill>
      <patternFill patternType="gray125"/>
    </fill>
    <fill>
      <patternFill patternType="solid">
        <fgColor rgb="FF1F4E78"/>
        <bgColor indexed="64"/>
      </patternFill>
    </fill>
  </fills>
  <borders count="2">
    <border>
      <left/>
      <right/>
      <top/>
      <bottom/>
      <diagonal/>
    </border>
    <border>
      <left style="thin">
        <color rgb="FFD9E2F3"/>
      </left>
      <right style="thin">
        <color rgb="FFD9E2F3"/>
      </right>
      <top style="thin">
        <color rgb="FFD9E2F3"/>
      </top>
      <bottom style="thin">
        <color rgb="FFD9E2F3"/>
      </bottom>
      <diagonal/>
    </border>
  </borders>
  <cellStyleXfs count="1">
    <xf numFmtId="0" fontId="0" fillId="0" borderId="0"/>
  </cellStyleXfs>
  <cellXfs count="2">
    <xf numFmtId="0" fontId="0" fillId="0" borderId="0" pivotButton="0" quotePrefix="0" xfId="0"/>
    <xf numFmtId="0" fontId="1" fillId="2" borderId="1" applyAlignment="1" pivotButton="0" quotePrefix="0" xfId="0">
      <alignment horizontal="center" vertical="center" wrapText="1"/>
    </xf>
  </cellXfs>
  <cellStyles count="1">
    <cellStyle name="Normal" xfId="0" builtin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styles" Target="styles.xml" Id="rId14" /><Relationship Type="http://schemas.openxmlformats.org/officeDocument/2006/relationships/theme" Target="theme/theme1.xml" Id="rId15"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E78"/>
      </a:dk2>
      <a:lt2>
        <a:srgbClr val="EAF2F8"/>
      </a:lt2>
      <a:accent1>
        <a:srgbClr val="1F4E78"/>
      </a:accent1>
      <a:accent2>
        <a:srgbClr val="70AD47"/>
      </a:accent2>
      <a:accent3>
        <a:srgbClr val="FFC000"/>
      </a:accent3>
      <a:accent4>
        <a:srgbClr val="5B9BD5"/>
      </a:accent4>
      <a:accent5>
        <a:srgbClr val="A5A5A5"/>
      </a:accent5>
      <a:accent6>
        <a:srgbClr val="ED7D31"/>
      </a:accent6>
      <a:hlink>
        <a:srgbClr val="0563C1"/>
      </a:hlink>
      <a:folHlink>
        <a:srgbClr val="954F72"/>
      </a:folHlink>
    </a:clrScheme>
    <a:fontScheme name="Office">
      <a:majorFont>
        <a:latin typeface="Aptos Display"/>
      </a:majorFont>
      <a:minorFont>
        <a:latin typeface="Aptos"/>
      </a:minorFont>
    </a:fontScheme>
    <a:fmtScheme name="Office">
      <a:fillStyleLst>
        <a:solidFill>
          <a:schemeClr val="phClr"/>
        </a:solidFill>
      </a:fillStyleLst>
      <a:lnStyleLst>
        <a:ln w="6350" cap="flat" cmpd="sng" algn="ctr">
          <a:solidFill>
            <a:schemeClr val="phClr"/>
          </a:solidFill>
          <a:prstDash val="solid"/>
        </a:ln>
      </a:lnStyleLst>
      <a:effectStyleLst>
        <a:effectStyle/>
      </a:effectStyleLst>
      <a:bgFillStyleLst>
        <a:solidFill>
          <a:schemeClr val="phClr"/>
        </a:solidFill>
      </a:bgFillStyleLst>
    </a:fmtScheme>
  </a:themeElements>
</a:theme>
</file>

<file path=xl/worksheets/sheet1.xml><?xml version="1.0" encoding="utf-8"?>
<worksheet xmlns="http://schemas.openxmlformats.org/spreadsheetml/2006/main">
  <sheetPr>
    <outlinePr summaryBelow="1" summaryRight="1"/>
    <pageSetUpPr/>
  </sheetPr>
  <dimension ref="A1:AI13"/>
  <sheetViews>
    <sheetView showGridLines="1" workbookViewId="0">
      <pane ySplit="1" topLeftCell="A2" activePane="bottomLeft" state="frozen"/>
      <selection pane="bottomLeft" activeCell="A2" sqref="A2"/>
    </sheetView>
  </sheetViews>
  <sheetFormatPr baseColWidth="8" defaultRowHeight="15"/>
  <cols>
    <col width="24" customWidth="1" min="1" max="1"/>
    <col width="90" customWidth="1" min="2" max="2"/>
    <col hidden="1" width="12" customWidth="1" min="24" max="24"/>
    <col hidden="1" width="12" customWidth="1" min="25" max="25"/>
    <col hidden="1" width="12" customWidth="1" min="26" max="26"/>
    <col hidden="1" width="12" customWidth="1" min="27" max="27"/>
    <col hidden="1" width="12" customWidth="1" min="28" max="28"/>
    <col hidden="1" width="12" customWidth="1" min="29" max="29"/>
    <col hidden="1" width="12" customWidth="1" min="30" max="30"/>
    <col hidden="1" width="12" customWidth="1" min="31" max="31"/>
    <col hidden="1" width="12" customWidth="1" min="32" max="32"/>
    <col hidden="1" width="12" customWidth="1" min="33" max="33"/>
    <col hidden="1" width="12" customWidth="1" min="34" max="34"/>
    <col hidden="1" width="12" customWidth="1" min="35" max="35"/>
  </cols>
  <sheetData>
    <row r="1" ht="22" customHeight="1">
      <c r="A1" s="1" t="inlineStr">
        <is>
          <t>Field</t>
        </is>
      </c>
      <c r="B1" s="1" t="inlineStr">
        <is>
          <t>Value</t>
        </is>
      </c>
      <c r="X1" s="1" t="inlineStr">
        <is>
          <t>Enum_Availability</t>
        </is>
      </c>
      <c r="Y1" s="1" t="inlineStr">
        <is>
          <t>Enum_Confidence</t>
        </is>
      </c>
      <c r="Z1" s="1" t="inlineStr">
        <is>
          <t>Enum_VehicleStatus</t>
        </is>
      </c>
      <c r="AA1" s="1" t="inlineStr">
        <is>
          <t>Enum_ConfigurationStatus</t>
        </is>
      </c>
      <c r="AB1" s="1" t="inlineStr">
        <is>
          <t>Enum_RequirementType</t>
        </is>
      </c>
      <c r="AC1" s="1" t="inlineStr">
        <is>
          <t>Enum_SourceType</t>
        </is>
      </c>
      <c r="AD1" s="1" t="inlineStr">
        <is>
          <t>Enum_EvidenceType</t>
        </is>
      </c>
      <c r="AE1" s="1" t="inlineStr">
        <is>
          <t>Enum_Market</t>
        </is>
      </c>
      <c r="AF1" s="1" t="inlineStr">
        <is>
          <t>Enum_Unit</t>
        </is>
      </c>
      <c r="AG1" s="1" t="inlineStr">
        <is>
          <t>Enum_FrameworkStatus</t>
        </is>
      </c>
      <c r="AH1" s="1" t="inlineStr">
        <is>
          <t>Enum_DecisionStatus</t>
        </is>
      </c>
      <c r="AI1" s="1" t="inlineStr">
        <is>
          <t>Validation_Boolean</t>
        </is>
      </c>
    </row>
    <row r="2">
      <c r="A2" t="inlineStr">
        <is>
          <t>WorkbookVersion</t>
        </is>
      </c>
      <c r="B2" t="inlineStr">
        <is>
          <t>1.3</t>
        </is>
      </c>
      <c r="X2" t="inlineStr">
        <is>
          <t>STANDARD</t>
        </is>
      </c>
      <c r="Y2" t="inlineStr">
        <is>
          <t>HIGH</t>
        </is>
      </c>
      <c r="Z2" t="inlineStr">
        <is>
          <t>ANNOUNCED</t>
        </is>
      </c>
      <c r="AA2" t="inlineStr">
        <is>
          <t>AVAILABLE</t>
        </is>
      </c>
      <c r="AB2" t="inlineStr">
        <is>
          <t>HARD</t>
        </is>
      </c>
      <c r="AC2" t="inlineStr">
        <is>
          <t>MANUFACTURER</t>
        </is>
      </c>
      <c r="AD2" t="inlineStr">
        <is>
          <t>SPECIFICATION</t>
        </is>
      </c>
      <c r="AE2" t="inlineStr">
        <is>
          <t>NO</t>
        </is>
      </c>
      <c r="AF2" t="inlineStr">
        <is>
          <t>MM</t>
        </is>
      </c>
      <c r="AG2" t="inlineStr">
        <is>
          <t>DRAFT</t>
        </is>
      </c>
      <c r="AH2" t="inlineStr">
        <is>
          <t>PROPOSED</t>
        </is>
      </c>
      <c r="AI2" t="inlineStr">
        <is>
          <t>TRUE</t>
        </is>
      </c>
    </row>
    <row r="3">
      <c r="A3" t="inlineStr">
        <is>
          <t>FrameworkVersion</t>
        </is>
      </c>
      <c r="B3" t="inlineStr">
        <is>
          <t>1.4</t>
        </is>
      </c>
      <c r="X3" t="inlineStr">
        <is>
          <t>OPTIONAL</t>
        </is>
      </c>
      <c r="Y3" t="inlineStr">
        <is>
          <t>MEDIUM</t>
        </is>
      </c>
      <c r="Z3" t="inlineStr">
        <is>
          <t>PREORDER</t>
        </is>
      </c>
      <c r="AA3" t="inlineStr">
        <is>
          <t>UPCOMING</t>
        </is>
      </c>
      <c r="AB3" t="inlineStr">
        <is>
          <t>WEIGHTED</t>
        </is>
      </c>
      <c r="AC3" t="inlineStr">
        <is>
          <t>GOVERNMENT</t>
        </is>
      </c>
      <c r="AD3" t="inlineStr">
        <is>
          <t>MEASUREMENT</t>
        </is>
      </c>
      <c r="AE3" t="inlineStr">
        <is>
          <t>SE</t>
        </is>
      </c>
      <c r="AF3" t="inlineStr">
        <is>
          <t>CM</t>
        </is>
      </c>
      <c r="AG3" t="inlineStr">
        <is>
          <t>REVIEW</t>
        </is>
      </c>
      <c r="AH3" t="inlineStr">
        <is>
          <t>ACCEPTED</t>
        </is>
      </c>
      <c r="AI3" t="inlineStr">
        <is>
          <t>FALSE</t>
        </is>
      </c>
    </row>
    <row r="4">
      <c r="A4" t="inlineStr">
        <is>
          <t>LastUpdated</t>
        </is>
      </c>
      <c r="B4" t="inlineStr">
        <is>
          <t>2026-07-06</t>
        </is>
      </c>
      <c r="X4" t="inlineStr">
        <is>
          <t>PACKAGE</t>
        </is>
      </c>
      <c r="Y4" t="inlineStr">
        <is>
          <t>LOW</t>
        </is>
      </c>
      <c r="Z4" t="inlineStr">
        <is>
          <t>AVAILABLE</t>
        </is>
      </c>
      <c r="AA4" t="inlineStr">
        <is>
          <t>DISCONTINUED</t>
        </is>
      </c>
      <c r="AB4" t="inlineStr">
        <is>
          <t>INFORMATIONAL</t>
        </is>
      </c>
      <c r="AC4" t="inlineStr">
        <is>
          <t>CERTIFICATION</t>
        </is>
      </c>
      <c r="AD4" t="inlineStr">
        <is>
          <t>OBSERVATION</t>
        </is>
      </c>
      <c r="AE4" t="inlineStr">
        <is>
          <t>DK</t>
        </is>
      </c>
      <c r="AF4" t="inlineStr">
        <is>
          <t>M</t>
        </is>
      </c>
      <c r="AG4" t="inlineStr">
        <is>
          <t>LOCKED</t>
        </is>
      </c>
      <c r="AH4" t="inlineStr">
        <is>
          <t>IMPLEMENTED</t>
        </is>
      </c>
    </row>
    <row r="5">
      <c r="A5" t="inlineStr">
        <is>
          <t>Domain</t>
        </is>
      </c>
      <c r="B5" t="inlineStr">
        <is>
          <t>Battery electric vehicle decision framework</t>
        </is>
      </c>
      <c r="X5" t="inlineStr">
        <is>
          <t>UNAVAILABLE</t>
        </is>
      </c>
      <c r="Y5" t="inlineStr">
        <is>
          <t>UNKNOWN</t>
        </is>
      </c>
      <c r="Z5" t="inlineStr">
        <is>
          <t>DISCONTINUED</t>
        </is>
      </c>
      <c r="AA5" t="inlineStr">
        <is>
          <t>UNKNOWN</t>
        </is>
      </c>
      <c r="AB5" t="inlineStr">
        <is>
          <t>EXCLUDED</t>
        </is>
      </c>
      <c r="AC5" t="inlineStr">
        <is>
          <t>PROFESSIONAL_REVIEW</t>
        </is>
      </c>
      <c r="AD5" t="inlineStr">
        <is>
          <t>TEST_RESULT</t>
        </is>
      </c>
      <c r="AE5" t="inlineStr">
        <is>
          <t>FI</t>
        </is>
      </c>
      <c r="AF5" t="inlineStr">
        <is>
          <t>KM</t>
        </is>
      </c>
      <c r="AG5" t="inlineStr">
        <is>
          <t>DEPRECATED</t>
        </is>
      </c>
      <c r="AH5" t="inlineStr">
        <is>
          <t>SUPERSEDED</t>
        </is>
      </c>
    </row>
    <row r="6">
      <c r="A6" t="inlineStr">
        <is>
          <t>Purpose</t>
        </is>
      </c>
      <c r="B6" t="inlineStr">
        <is>
          <t>Reference implementation of the documented EV Decision Framework schema.</t>
        </is>
      </c>
      <c r="X6" t="inlineStr">
        <is>
          <t>UNKNOWN</t>
        </is>
      </c>
      <c r="Z6" t="inlineStr">
        <is>
          <t>CANCELLED</t>
        </is>
      </c>
      <c r="AC6" t="inlineStr">
        <is>
          <t>OWNER_REPORT</t>
        </is>
      </c>
      <c r="AD6" t="inlineStr">
        <is>
          <t>REVIEW_SUMMARY</t>
        </is>
      </c>
      <c r="AE6" t="inlineStr">
        <is>
          <t>EU</t>
        </is>
      </c>
      <c r="AF6" t="inlineStr">
        <is>
          <t>KMH</t>
        </is>
      </c>
    </row>
    <row r="7">
      <c r="A7" t="inlineStr">
        <is>
          <t>Notes</t>
        </is>
      </c>
      <c r="B7" t="inlineStr">
        <is>
          <t>Scoring mechanics implemented per ADR-005: 10_Scoring RawScore/WeightedScore are now formulas (1-5 Review.Score scale, documented rounding rule); new 12_OverallScores worksheet aggregates Configuration-level Overall Score with mandatory CoveragePercent.</t>
        </is>
      </c>
      <c r="Z7" t="inlineStr">
        <is>
          <t>UNKNOWN</t>
        </is>
      </c>
      <c r="AC7" t="inlineStr">
        <is>
          <t>COMMUNITY</t>
        </is>
      </c>
      <c r="AD7" t="inlineStr">
        <is>
          <t>OWNER_EXPERIENCE</t>
        </is>
      </c>
      <c r="AE7" t="inlineStr">
        <is>
          <t>UK</t>
        </is>
      </c>
      <c r="AF7" t="inlineStr">
        <is>
          <t>KWH</t>
        </is>
      </c>
    </row>
    <row r="8">
      <c r="A8" t="inlineStr">
        <is>
          <t>Status</t>
        </is>
      </c>
      <c r="B8" t="inlineStr">
        <is>
          <t>LOCKED</t>
        </is>
      </c>
      <c r="AC8" t="inlineStr">
        <is>
          <t>DATABASE</t>
        </is>
      </c>
      <c r="AE8" t="inlineStr">
        <is>
          <t>GLOBAL</t>
        </is>
      </c>
      <c r="AF8" t="inlineStr">
        <is>
          <t>KWH_100KM</t>
        </is>
      </c>
    </row>
    <row r="9">
      <c r="AC9" t="inlineStr">
        <is>
          <t>VIDEO</t>
        </is>
      </c>
      <c r="AF9" t="inlineStr">
        <is>
          <t>KW</t>
        </is>
      </c>
    </row>
    <row r="10">
      <c r="AC10" t="inlineStr">
        <is>
          <t>OTHER</t>
        </is>
      </c>
      <c r="AF10" t="inlineStr">
        <is>
          <t>NM</t>
        </is>
      </c>
    </row>
    <row r="11">
      <c r="AF11" t="inlineStr">
        <is>
          <t>KG</t>
        </is>
      </c>
    </row>
    <row r="12">
      <c r="AF12" t="inlineStr">
        <is>
          <t>L</t>
        </is>
      </c>
    </row>
    <row r="13">
      <c r="AF13" t="inlineStr">
        <is>
          <t>DB</t>
        </is>
      </c>
    </row>
  </sheetData>
  <autoFilter ref="A1:B8"/>
  <dataValidations count="1">
    <dataValidation sqref="B8" showDropDown="0" showInputMessage="0" showErrorMessage="1" allowBlank="1" type="list">
      <formula1>Enum_FrameworkStatus</formula1>
    </dataValidation>
  </dataValidation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J30"/>
  <sheetViews>
    <sheetView showGridLines="1" workbookViewId="0">
      <pane ySplit="1" topLeftCell="A2" activePane="bottomLeft" state="frozen"/>
      <selection pane="bottomLeft" activeCell="A2" sqref="A2"/>
    </sheetView>
  </sheetViews>
  <sheetFormatPr baseColWidth="8" defaultRowHeight="15"/>
  <cols>
    <col width="18" customWidth="1" min="1" max="1"/>
    <col width="24" customWidth="1" min="2" max="2"/>
    <col width="30" customWidth="1" min="3" max="3"/>
    <col width="72" customWidth="1" min="4" max="4"/>
    <col width="18" customWidth="1" min="5" max="5"/>
    <col width="12" customWidth="1" min="6" max="6"/>
    <col width="20" customWidth="1" min="7" max="7"/>
    <col width="12" customWidth="1" min="8" max="8"/>
    <col width="48" customWidth="1" min="9" max="9"/>
    <col width="20" customWidth="1" min="10" max="10"/>
  </cols>
  <sheetData>
    <row r="1" ht="22" customHeight="1">
      <c r="A1" s="1" t="inlineStr">
        <is>
          <t>CriterionID</t>
        </is>
      </c>
      <c r="B1" s="1" t="inlineStr">
        <is>
          <t>Category</t>
        </is>
      </c>
      <c r="C1" s="1" t="inlineStr">
        <is>
          <t>Name</t>
        </is>
      </c>
      <c r="D1" s="1" t="inlineStr">
        <is>
          <t>Description</t>
        </is>
      </c>
      <c r="E1" s="1" t="inlineStr">
        <is>
          <t>Type</t>
        </is>
      </c>
      <c r="F1" s="1" t="inlineStr">
        <is>
          <t>Weight</t>
        </is>
      </c>
      <c r="G1" s="1" t="inlineStr">
        <is>
          <t>HardRequirement</t>
        </is>
      </c>
      <c r="H1" s="1" t="inlineStr">
        <is>
          <t>Active</t>
        </is>
      </c>
      <c r="I1" s="1" t="inlineStr">
        <is>
          <t>Notes</t>
        </is>
      </c>
      <c r="J1" s="1" t="inlineStr">
        <is>
          <t>FrameworkVersion</t>
        </is>
      </c>
    </row>
    <row r="2">
      <c r="A2" t="inlineStr">
        <is>
          <t>M001</t>
        </is>
      </c>
      <c r="B2" t="inlineStr">
        <is>
          <t>Hard requirement</t>
        </is>
      </c>
      <c r="C2" t="inlineStr">
        <is>
          <t>Elbil</t>
        </is>
      </c>
      <c r="D2" t="inlineStr">
        <is>
          <t>Kun helelektriske biler vurderes.</t>
        </is>
      </c>
      <c r="E2" t="inlineStr">
        <is>
          <t>HARD</t>
        </is>
      </c>
      <c r="F2" t="inlineStr">
        <is>
          <t>0</t>
        </is>
      </c>
      <c r="G2" t="inlineStr">
        <is>
          <t>TRUE</t>
        </is>
      </c>
      <c r="H2" t="inlineStr">
        <is>
          <t>TRUE</t>
        </is>
      </c>
      <c r="J2" t="inlineStr">
        <is>
          <t>1.0</t>
        </is>
      </c>
    </row>
    <row r="3">
      <c r="A3" t="inlineStr">
        <is>
          <t>M002</t>
        </is>
      </c>
      <c r="B3" t="inlineStr">
        <is>
          <t>Hard requirement</t>
        </is>
      </c>
      <c r="C3" t="inlineStr">
        <is>
          <t>Lengde ≤ 4500 mm</t>
        </is>
      </c>
      <c r="D3" t="inlineStr">
        <is>
          <t>Garasjekrav. Oppgitt total lengde må være 4500 mm eller lavere.</t>
        </is>
      </c>
      <c r="E3" t="inlineStr">
        <is>
          <t>HARD</t>
        </is>
      </c>
      <c r="F3" t="inlineStr">
        <is>
          <t>0</t>
        </is>
      </c>
      <c r="G3" t="inlineStr">
        <is>
          <t>TRUE</t>
        </is>
      </c>
      <c r="H3" t="inlineStr">
        <is>
          <t>TRUE</t>
        </is>
      </c>
      <c r="J3" t="inlineStr">
        <is>
          <t>1.0</t>
        </is>
      </c>
    </row>
    <row r="4">
      <c r="A4" t="inlineStr">
        <is>
          <t>M003</t>
        </is>
      </c>
      <c r="B4" t="inlineStr">
        <is>
          <t>Hard requirement</t>
        </is>
      </c>
      <c r="C4" t="inlineStr">
        <is>
          <t>300 km vinter motorvei</t>
        </is>
      </c>
      <c r="D4" t="inlineStr">
        <is>
          <t>Funksjonskrav: Oslo–Grimstad/E18 vinter uten praktisk rekkeviddebekymring.</t>
        </is>
      </c>
      <c r="E4" t="inlineStr">
        <is>
          <t>HARD</t>
        </is>
      </c>
      <c r="F4" t="inlineStr">
        <is>
          <t>0</t>
        </is>
      </c>
      <c r="G4" t="inlineStr">
        <is>
          <t>TRUE</t>
        </is>
      </c>
      <c r="H4" t="inlineStr">
        <is>
          <t>TRUE</t>
        </is>
      </c>
      <c r="J4" t="inlineStr">
        <is>
          <t>1.0</t>
        </is>
      </c>
    </row>
    <row r="5">
      <c r="A5" t="inlineStr">
        <is>
          <t>M004</t>
        </is>
      </c>
      <c r="B5" t="inlineStr">
        <is>
          <t>Hard requirement</t>
        </is>
      </c>
      <c r="C5" t="inlineStr">
        <is>
          <t>Adaptiv cruisekontroll</t>
        </is>
      </c>
      <c r="D5" t="inlineStr">
        <is>
          <t>Rio mangler dette; sentralt for oppgradering.</t>
        </is>
      </c>
      <c r="E5" t="inlineStr">
        <is>
          <t>HARD</t>
        </is>
      </c>
      <c r="F5" t="inlineStr">
        <is>
          <t>0</t>
        </is>
      </c>
      <c r="G5" t="inlineStr">
        <is>
          <t>TRUE</t>
        </is>
      </c>
      <c r="H5" t="inlineStr">
        <is>
          <t>TRUE</t>
        </is>
      </c>
      <c r="J5" t="inlineStr">
        <is>
          <t>1.0</t>
        </is>
      </c>
    </row>
    <row r="6">
      <c r="A6" t="inlineStr">
        <is>
          <t>M005</t>
        </is>
      </c>
      <c r="B6" t="inlineStr">
        <is>
          <t>Hard requirement</t>
        </is>
      </c>
      <c r="C6" t="inlineStr">
        <is>
          <t>Ryggekamera eller bedre</t>
        </is>
      </c>
      <c r="D6" t="inlineStr">
        <is>
          <t>Minimum parkeringskamera. 360-kamera scores i teknologi/utstyr.</t>
        </is>
      </c>
      <c r="E6" t="inlineStr">
        <is>
          <t>HARD</t>
        </is>
      </c>
      <c r="F6" t="inlineStr">
        <is>
          <t>0</t>
        </is>
      </c>
      <c r="G6" t="inlineStr">
        <is>
          <t>TRUE</t>
        </is>
      </c>
      <c r="H6" t="inlineStr">
        <is>
          <t>TRUE</t>
        </is>
      </c>
      <c r="J6" t="inlineStr">
        <is>
          <t>1.0</t>
        </is>
      </c>
    </row>
    <row r="7">
      <c r="A7" t="inlineStr">
        <is>
          <t>W001</t>
        </is>
      </c>
      <c r="B7" t="inlineStr">
        <is>
          <t>Kjøreopplevelse</t>
        </is>
      </c>
      <c r="C7" t="inlineStr">
        <is>
          <t>Kupéstøy i motorveifart</t>
        </is>
      </c>
      <c r="D7" t="inlineStr">
        <is>
          <t>Vektlegger stille kupé tungt, særlig vinter/motorvei.</t>
        </is>
      </c>
      <c r="E7" t="inlineStr">
        <is>
          <t>WEIGHTED</t>
        </is>
      </c>
      <c r="F7" t="inlineStr">
        <is>
          <t>8</t>
        </is>
      </c>
      <c r="G7" t="inlineStr">
        <is>
          <t>FALSE</t>
        </is>
      </c>
      <c r="H7" t="inlineStr">
        <is>
          <t>TRUE</t>
        </is>
      </c>
      <c r="J7" t="inlineStr">
        <is>
          <t>1.0</t>
        </is>
      </c>
    </row>
    <row r="8">
      <c r="A8" t="inlineStr">
        <is>
          <t>W002</t>
        </is>
      </c>
      <c r="B8" t="inlineStr">
        <is>
          <t>Kjøreopplevelse</t>
        </is>
      </c>
      <c r="C8" t="inlineStr">
        <is>
          <t>Komfort/fjæring/seter</t>
        </is>
      </c>
      <c r="D8" t="inlineStr">
        <is>
          <t>Komfort over sportslighet.</t>
        </is>
      </c>
      <c r="E8" t="inlineStr">
        <is>
          <t>WEIGHTED</t>
        </is>
      </c>
      <c r="F8" t="inlineStr">
        <is>
          <t>7</t>
        </is>
      </c>
      <c r="G8" t="inlineStr">
        <is>
          <t>FALSE</t>
        </is>
      </c>
      <c r="H8" t="inlineStr">
        <is>
          <t>TRUE</t>
        </is>
      </c>
      <c r="J8" t="inlineStr">
        <is>
          <t>1.0</t>
        </is>
      </c>
    </row>
    <row r="9">
      <c r="A9" t="inlineStr">
        <is>
          <t>W003</t>
        </is>
      </c>
      <c r="B9" t="inlineStr">
        <is>
          <t>Kjøreopplevelse</t>
        </is>
      </c>
      <c r="C9" t="inlineStr">
        <is>
          <t>Sikt og manøvrering</t>
        </is>
      </c>
      <c r="D9" t="inlineStr">
        <is>
          <t>God sikt og enkel parkering i hverdagen.</t>
        </is>
      </c>
      <c r="E9" t="inlineStr">
        <is>
          <t>WEIGHTED</t>
        </is>
      </c>
      <c r="F9" t="inlineStr">
        <is>
          <t>5</t>
        </is>
      </c>
      <c r="G9" t="inlineStr">
        <is>
          <t>FALSE</t>
        </is>
      </c>
      <c r="H9" t="inlineStr">
        <is>
          <t>TRUE</t>
        </is>
      </c>
      <c r="J9" t="inlineStr">
        <is>
          <t>1.0</t>
        </is>
      </c>
    </row>
    <row r="10">
      <c r="A10" t="inlineStr">
        <is>
          <t>W004</t>
        </is>
      </c>
      <c r="B10" t="inlineStr">
        <is>
          <t>Kjøreopplevelse</t>
        </is>
      </c>
      <c r="C10" t="inlineStr">
        <is>
          <t>Presis styring/kontrollfølelse</t>
        </is>
      </c>
      <c r="D10" t="inlineStr">
        <is>
          <t>Presis, trygg og forutsigbar styring, ikke rå sportslighet.</t>
        </is>
      </c>
      <c r="E10" t="inlineStr">
        <is>
          <t>WEIGHTED</t>
        </is>
      </c>
      <c r="F10" t="inlineStr">
        <is>
          <t>5</t>
        </is>
      </c>
      <c r="G10" t="inlineStr">
        <is>
          <t>FALSE</t>
        </is>
      </c>
      <c r="H10" t="inlineStr">
        <is>
          <t>TRUE</t>
        </is>
      </c>
      <c r="J10" t="inlineStr">
        <is>
          <t>1.0</t>
        </is>
      </c>
    </row>
    <row r="11">
      <c r="A11" t="inlineStr">
        <is>
          <t>W005</t>
        </is>
      </c>
      <c r="B11" t="inlineStr">
        <is>
          <t>Teknologi</t>
        </is>
      </c>
      <c r="C11" t="inlineStr">
        <is>
          <t>Programvare/infotainment kvalitet</t>
        </is>
      </c>
      <c r="D11" t="inlineStr">
        <is>
          <t>Dersom programvare må betjenes, skal den føles bra.</t>
        </is>
      </c>
      <c r="E11" t="inlineStr">
        <is>
          <t>WEIGHTED</t>
        </is>
      </c>
      <c r="F11" t="inlineStr">
        <is>
          <t>7</t>
        </is>
      </c>
      <c r="G11" t="inlineStr">
        <is>
          <t>FALSE</t>
        </is>
      </c>
      <c r="H11" t="inlineStr">
        <is>
          <t>TRUE</t>
        </is>
      </c>
      <c r="J11" t="inlineStr">
        <is>
          <t>1.0</t>
        </is>
      </c>
    </row>
    <row r="12">
      <c r="A12" t="inlineStr">
        <is>
          <t>W006</t>
        </is>
      </c>
      <c r="B12" t="inlineStr">
        <is>
          <t>Teknologi</t>
        </is>
      </c>
      <c r="C12" t="inlineStr">
        <is>
          <t>OTA/fremtidssikring</t>
        </is>
      </c>
      <c r="D12" t="inlineStr">
        <is>
          <t>Viktig for 8–10 års eierhorisont.</t>
        </is>
      </c>
      <c r="E12" t="inlineStr">
        <is>
          <t>WEIGHTED</t>
        </is>
      </c>
      <c r="F12" t="inlineStr">
        <is>
          <t>4</t>
        </is>
      </c>
      <c r="G12" t="inlineStr">
        <is>
          <t>FALSE</t>
        </is>
      </c>
      <c r="H12" t="inlineStr">
        <is>
          <t>TRUE</t>
        </is>
      </c>
      <c r="J12" t="inlineStr">
        <is>
          <t>1.0</t>
        </is>
      </c>
    </row>
    <row r="13">
      <c r="A13" t="inlineStr">
        <is>
          <t>W007</t>
        </is>
      </c>
      <c r="B13" t="inlineStr">
        <is>
          <t>Teknologi</t>
        </is>
      </c>
      <c r="C13" t="inlineStr">
        <is>
          <t>Apple CarPlay/integrasjon</t>
        </is>
      </c>
      <c r="D13" t="inlineStr">
        <is>
          <t>CarPlay og mobilintegrasjon vektlegges.</t>
        </is>
      </c>
      <c r="E13" t="inlineStr">
        <is>
          <t>WEIGHTED</t>
        </is>
      </c>
      <c r="F13" t="inlineStr">
        <is>
          <t>3</t>
        </is>
      </c>
      <c r="G13" t="inlineStr">
        <is>
          <t>FALSE</t>
        </is>
      </c>
      <c r="H13" t="inlineStr">
        <is>
          <t>TRUE</t>
        </is>
      </c>
      <c r="J13" t="inlineStr">
        <is>
          <t>1.0</t>
        </is>
      </c>
    </row>
    <row r="14">
      <c r="A14" t="inlineStr">
        <is>
          <t>W008</t>
        </is>
      </c>
      <c r="B14" t="inlineStr">
        <is>
          <t>Teknologi</t>
        </is>
      </c>
      <c r="C14" t="inlineStr">
        <is>
          <t>Førerassistenter kvalitet</t>
        </is>
      </c>
      <c r="D14" t="inlineStr">
        <is>
          <t>ACC/lane centering må fungere godt, ikke bare finnes.</t>
        </is>
      </c>
      <c r="E14" t="inlineStr">
        <is>
          <t>WEIGHTED</t>
        </is>
      </c>
      <c r="F14" t="inlineStr">
        <is>
          <t>5</t>
        </is>
      </c>
      <c r="G14" t="inlineStr">
        <is>
          <t>FALSE</t>
        </is>
      </c>
      <c r="H14" t="inlineStr">
        <is>
          <t>TRUE</t>
        </is>
      </c>
      <c r="J14" t="inlineStr">
        <is>
          <t>1.0</t>
        </is>
      </c>
    </row>
    <row r="15">
      <c r="A15" t="inlineStr">
        <is>
          <t>W009</t>
        </is>
      </c>
      <c r="B15" t="inlineStr">
        <is>
          <t>Teknologi</t>
        </is>
      </c>
      <c r="C15" t="inlineStr">
        <is>
          <t>Kamera/parkering</t>
        </is>
      </c>
      <c r="D15" t="inlineStr">
        <is>
          <t>360-kamera gir ekstra verdi, særlig i garasje/parkering.</t>
        </is>
      </c>
      <c r="E15" t="inlineStr">
        <is>
          <t>WEIGHTED</t>
        </is>
      </c>
      <c r="F15" t="inlineStr">
        <is>
          <t>3</t>
        </is>
      </c>
      <c r="G15" t="inlineStr">
        <is>
          <t>FALSE</t>
        </is>
      </c>
      <c r="H15" t="inlineStr">
        <is>
          <t>TRUE</t>
        </is>
      </c>
      <c r="J15" t="inlineStr">
        <is>
          <t>1.0</t>
        </is>
      </c>
    </row>
    <row r="16">
      <c r="A16" t="inlineStr">
        <is>
          <t>W010</t>
        </is>
      </c>
      <c r="B16" t="inlineStr">
        <is>
          <t>Opplevd kvalitet</t>
        </is>
      </c>
      <c r="C16" t="inlineStr">
        <is>
          <t>Materialkvalitet</t>
        </is>
      </c>
      <c r="D16" t="inlineStr">
        <is>
          <t>Mindre B-segment-kompromiss og mindre hardplast-følelse.</t>
        </is>
      </c>
      <c r="E16" t="inlineStr">
        <is>
          <t>WEIGHTED</t>
        </is>
      </c>
      <c r="F16" t="inlineStr">
        <is>
          <t>5</t>
        </is>
      </c>
      <c r="G16" t="inlineStr">
        <is>
          <t>FALSE</t>
        </is>
      </c>
      <c r="H16" t="inlineStr">
        <is>
          <t>TRUE</t>
        </is>
      </c>
      <c r="J16" t="inlineStr">
        <is>
          <t>1.0</t>
        </is>
      </c>
    </row>
    <row r="17">
      <c r="A17" t="inlineStr">
        <is>
          <t>W011</t>
        </is>
      </c>
      <c r="B17" t="inlineStr">
        <is>
          <t>Opplevd kvalitet</t>
        </is>
      </c>
      <c r="C17" t="inlineStr">
        <is>
          <t>Byggekvalitet/knirk</t>
        </is>
      </c>
      <c r="D17" t="inlineStr">
        <is>
          <t>Solid og rolig inntrykk over tid.</t>
        </is>
      </c>
      <c r="E17" t="inlineStr">
        <is>
          <t>WEIGHTED</t>
        </is>
      </c>
      <c r="F17" t="inlineStr">
        <is>
          <t>5</t>
        </is>
      </c>
      <c r="G17" t="inlineStr">
        <is>
          <t>FALSE</t>
        </is>
      </c>
      <c r="H17" t="inlineStr">
        <is>
          <t>TRUE</t>
        </is>
      </c>
      <c r="J17" t="inlineStr">
        <is>
          <t>1.0</t>
        </is>
      </c>
    </row>
    <row r="18">
      <c r="A18" t="inlineStr">
        <is>
          <t>W012</t>
        </is>
      </c>
      <c r="B18" t="inlineStr">
        <is>
          <t>Opplevd kvalitet</t>
        </is>
      </c>
      <c r="C18" t="inlineStr">
        <is>
          <t>Ergonomi/førermiljø</t>
        </is>
      </c>
      <c r="D18" t="inlineStr">
        <is>
          <t>Førermiljøet skal være et tydelig steg opp fra Kia Rio.</t>
        </is>
      </c>
      <c r="E18" t="inlineStr">
        <is>
          <t>WEIGHTED</t>
        </is>
      </c>
      <c r="F18" t="inlineStr">
        <is>
          <t>5</t>
        </is>
      </c>
      <c r="G18" t="inlineStr">
        <is>
          <t>FALSE</t>
        </is>
      </c>
      <c r="H18" t="inlineStr">
        <is>
          <t>TRUE</t>
        </is>
      </c>
      <c r="J18" t="inlineStr">
        <is>
          <t>1.0</t>
        </is>
      </c>
    </row>
    <row r="19">
      <c r="A19" t="inlineStr">
        <is>
          <t>W013</t>
        </is>
      </c>
      <c r="B19" t="inlineStr">
        <is>
          <t>Opplevd kvalitet</t>
        </is>
      </c>
      <c r="C19" t="inlineStr">
        <is>
          <t>Betjeningskvalitet</t>
        </is>
      </c>
      <c r="D19" t="inlineStr">
        <is>
          <t>Knapper/hendler/skjerm skal oppleves gjennomtenkt.</t>
        </is>
      </c>
      <c r="E19" t="inlineStr">
        <is>
          <t>WEIGHTED</t>
        </is>
      </c>
      <c r="F19" t="inlineStr">
        <is>
          <t>3</t>
        </is>
      </c>
      <c r="G19" t="inlineStr">
        <is>
          <t>FALSE</t>
        </is>
      </c>
      <c r="H19" t="inlineStr">
        <is>
          <t>TRUE</t>
        </is>
      </c>
      <c r="J19" t="inlineStr">
        <is>
          <t>1.0</t>
        </is>
      </c>
    </row>
    <row r="20">
      <c r="A20" t="inlineStr">
        <is>
          <t>W014</t>
        </is>
      </c>
      <c r="B20" t="inlineStr">
        <is>
          <t>Langtidseierskap</t>
        </is>
      </c>
      <c r="C20" t="inlineStr">
        <is>
          <t>Produsent-/modellrisiko</t>
        </is>
      </c>
      <c r="D20" t="inlineStr">
        <is>
          <t>Konservativ vurdering for nye produsenter og kort historikk i Norden.</t>
        </is>
      </c>
      <c r="E20" t="inlineStr">
        <is>
          <t>WEIGHTED</t>
        </is>
      </c>
      <c r="F20" t="inlineStr">
        <is>
          <t>6</t>
        </is>
      </c>
      <c r="G20" t="inlineStr">
        <is>
          <t>FALSE</t>
        </is>
      </c>
      <c r="H20" t="inlineStr">
        <is>
          <t>TRUE</t>
        </is>
      </c>
      <c r="J20" t="inlineStr">
        <is>
          <t>1.0</t>
        </is>
      </c>
    </row>
    <row r="21">
      <c r="A21" t="inlineStr">
        <is>
          <t>W015</t>
        </is>
      </c>
      <c r="B21" t="inlineStr">
        <is>
          <t>Langtidseierskap</t>
        </is>
      </c>
      <c r="C21" t="inlineStr">
        <is>
          <t>Garanti/serviceapparat</t>
        </is>
      </c>
      <c r="D21" t="inlineStr">
        <is>
          <t>Garantivilkår og serviceapparat i Norge/Norden.</t>
        </is>
      </c>
      <c r="E21" t="inlineStr">
        <is>
          <t>WEIGHTED</t>
        </is>
      </c>
      <c r="F21" t="inlineStr">
        <is>
          <t>5</t>
        </is>
      </c>
      <c r="G21" t="inlineStr">
        <is>
          <t>FALSE</t>
        </is>
      </c>
      <c r="H21" t="inlineStr">
        <is>
          <t>TRUE</t>
        </is>
      </c>
      <c r="J21" t="inlineStr">
        <is>
          <t>1.0</t>
        </is>
      </c>
    </row>
    <row r="22">
      <c r="A22" t="inlineStr">
        <is>
          <t>W016</t>
        </is>
      </c>
      <c r="B22" t="inlineStr">
        <is>
          <t>Langtidseierskap</t>
        </is>
      </c>
      <c r="C22" t="inlineStr">
        <is>
          <t>Nordisk modenhet</t>
        </is>
      </c>
      <c r="D22" t="inlineStr">
        <is>
          <t>Dokumentert funksjon i nordisk klima over tid.</t>
        </is>
      </c>
      <c r="E22" t="inlineStr">
        <is>
          <t>WEIGHTED</t>
        </is>
      </c>
      <c r="F22" t="inlineStr">
        <is>
          <t>4</t>
        </is>
      </c>
      <c r="G22" t="inlineStr">
        <is>
          <t>FALSE</t>
        </is>
      </c>
      <c r="H22" t="inlineStr">
        <is>
          <t>TRUE</t>
        </is>
      </c>
      <c r="J22" t="inlineStr">
        <is>
          <t>1.0</t>
        </is>
      </c>
    </row>
    <row r="23">
      <c r="A23" t="inlineStr">
        <is>
          <t>W017</t>
        </is>
      </c>
      <c r="B23" t="inlineStr">
        <is>
          <t>Økonomi</t>
        </is>
      </c>
      <c r="C23" t="inlineStr">
        <is>
          <t>Pris/verdi</t>
        </is>
      </c>
      <c r="D23" t="inlineStr">
        <is>
          <t>Ikke lavest pris, men om merkostnad forsvares.</t>
        </is>
      </c>
      <c r="E23" t="inlineStr">
        <is>
          <t>WEIGHTED</t>
        </is>
      </c>
      <c r="F23" t="inlineStr">
        <is>
          <t>10</t>
        </is>
      </c>
      <c r="G23" t="inlineStr">
        <is>
          <t>FALSE</t>
        </is>
      </c>
      <c r="H23" t="inlineStr">
        <is>
          <t>TRUE</t>
        </is>
      </c>
      <c r="J23" t="inlineStr">
        <is>
          <t>1.0</t>
        </is>
      </c>
    </row>
    <row r="24">
      <c r="A24" t="inlineStr">
        <is>
          <t>W018</t>
        </is>
      </c>
      <c r="B24" t="inlineStr">
        <is>
          <t>Praktisk bruk</t>
        </is>
      </c>
      <c r="C24" t="inlineStr">
        <is>
          <t>Plass/bagasje/hverdagsnytte</t>
        </is>
      </c>
      <c r="D24" t="inlineStr">
        <is>
          <t>Familiens hovedbil, men begrenset årlig kjørelengde.</t>
        </is>
      </c>
      <c r="E24" t="inlineStr">
        <is>
          <t>WEIGHTED</t>
        </is>
      </c>
      <c r="F24" t="inlineStr">
        <is>
          <t>5</t>
        </is>
      </c>
      <c r="G24" t="inlineStr">
        <is>
          <t>FALSE</t>
        </is>
      </c>
      <c r="H24" t="inlineStr">
        <is>
          <t>TRUE</t>
        </is>
      </c>
      <c r="J24" t="inlineStr">
        <is>
          <t>1.0</t>
        </is>
      </c>
    </row>
    <row r="25">
      <c r="A25" t="inlineStr">
        <is>
          <t>W019</t>
        </is>
      </c>
      <c r="B25" t="inlineStr">
        <is>
          <t>Garasje</t>
        </is>
      </c>
      <c r="C25" t="inlineStr">
        <is>
          <t>Garasjevennlighet utover maksgrensen</t>
        </is>
      </c>
      <c r="D25" t="inlineStr">
        <is>
          <t>Kortere enn 4500 mm gir praktisk margin over tid.</t>
        </is>
      </c>
      <c r="E25" t="inlineStr">
        <is>
          <t>WEIGHTED</t>
        </is>
      </c>
      <c r="F25" t="inlineStr">
        <is>
          <t>3</t>
        </is>
      </c>
      <c r="G25" t="inlineStr">
        <is>
          <t>FALSE</t>
        </is>
      </c>
      <c r="H25" t="inlineStr">
        <is>
          <t>TRUE</t>
        </is>
      </c>
      <c r="J25" t="inlineStr">
        <is>
          <t>1.0</t>
        </is>
      </c>
    </row>
    <row r="26">
      <c r="A26" t="inlineStr">
        <is>
          <t>W020</t>
        </is>
      </c>
      <c r="B26" t="inlineStr">
        <is>
          <t>Rekkevidde/lading</t>
        </is>
      </c>
      <c r="C26" t="inlineStr">
        <is>
          <t>Ladeegenskaper utover minimum</t>
        </is>
      </c>
      <c r="D26" t="inlineStr">
        <is>
          <t>Ladehastighet er nyttig, men ikke toppprioritet ved 8000 km/år.</t>
        </is>
      </c>
      <c r="E26" t="inlineStr">
        <is>
          <t>WEIGHTED</t>
        </is>
      </c>
      <c r="F26" t="inlineStr">
        <is>
          <t>2</t>
        </is>
      </c>
      <c r="G26" t="inlineStr">
        <is>
          <t>FALSE</t>
        </is>
      </c>
      <c r="H26" t="inlineStr">
        <is>
          <t>TRUE</t>
        </is>
      </c>
      <c r="J26" t="inlineStr">
        <is>
          <t>1.0</t>
        </is>
      </c>
    </row>
    <row r="27">
      <c r="A27" t="inlineStr">
        <is>
          <t>I001</t>
        </is>
      </c>
      <c r="B27" t="inlineStr">
        <is>
          <t>Ikke målt</t>
        </is>
      </c>
      <c r="C27" t="inlineStr">
        <is>
          <t>0–100 km/t</t>
        </is>
      </c>
      <c r="D27" t="inlineStr">
        <is>
          <t>Dokumenteres eventuelt, men påvirker ikke score.</t>
        </is>
      </c>
      <c r="E27" t="inlineStr">
        <is>
          <t>INFORMATIONAL</t>
        </is>
      </c>
      <c r="F27" t="inlineStr">
        <is>
          <t>0</t>
        </is>
      </c>
      <c r="G27" t="inlineStr">
        <is>
          <t>FALSE</t>
        </is>
      </c>
      <c r="H27" t="inlineStr">
        <is>
          <t>TRUE</t>
        </is>
      </c>
      <c r="J27" t="inlineStr">
        <is>
          <t>1.0</t>
        </is>
      </c>
    </row>
    <row r="28">
      <c r="A28" t="inlineStr">
        <is>
          <t>I002</t>
        </is>
      </c>
      <c r="B28" t="inlineStr">
        <is>
          <t>Ikke målt</t>
        </is>
      </c>
      <c r="C28" t="inlineStr">
        <is>
          <t>Toppfart</t>
        </is>
      </c>
      <c r="D28" t="inlineStr">
        <is>
          <t>Dokumenteres eventuelt, men påvirker ikke score.</t>
        </is>
      </c>
      <c r="E28" t="inlineStr">
        <is>
          <t>INFORMATIONAL</t>
        </is>
      </c>
      <c r="F28" t="inlineStr">
        <is>
          <t>0</t>
        </is>
      </c>
      <c r="G28" t="inlineStr">
        <is>
          <t>FALSE</t>
        </is>
      </c>
      <c r="H28" t="inlineStr">
        <is>
          <t>TRUE</t>
        </is>
      </c>
      <c r="J28" t="inlineStr">
        <is>
          <t>1.0</t>
        </is>
      </c>
    </row>
    <row r="29">
      <c r="A29" t="inlineStr">
        <is>
          <t>I003</t>
        </is>
      </c>
      <c r="B29" t="inlineStr">
        <is>
          <t>Ikke målt</t>
        </is>
      </c>
      <c r="C29" t="inlineStr">
        <is>
          <t>Antall skjermer</t>
        </is>
      </c>
      <c r="D29" t="inlineStr">
        <is>
          <t>Antall skjermer er beslutningsstøy.</t>
        </is>
      </c>
      <c r="E29" t="inlineStr">
        <is>
          <t>INFORMATIONAL</t>
        </is>
      </c>
      <c r="F29" t="inlineStr">
        <is>
          <t>0</t>
        </is>
      </c>
      <c r="G29" t="inlineStr">
        <is>
          <t>FALSE</t>
        </is>
      </c>
      <c r="H29" t="inlineStr">
        <is>
          <t>TRUE</t>
        </is>
      </c>
      <c r="J29" t="inlineStr">
        <is>
          <t>1.0</t>
        </is>
      </c>
    </row>
    <row r="30">
      <c r="A30" t="inlineStr">
        <is>
          <t>I004</t>
        </is>
      </c>
      <c r="B30" t="inlineStr">
        <is>
          <t>Ikke målt</t>
        </is>
      </c>
      <c r="C30" t="inlineStr">
        <is>
          <t>Wow-faktor / hype</t>
        </is>
      </c>
      <c r="D30" t="inlineStr">
        <is>
          <t>Skal ikke drive beslutningen.</t>
        </is>
      </c>
      <c r="E30" t="inlineStr">
        <is>
          <t>INFORMATIONAL</t>
        </is>
      </c>
      <c r="F30" t="inlineStr">
        <is>
          <t>0</t>
        </is>
      </c>
      <c r="G30" t="inlineStr">
        <is>
          <t>FALSE</t>
        </is>
      </c>
      <c r="H30" t="inlineStr">
        <is>
          <t>TRUE</t>
        </is>
      </c>
      <c r="J30" t="inlineStr">
        <is>
          <t>1.0</t>
        </is>
      </c>
    </row>
  </sheetData>
  <autoFilter ref="A1:J30"/>
  <dataValidations count="3">
    <dataValidation sqref="E2:E1048576" showDropDown="0" showInputMessage="0" showErrorMessage="1" allowBlank="1" type="list">
      <formula1>Enum_RequirementType</formula1>
    </dataValidation>
    <dataValidation sqref="G2:G1048576" showDropDown="0" showInputMessage="0" showErrorMessage="1" allowBlank="1" type="list">
      <formula1>Validation_Boolean</formula1>
    </dataValidation>
    <dataValidation sqref="H2:H1048576" showDropDown="0" showInputMessage="0" showErrorMessage="1" allowBlank="1" type="list">
      <formula1>Validation_Boolean</formula1>
    </dataValidation>
  </dataValidations>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G6"/>
  <sheetViews>
    <sheetView showGridLines="1" workbookViewId="0">
      <pane ySplit="1" topLeftCell="A2" activePane="bottomLeft" state="frozen"/>
      <selection pane="bottomLeft" activeCell="A2" sqref="A2"/>
    </sheetView>
  </sheetViews>
  <sheetFormatPr baseColWidth="8" defaultRowHeight="15"/>
  <cols>
    <col width="22" customWidth="1" min="1" max="1"/>
    <col width="18" customWidth="1" min="2" max="2"/>
    <col width="24" customWidth="1" min="3" max="3"/>
    <col width="14" customWidth="1" min="4" max="4"/>
    <col width="24" customWidth="1" min="5" max="5"/>
    <col width="18" customWidth="1" min="6" max="6"/>
    <col width="60" customWidth="1" min="7" max="7"/>
  </cols>
  <sheetData>
    <row r="1" ht="22" customHeight="1">
      <c r="A1" s="1" t="inlineStr">
        <is>
          <t>VehicleID</t>
        </is>
      </c>
      <c r="B1" s="1" t="inlineStr">
        <is>
          <t>Manufacturer</t>
        </is>
      </c>
      <c r="C1" s="1" t="inlineStr">
        <is>
          <t>Model</t>
        </is>
      </c>
      <c r="D1" s="1" t="inlineStr">
        <is>
          <t>ModelYear</t>
        </is>
      </c>
      <c r="E1" s="1" t="inlineStr">
        <is>
          <t>Platform</t>
        </is>
      </c>
      <c r="F1" s="1" t="inlineStr">
        <is>
          <t>Status</t>
        </is>
      </c>
      <c r="G1" s="1" t="inlineStr">
        <is>
          <t>Notes</t>
        </is>
      </c>
    </row>
    <row r="2">
      <c r="A2" t="inlineStr">
        <is>
          <t>KIA_EV2</t>
        </is>
      </c>
      <c r="B2" t="inlineStr">
        <is>
          <t>Kia</t>
        </is>
      </c>
      <c r="C2" t="inlineStr">
        <is>
          <t>EV2</t>
        </is>
      </c>
      <c r="D2" t="inlineStr">
        <is>
          <t>UNKNOWN</t>
        </is>
      </c>
      <c r="E2" t="inlineStr">
        <is>
          <t>UNKNOWN</t>
        </is>
      </c>
      <c r="F2" t="inlineStr">
        <is>
          <t>AVAILABLE</t>
        </is>
      </c>
      <c r="G2" t="inlineStr">
        <is>
          <t>Official dealer sales quote from Bertel O. Steen Lorenskog (authorized Kia dealer), quote valid to 2026-07-12, reviewed 2026-07-06 - supersedes the earlier "not listed on Kia Norway model list" observation with concrete, dated transactional evidence of market availability. Configuration: EV2 FWD Long Range GT Line, 135 hk, forhjulsdrift. No battery capacity, WLTP range, charging power, or dimensions were stated anywhere in the quote document.</t>
        </is>
      </c>
    </row>
    <row r="3">
      <c r="A3" t="inlineStr">
        <is>
          <t>TESLA_MODEL_3</t>
        </is>
      </c>
      <c r="B3" t="inlineStr">
        <is>
          <t>Tesla</t>
        </is>
      </c>
      <c r="C3" t="inlineStr">
        <is>
          <t>Model 3</t>
        </is>
      </c>
      <c r="D3" t="inlineStr">
        <is>
          <t>UNKNOWN</t>
        </is>
      </c>
      <c r="E3" t="inlineStr">
        <is>
          <t>UNKNOWN</t>
        </is>
      </c>
      <c r="F3" t="inlineStr">
        <is>
          <t>AVAILABLE</t>
        </is>
      </c>
      <c r="G3" t="inlineStr">
        <is>
          <t>Tesla Norway Model 3 page reviewed 2026-07-06: https://www.tesla.com/no_no/model3; model year and platform not specified in workbook-supported source fields.</t>
        </is>
      </c>
    </row>
    <row r="4">
      <c r="A4" t="inlineStr">
        <is>
          <t>RENAULT_4</t>
        </is>
      </c>
      <c r="B4" t="inlineStr">
        <is>
          <t>Renault</t>
        </is>
      </c>
      <c r="C4" t="inlineStr">
        <is>
          <t>4 E-Tech Electric</t>
        </is>
      </c>
      <c r="D4" t="inlineStr">
        <is>
          <t>UNKNOWN</t>
        </is>
      </c>
      <c r="E4" t="inlineStr">
        <is>
          <t>UNKNOWN</t>
        </is>
      </c>
      <c r="F4" t="inlineStr">
        <is>
          <t>AVAILABLE</t>
        </is>
      </c>
      <c r="G4" t="inlineStr">
        <is>
          <t>Renault Norway product page and official price list (Versjon 2, 01-06-2026) reviewed 2026-07-06: https://www.renault.no/personbil/renault-4-e-tech-electric. Model year not specified in workbook-supported source fields.</t>
        </is>
      </c>
    </row>
    <row r="5">
      <c r="A5" t="inlineStr">
        <is>
          <t>SKODA_ELROQ</t>
        </is>
      </c>
      <c r="B5" t="inlineStr">
        <is>
          <t>Škoda</t>
        </is>
      </c>
      <c r="C5" t="inlineStr">
        <is>
          <t>Elroq</t>
        </is>
      </c>
      <c r="D5" t="inlineStr">
        <is>
          <t>UNKNOWN</t>
        </is>
      </c>
      <c r="E5" t="inlineStr">
        <is>
          <t>UNKNOWN</t>
        </is>
      </c>
      <c r="F5" t="inlineStr">
        <is>
          <t>AVAILABLE</t>
        </is>
      </c>
      <c r="G5" t="inlineStr">
        <is>
          <t>Skoda Norway product page and official 2027-model price list (29.06.2026) reviewed 2026-07-06: https://www.skoda-auto.no/modeller/elroq/elroq. Platform not specified in workbook-supported source fields. Length (4488mm) sourced from global technical data sheet (5.5.2025) - see SRC_SKODA_GLOBAL_TECHDATA notes on model-year cross-source discrepancy.</t>
        </is>
      </c>
    </row>
    <row r="6">
      <c r="A6" t="inlineStr">
        <is>
          <t>VOLVO_EX30</t>
        </is>
      </c>
      <c r="B6" t="inlineStr">
        <is>
          <t>Volvo</t>
        </is>
      </c>
      <c r="C6" t="inlineStr">
        <is>
          <t>EX30</t>
        </is>
      </c>
      <c r="D6" t="inlineStr">
        <is>
          <t>UNKNOWN</t>
        </is>
      </c>
      <c r="E6" t="inlineStr">
        <is>
          <t>UNKNOWN</t>
        </is>
      </c>
      <c r="F6" t="inlineStr">
        <is>
          <t>AVAILABLE</t>
        </is>
      </c>
      <c r="G6" t="inlineStr">
        <is>
          <t>Volvo Norway official specifications page reviewed 2026-07-06: https://www.volvocars.com/no/cars/ex30-electric/specifications/. Model year and platform not specified in workbook-supported source fields.</t>
        </is>
      </c>
    </row>
  </sheetData>
  <autoFilter ref="A1:G5"/>
  <dataValidations count="1">
    <dataValidation sqref="F2:F1048576" showDropDown="0" showInputMessage="0" showErrorMessage="1" allowBlank="1" type="list">
      <formula1>Enum_VehicleStatus</formula1>
    </dataValidation>
  </dataValidations>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H19"/>
  <sheetViews>
    <sheetView showGridLines="1" workbookViewId="0">
      <pane ySplit="1" topLeftCell="A2" activePane="bottomLeft" state="frozen"/>
      <selection pane="bottomLeft" activeCell="A2" sqref="A2"/>
    </sheetView>
  </sheetViews>
  <sheetFormatPr baseColWidth="8" defaultRowHeight="15"/>
  <cols>
    <col width="24" customWidth="1" min="1" max="1"/>
    <col width="22" customWidth="1" min="2" max="2"/>
    <col width="12" customWidth="1" min="3" max="3"/>
    <col width="18" customWidth="1" min="4" max="4"/>
    <col width="22" customWidth="1" min="5" max="5"/>
    <col width="16" customWidth="1" min="6" max="6"/>
    <col width="18" customWidth="1" min="7" max="7"/>
    <col width="60" customWidth="1" min="8" max="8"/>
  </cols>
  <sheetData>
    <row r="1" ht="22" customHeight="1">
      <c r="A1" s="1" t="inlineStr">
        <is>
          <t>ConfigurationID</t>
        </is>
      </c>
      <c r="B1" s="1" t="inlineStr">
        <is>
          <t>VehicleID</t>
        </is>
      </c>
      <c r="C1" s="1" t="inlineStr">
        <is>
          <t>Market</t>
        </is>
      </c>
      <c r="D1" s="1" t="inlineStr">
        <is>
          <t>Status</t>
        </is>
      </c>
      <c r="E1" s="1" t="inlineStr">
        <is>
          <t>Trim</t>
        </is>
      </c>
      <c r="F1" s="1" t="inlineStr">
        <is>
          <t>BasePrice</t>
        </is>
      </c>
      <c r="G1" s="1" t="inlineStr">
        <is>
          <t>ConfiguredPrice</t>
        </is>
      </c>
      <c r="H1" s="1" t="inlineStr">
        <is>
          <t>Notes</t>
        </is>
      </c>
    </row>
    <row r="2">
      <c r="A2" t="inlineStr">
        <is>
          <t>TESLA_MODEL_3_RWD</t>
        </is>
      </c>
      <c r="B2" t="inlineStr">
        <is>
          <t>TESLA_MODEL_3</t>
        </is>
      </c>
      <c r="C2" t="inlineStr">
        <is>
          <t>NO</t>
        </is>
      </c>
      <c r="D2" t="inlineStr">
        <is>
          <t>AVAILABLE</t>
        </is>
      </c>
      <c r="E2" t="inlineStr">
        <is>
          <t>Bakhjulsdrift</t>
        </is>
      </c>
      <c r="H2" t="inlineStr">
        <is>
          <t>Tesla Norway Model 3 page reviewed 2026-07-06: https://www.tesla.com/no_no/model3; official price not exposed in accessible source content. Configuration Status recorded as AVAILABLE: trim is listed on the official Tesla Norway configurator as of the same review date (ADR-004 / IMPL-002). HARD REQUIREMENT FAILED (M002): Official length is 4720mm, 220mm over the 4500mm maximum. Per docs/02_criteria-and-weighting.md, "Configurations failing a mandatory requirement shall not proceed to weighted evaluation." This was not caught until the length figure was cross-checked against M002 during Garasje (W019) scoring. Kept in the comparison table at the users explicit request so they can personally weigh the 220mm overage, but this configuration is NOT hard-requirement-compliant and all its existing Reviews/Scores/OverallScore should be read with that in mind.</t>
        </is>
      </c>
    </row>
    <row r="3">
      <c r="A3" t="inlineStr">
        <is>
          <t>TESLA_MODEL_3_LONG_RANGE_AWD</t>
        </is>
      </c>
      <c r="B3" t="inlineStr">
        <is>
          <t>TESLA_MODEL_3</t>
        </is>
      </c>
      <c r="C3" t="inlineStr">
        <is>
          <t>NO</t>
        </is>
      </c>
      <c r="D3" t="inlineStr">
        <is>
          <t>AVAILABLE</t>
        </is>
      </c>
      <c r="E3" t="inlineStr">
        <is>
          <t>Long Range firehjulsdrift</t>
        </is>
      </c>
      <c r="H3" t="inlineStr">
        <is>
          <t>Tesla Norway Model 3 page reviewed 2026-07-06: https://www.tesla.com/no_no/model3; official price not exposed in accessible source content. Configuration Status recorded as AVAILABLE: trim is listed on the official Tesla Norway configurator as of the same review date (ADR-004 / IMPL-002). HARD REQUIREMENT FAILED (M002): Official length is 4720mm, 220mm over the 4500mm maximum. Per docs/02_criteria-and-weighting.md, "Configurations failing a mandatory requirement shall not proceed to weighted evaluation." This was not caught until the length figure was cross-checked against M002 during Garasje (W019) scoring. Kept in the comparison table at the users explicit request so they can personally weigh the 220mm overage, but this configuration is NOT hard-requirement-compliant and all its existing Reviews/Scores/OverallScore should be read with that in mind.</t>
        </is>
      </c>
    </row>
    <row r="4">
      <c r="A4" t="inlineStr">
        <is>
          <t>TESLA_MODEL_3_LONG_RANGE_RWD</t>
        </is>
      </c>
      <c r="B4" t="inlineStr">
        <is>
          <t>TESLA_MODEL_3</t>
        </is>
      </c>
      <c r="C4" t="inlineStr">
        <is>
          <t>NO</t>
        </is>
      </c>
      <c r="D4" t="inlineStr">
        <is>
          <t>AVAILABLE</t>
        </is>
      </c>
      <c r="E4" t="inlineStr">
        <is>
          <t>Long Range bakhjulsdrift</t>
        </is>
      </c>
      <c r="F4" t="n">
        <v>400539</v>
      </c>
      <c r="G4" t="n">
        <v>400539</v>
      </c>
      <c r="H4" t="inlineStr">
        <is>
          <t>Tesla Norway Model 3 page reviewed 2026-07-06: https://www.tesla.com/no_no/model3; official price not exposed in accessible source content. Configuration Status recorded as AVAILABLE: trim is listed on the official Tesla Norway configurator as of the same review date (ADR-004 / IMPL-002). M003 (winter highway range): Not verified. Two winter tests were found but both are unreliable matches: a 2022 test used a superseded pre-refresh Model 3 generation with a WLTP figure (614km) that matches no current trim, and a NAF winter 2025 test reports 702km WLTP (matching none of this workbook's four recorded Model 3 configurations) without specifying which trim was tested. Remains genuinely Unknown. Price verified 2026-07-06 via official Tesla Norway configurator (SRC_TESLA_NO_MODEL3_DESIGN): 400539 kr incl. VAT/fees, no optional extras selected (previously unpriced under DATA-001). HARD REQUIREMENT FAILED (M002): Official length is 4720mm, 220mm over the 4500mm maximum. Per docs/02_criteria-and-weighting.md, "Configurations failing a mandatory requirement shall not proceed to weighted evaluation." This was not caught until the length figure was cross-checked against M002 during Garasje (W019) scoring. Kept in the comparison table at the users explicit request so they can personally weigh the 220mm overage, but this configuration is NOT hard-requirement-compliant and all its existing Reviews/Scores/OverallScore should be read with that in mind.</t>
        </is>
      </c>
    </row>
    <row r="5">
      <c r="A5" t="inlineStr">
        <is>
          <t>TESLA_MODEL_3_PERFORMANCE</t>
        </is>
      </c>
      <c r="B5" t="inlineStr">
        <is>
          <t>TESLA_MODEL_3</t>
        </is>
      </c>
      <c r="C5" t="inlineStr">
        <is>
          <t>NO</t>
        </is>
      </c>
      <c r="D5" t="inlineStr">
        <is>
          <t>AVAILABLE</t>
        </is>
      </c>
      <c r="E5" t="inlineStr">
        <is>
          <t>Performance</t>
        </is>
      </c>
      <c r="H5" t="inlineStr">
        <is>
          <t>Tesla Norway Model 3 page reviewed 2026-07-06: https://www.tesla.com/no_no/model3; official price not exposed in accessible source content. Configuration Status recorded as AVAILABLE: trim is listed on the official Tesla Norway configurator as of the same review date (ADR-004 / IMPL-002). HARD REQUIREMENT FAILED (M002): Official length is 4720mm, 220mm over the 4500mm maximum. Per docs/02_criteria-and-weighting.md, "Configurations failing a mandatory requirement shall not proceed to weighted evaluation." This was not caught until the length figure was cross-checked against M002 during Garasje (W019) scoring. Kept in the comparison table at the users explicit request so they can personally weigh the 220mm overage, but this configuration is NOT hard-requirement-compliant and all its existing Reviews/Scores/OverallScore should be read with that in mind.</t>
        </is>
      </c>
    </row>
    <row r="6">
      <c r="A6" t="inlineStr">
        <is>
          <t>RENAULT_4_EVOLUTION_URBAN</t>
        </is>
      </c>
      <c r="B6" t="inlineStr">
        <is>
          <t>RENAULT_4</t>
        </is>
      </c>
      <c r="C6" t="inlineStr">
        <is>
          <t>NO</t>
        </is>
      </c>
      <c r="D6" t="inlineStr">
        <is>
          <t>AVAILABLE</t>
        </is>
      </c>
      <c r="E6" t="inlineStr">
        <is>
          <t>Evolution (Urban Range, 40 kWh)</t>
        </is>
      </c>
      <c r="F6" t="n">
        <v>299900</v>
      </c>
      <c r="G6" t="n">
        <v>299900</v>
      </c>
      <c r="H6" t="inlineStr">
        <is>
          <t>Renault Norway official price list (Versjon 2, 01-06-2026) reviewed 2026-07-06. Fails Hard Requirement M004 (Adaptive Cruise Control): Evolution trim has only fixed-speed Cruise Control, not adaptive - confirmed in the price list equipment comparison table. Not eligible for weighted scoring.</t>
        </is>
      </c>
    </row>
    <row r="7">
      <c r="A7" t="inlineStr">
        <is>
          <t>RENAULT_4_EVOLUTION_COMFORT</t>
        </is>
      </c>
      <c r="B7" t="inlineStr">
        <is>
          <t>RENAULT_4</t>
        </is>
      </c>
      <c r="C7" t="inlineStr">
        <is>
          <t>NO</t>
        </is>
      </c>
      <c r="D7" t="inlineStr">
        <is>
          <t>AVAILABLE</t>
        </is>
      </c>
      <c r="E7" t="inlineStr">
        <is>
          <t>Evolution (Comfort Range, 52 kWh)</t>
        </is>
      </c>
      <c r="F7" t="n">
        <v>327900</v>
      </c>
      <c r="G7" t="n">
        <v>327900</v>
      </c>
      <c r="H7" t="inlineStr">
        <is>
          <t>Renault Norway official price list (Versjon 2, 01-06-2026) reviewed 2026-07-06. Fails Hard Requirement M004 (Adaptive Cruise Control): Evolution trim has only fixed-speed Cruise Control, not adaptive - confirmed in the price list equipment comparison table. Not eligible for weighted scoring.</t>
        </is>
      </c>
    </row>
    <row r="8">
      <c r="A8" t="inlineStr">
        <is>
          <t>RENAULT_4_TECHNO</t>
        </is>
      </c>
      <c r="B8" t="inlineStr">
        <is>
          <t>RENAULT_4</t>
        </is>
      </c>
      <c r="C8" t="inlineStr">
        <is>
          <t>NO</t>
        </is>
      </c>
      <c r="D8" t="inlineStr">
        <is>
          <t>AVAILABLE</t>
        </is>
      </c>
      <c r="E8" t="inlineStr">
        <is>
          <t>Techno (Comfort Range, 52 kWh)</t>
        </is>
      </c>
      <c r="F8" t="n">
        <v>364900</v>
      </c>
      <c r="G8" t="n">
        <v>364900</v>
      </c>
      <c r="H8" t="inlineStr">
        <is>
          <t>Renault Norway official price list (Versjon 2, 01-06-2026) reviewed 2026-07-06. Meets all checked Hard Requirements (BEV, length 4140mm, Intelligent cruise control multi target = adaptive, standard rearview camera). M003 (winter highway range) remains Unknown - no winter test data reviewed. M003 (winter highway range): No dedicated deep-winter test found for this exact configuration. Closest available data point (elbil.no, Iconic trim - same 52kWh/150hk powertrain as Techno, but a different equipment level) measured 287 km at constant 100km/h highway driving in mild 5-7C conditions - NOT true winter cold. Since colder conditions would be expected to reduce range further, this data point is a concerning signal rather than a confident pass: the hard requirement remains genuinely uncertain, possibly at risk of failing, for this configuration. Flagged for the user's attention rather than resolved either way.</t>
        </is>
      </c>
    </row>
    <row r="9">
      <c r="A9" t="inlineStr">
        <is>
          <t>RENAULT_4_TECHNO_PLEIN_SUD</t>
        </is>
      </c>
      <c r="B9" t="inlineStr">
        <is>
          <t>RENAULT_4</t>
        </is>
      </c>
      <c r="C9" t="inlineStr">
        <is>
          <t>NO</t>
        </is>
      </c>
      <c r="D9" t="inlineStr">
        <is>
          <t>AVAILABLE</t>
        </is>
      </c>
      <c r="E9" t="inlineStr">
        <is>
          <t>Techno Plein Sud (Comfort Range, 52 kWh, canvas roof)</t>
        </is>
      </c>
      <c r="F9" t="n">
        <v>374900</v>
      </c>
      <c r="G9" t="n">
        <v>374900</v>
      </c>
      <c r="H9" t="inlineStr">
        <is>
          <t>Renault Norway official price list (Versjon 2, 01-06-2026) reviewed 2026-07-06. Shares Techno equipment level (adaptive cruise control, rearview camera); canvas soltak variant. M003 remains Unknown.</t>
        </is>
      </c>
    </row>
    <row r="10">
      <c r="A10" t="inlineStr">
        <is>
          <t>RENAULT_4_ICONIC</t>
        </is>
      </c>
      <c r="B10" t="inlineStr">
        <is>
          <t>RENAULT_4</t>
        </is>
      </c>
      <c r="C10" t="inlineStr">
        <is>
          <t>NO</t>
        </is>
      </c>
      <c r="D10" t="inlineStr">
        <is>
          <t>AVAILABLE</t>
        </is>
      </c>
      <c r="E10" t="inlineStr">
        <is>
          <t>Iconic (Comfort Range, 52 kWh)</t>
        </is>
      </c>
      <c r="F10" t="n">
        <v>389900</v>
      </c>
      <c r="G10" t="n">
        <v>389900</v>
      </c>
      <c r="H10" t="inlineStr">
        <is>
          <t>Renault Norway official price list (Versjon 2, 01-06-2026) reviewed 2026-07-06. Meets all checked Hard Requirements (BEV, length 4140mm, Intelligent cruise control multi target = adaptive, standard rearview camera). M003 remains Unknown.</t>
        </is>
      </c>
    </row>
    <row r="11">
      <c r="A11" t="inlineStr">
        <is>
          <t>RENAULT_4_ICONIC_PLEIN_SUD</t>
        </is>
      </c>
      <c r="B11" t="inlineStr">
        <is>
          <t>RENAULT_4</t>
        </is>
      </c>
      <c r="C11" t="inlineStr">
        <is>
          <t>NO</t>
        </is>
      </c>
      <c r="D11" t="inlineStr">
        <is>
          <t>AVAILABLE</t>
        </is>
      </c>
      <c r="E11" t="inlineStr">
        <is>
          <t>Iconic Plein Sud (Comfort Range, 52 kWh, canvas roof)</t>
        </is>
      </c>
      <c r="F11" t="n">
        <v>399900</v>
      </c>
      <c r="G11" t="n">
        <v>399900</v>
      </c>
      <c r="H11" t="inlineStr">
        <is>
          <t>Renault Norway official price list (Versjon 2, 01-06-2026) reviewed 2026-07-06. Shares Iconic equipment level (adaptive cruise control, rearview camera); canvas soltak variant. M003 remains Unknown.</t>
        </is>
      </c>
    </row>
    <row r="12">
      <c r="A12" t="inlineStr">
        <is>
          <t>SKODA_ELROQ_ESSENCE_60</t>
        </is>
      </c>
      <c r="B12" t="inlineStr">
        <is>
          <t>SKODA_ELROQ</t>
        </is>
      </c>
      <c r="C12" t="inlineStr">
        <is>
          <t>NO</t>
        </is>
      </c>
      <c r="D12" t="inlineStr">
        <is>
          <t>AVAILABLE</t>
        </is>
      </c>
      <c r="E12" t="inlineStr">
        <is>
          <t>Essence 60 (RWD, 58 kWh)</t>
        </is>
      </c>
      <c r="F12" t="n">
        <v>342900</v>
      </c>
      <c r="G12" t="n">
        <v>342900</v>
      </c>
      <c r="H12" t="inlineStr">
        <is>
          <t>Skoda Norway official price list (2027-modell, 29.06.2026) reviewed 2026-07-06. Meets all checked Hard Requirements: BEV, length 4488mm (only 12mm under the 4500mm limit - tight margin, flagged), Prediktiv adaptiv cruisekontroll standard, Ryggekamera standard. M003 (winter highway range) remains Unknown.</t>
        </is>
      </c>
    </row>
    <row r="13">
      <c r="A13" t="inlineStr">
        <is>
          <t>SKODA_ELROQ_SELECTION_60</t>
        </is>
      </c>
      <c r="B13" t="inlineStr">
        <is>
          <t>SKODA_ELROQ</t>
        </is>
      </c>
      <c r="C13" t="inlineStr">
        <is>
          <t>NO</t>
        </is>
      </c>
      <c r="D13" t="inlineStr">
        <is>
          <t>AVAILABLE</t>
        </is>
      </c>
      <c r="E13" t="inlineStr">
        <is>
          <t>Selection 60 (RWD, 58 kWh)</t>
        </is>
      </c>
      <c r="F13" t="n">
        <v>374900</v>
      </c>
      <c r="G13" t="n">
        <v>374900</v>
      </c>
      <c r="H13" t="inlineStr">
        <is>
          <t>Skoda Norway official price list (2027-modell, 29.06.2026) reviewed 2026-07-06. Reportedly the most popular Elroq variant per Skoda. Meets all checked Hard Requirements (see Essence 60 note; same length/ACC/camera). M003 remains Unknown. M003 (winter highway range): Not verified. NAF's El Prix winter 2026 test included only the Elroq RS variant (different chassis/suspension/power tier), and the results table was rendered as an image, not extractable as text. Searched but found no dedicated winter test for Selection 60 specifically. Remains genuinely Unknown, not assumed.</t>
        </is>
      </c>
    </row>
    <row r="14">
      <c r="A14" t="inlineStr">
        <is>
          <t>SKODA_ELROQ_SELECTION_85X</t>
        </is>
      </c>
      <c r="B14" t="inlineStr">
        <is>
          <t>SKODA_ELROQ</t>
        </is>
      </c>
      <c r="C14" t="inlineStr">
        <is>
          <t>NO</t>
        </is>
      </c>
      <c r="D14" t="inlineStr">
        <is>
          <t>AVAILABLE</t>
        </is>
      </c>
      <c r="E14" t="inlineStr">
        <is>
          <t>Selection 85x (AWD, 77 kWh)</t>
        </is>
      </c>
      <c r="F14" t="n">
        <v>492900</v>
      </c>
      <c r="G14" t="n">
        <v>492900</v>
      </c>
      <c r="H14" t="inlineStr">
        <is>
          <t>Skoda Norway official price list (2027-modell, 29.06.2026) reviewed 2026-07-06. Meets all checked Hard Requirements (see Essence 60 note). M003 remains Unknown.</t>
        </is>
      </c>
    </row>
    <row r="15">
      <c r="A15" t="inlineStr">
        <is>
          <t>SKODA_ELROQ_RS</t>
        </is>
      </c>
      <c r="B15" t="inlineStr">
        <is>
          <t>SKODA_ELROQ</t>
        </is>
      </c>
      <c r="C15" t="inlineStr">
        <is>
          <t>NO</t>
        </is>
      </c>
      <c r="D15" t="inlineStr">
        <is>
          <t>AVAILABLE</t>
        </is>
      </c>
      <c r="E15" t="inlineStr">
        <is>
          <t>RS (AWD, 77 kWh)</t>
        </is>
      </c>
      <c r="F15" t="n">
        <v>531900</v>
      </c>
      <c r="G15" t="n">
        <v>531900</v>
      </c>
      <c r="H15" t="inlineStr">
        <is>
          <t>Skoda Norway official price list (2027-modell, 29.06.2026) reviewed 2026-07-06. Meets all checked Hard Requirements (see Essence 60 note). M003 remains Unknown.</t>
        </is>
      </c>
    </row>
    <row r="16">
      <c r="A16" t="inlineStr">
        <is>
          <t>VOLVO_EX30_P5</t>
        </is>
      </c>
      <c r="B16" t="inlineStr">
        <is>
          <t>VOLVO_EX30</t>
        </is>
      </c>
      <c r="C16" t="inlineStr">
        <is>
          <t>NO</t>
        </is>
      </c>
      <c r="D16" t="inlineStr">
        <is>
          <t>AVAILABLE</t>
        </is>
      </c>
      <c r="E16" t="inlineStr">
        <is>
          <t>P5 (RWD, 51 kWh)</t>
        </is>
      </c>
      <c r="F16" t="n">
        <v>349900</v>
      </c>
      <c r="G16" t="n">
        <v>349900</v>
      </c>
      <c r="H16" t="inlineStr">
        <is>
          <t>Volvo Norway official specifications page reviewed 2026-07-06. Meets checked Hard Requirements: BEV, length 4233mm (comfortable margin under 4500mm limit), adaptive cruise control confirmed present via Motor.no test of the P8 AWD (same driver-assistance suite across the range, though functionally criticized in winter conditions). Rearview camera standard equipment not independently confirmed via a precisely-sourced fetch - left Unknown rather than assumed. M003 (winter highway range) remains Unknown.</t>
        </is>
      </c>
    </row>
    <row r="17">
      <c r="A17" t="inlineStr">
        <is>
          <t>VOLVO_EX30_P5_LONG_RANGE</t>
        </is>
      </c>
      <c r="B17" t="inlineStr">
        <is>
          <t>VOLVO_EX30</t>
        </is>
      </c>
      <c r="C17" t="inlineStr">
        <is>
          <t>NO</t>
        </is>
      </c>
      <c r="D17" t="inlineStr">
        <is>
          <t>AVAILABLE</t>
        </is>
      </c>
      <c r="E17" t="inlineStr">
        <is>
          <t>P5 Long Range (RWD, 69 kWh)</t>
        </is>
      </c>
      <c r="F17" t="n">
        <v>437900</v>
      </c>
      <c r="G17" t="n">
        <v>437900</v>
      </c>
      <c r="H17" t="inlineStr">
        <is>
          <t>Volvo Norway official specifications page reviewed 2026-07-06. Same Hard Requirement notes as P5 (see above).</t>
        </is>
      </c>
    </row>
    <row r="18">
      <c r="A18" t="inlineStr">
        <is>
          <t>VOLVO_EX30_P8_AWD</t>
        </is>
      </c>
      <c r="B18" t="inlineStr">
        <is>
          <t>VOLVO_EX30</t>
        </is>
      </c>
      <c r="C18" t="inlineStr">
        <is>
          <t>NO</t>
        </is>
      </c>
      <c r="D18" t="inlineStr">
        <is>
          <t>AVAILABLE</t>
        </is>
      </c>
      <c r="E18" t="inlineStr">
        <is>
          <t>P8 AWD (AWD, 69 kWh)</t>
        </is>
      </c>
      <c r="F18" t="n">
        <v>468900</v>
      </c>
      <c r="G18" t="n">
        <v>468900</v>
      </c>
      <c r="H18" t="inlineStr">
        <is>
          <t>Volvo Norway official specifications page reviewed 2026-07-06. Same Hard Requirement notes as P5. This is the configuration actually tested by Motor.no (Evidence directly applicable, not inferred across trims). M003 (winter highway range): Independent test (elbil.no, matching Twin Performance/dual-motor AWD powertrain) estimated ~75% of the 450km WLTP figure retained in real winter conditions (~-20C), i.e. approximately 338 km. This comfortably passes the ~300km hard requirement.</t>
        </is>
      </c>
    </row>
    <row r="19">
      <c r="A19" t="inlineStr">
        <is>
          <t>KIA_EV2_FWD_LONG_RANGE_GT_LINE</t>
        </is>
      </c>
      <c r="B19" t="inlineStr">
        <is>
          <t>KIA_EV2</t>
        </is>
      </c>
      <c r="C19" t="inlineStr">
        <is>
          <t>NO</t>
        </is>
      </c>
      <c r="D19" t="inlineStr">
        <is>
          <t>AVAILABLE</t>
        </is>
      </c>
      <c r="E19" t="inlineStr">
        <is>
          <t>FWD Long Range GT Line, 135 hk</t>
        </is>
      </c>
      <c r="F19" t="n">
        <v>346417</v>
      </c>
      <c r="G19" t="n">
        <v>423340</v>
      </c>
      <c r="H19" t="inlineStr">
        <is>
          <t>Official Bertel O. Steen (Kia dealer) sales quote reviewed 2026-07-06, valid to 2026-07-12. BasePrice (346417 kr) = base EV2 FWD Long Range (251655 kr) + GT Line package (94762 kr), i.e. the trim as sold. ConfiguredPrice (423340 kr) = this specific quote total, which additionally includes buyer-selected options not part of the base GT Line trim: 4-seat sliding-seat conversion (+3200 kr), 16" Nokian studded winter wheels (+23603 kr), plus delivery (12500 kr), VAT (21430 kr) and registration tax/vrakpant (16190 kr). Colour (Frost Blue - Solid) and interior (Grey/Black) were no-cost selections. No battery capacity, WLTP range, charging power, or vehicle dimensions were stated in the source document - these remain Unknown pending a manufacturer specification sheet. M003 (winter highway range): Not verified. No independent winter test was found for the Kia EV2 - likely because the model is too new to the Norwegian market to have been included in a winter test cycle yet. Remains genuinely Unknown.</t>
        </is>
      </c>
    </row>
  </sheetData>
  <autoFilter ref="A1:G1"/>
  <dataValidations count="2">
    <dataValidation sqref="C2:C1048576" showDropDown="0" showInputMessage="0" showErrorMessage="1" allowBlank="1" type="list">
      <formula1>Enum_Market</formula1>
    </dataValidation>
    <dataValidation sqref="D2:D1048576" showDropDown="0" showInputMessage="0" showErrorMessage="1" allowBlank="1" type="list">
      <formula1>Enum_ConfigurationStatus</formula1>
    </dataValidation>
  </dataValidations>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J151"/>
  <sheetViews>
    <sheetView showGridLines="1" workbookViewId="0">
      <pane ySplit="1" topLeftCell="A2" activePane="bottomLeft" state="frozen"/>
      <selection pane="bottomLeft" activeCell="A2" sqref="A2"/>
    </sheetView>
  </sheetViews>
  <sheetFormatPr baseColWidth="8" defaultRowHeight="15"/>
  <cols>
    <col width="20" customWidth="1" min="1" max="1"/>
    <col width="22" customWidth="1" min="2" max="2"/>
    <col width="24" customWidth="1" min="3" max="3"/>
    <col width="32" customWidth="1" min="4" max="4"/>
    <col width="16" customWidth="1" min="5" max="5"/>
    <col width="12" customWidth="1" min="6" max="6"/>
    <col width="20" customWidth="1" min="7" max="7"/>
    <col width="16" customWidth="1" min="8" max="8"/>
    <col width="18" customWidth="1" min="9" max="9"/>
    <col width="20" customWidth="1" min="10" max="10"/>
  </cols>
  <sheetData>
    <row r="1" ht="22" customHeight="1">
      <c r="A1" s="1" t="inlineStr">
        <is>
          <t>TechnicalID</t>
        </is>
      </c>
      <c r="B1" s="1" t="inlineStr">
        <is>
          <t>VehicleID</t>
        </is>
      </c>
      <c r="C1" s="1" t="inlineStr">
        <is>
          <t>ConfigurationID</t>
        </is>
      </c>
      <c r="D1" s="1" t="inlineStr">
        <is>
          <t>TechnicalField</t>
        </is>
      </c>
      <c r="E1" s="1" t="inlineStr">
        <is>
          <t>Value</t>
        </is>
      </c>
      <c r="F1" s="1" t="inlineStr">
        <is>
          <t>Unit</t>
        </is>
      </c>
      <c r="G1" s="1" t="inlineStr">
        <is>
          <t>SourceID</t>
        </is>
      </c>
      <c r="H1" s="1" t="inlineStr">
        <is>
          <t>Confidence</t>
        </is>
      </c>
      <c r="I1" s="1" t="inlineStr">
        <is>
          <t>LastUpdated</t>
        </is>
      </c>
      <c r="J1" s="1" t="inlineStr">
        <is>
          <t>FrameworkVersion</t>
        </is>
      </c>
    </row>
    <row r="2">
      <c r="D2" t="inlineStr">
        <is>
          <t>Length</t>
        </is>
      </c>
      <c r="F2" t="inlineStr">
        <is>
          <t>MM</t>
        </is>
      </c>
      <c r="H2" t="inlineStr">
        <is>
          <t>UNKNOWN</t>
        </is>
      </c>
      <c r="J2" t="inlineStr">
        <is>
          <t>1.0</t>
        </is>
      </c>
    </row>
    <row r="3">
      <c r="D3" t="inlineStr">
        <is>
          <t>WLTP range</t>
        </is>
      </c>
      <c r="F3" t="inlineStr">
        <is>
          <t>KM</t>
        </is>
      </c>
      <c r="H3" t="inlineStr">
        <is>
          <t>UNKNOWN</t>
        </is>
      </c>
      <c r="J3" t="inlineStr">
        <is>
          <t>1.0</t>
        </is>
      </c>
    </row>
    <row r="4">
      <c r="D4" t="inlineStr">
        <is>
          <t>Winter highway range estimate</t>
        </is>
      </c>
      <c r="F4" t="inlineStr">
        <is>
          <t>KM</t>
        </is>
      </c>
      <c r="H4" t="inlineStr">
        <is>
          <t>UNKNOWN</t>
        </is>
      </c>
      <c r="J4" t="inlineStr">
        <is>
          <t>1.0</t>
        </is>
      </c>
    </row>
    <row r="5">
      <c r="D5" t="inlineStr">
        <is>
          <t>Battery net</t>
        </is>
      </c>
      <c r="F5" t="inlineStr">
        <is>
          <t>KWH</t>
        </is>
      </c>
      <c r="H5" t="inlineStr">
        <is>
          <t>UNKNOWN</t>
        </is>
      </c>
      <c r="J5" t="inlineStr">
        <is>
          <t>1.0</t>
        </is>
      </c>
    </row>
    <row r="6">
      <c r="D6" t="inlineStr">
        <is>
          <t>DC max charging</t>
        </is>
      </c>
      <c r="F6" t="inlineStr">
        <is>
          <t>KW</t>
        </is>
      </c>
      <c r="H6" t="inlineStr">
        <is>
          <t>UNKNOWN</t>
        </is>
      </c>
      <c r="J6" t="inlineStr">
        <is>
          <t>1.0</t>
        </is>
      </c>
    </row>
    <row r="7">
      <c r="D7" t="inlineStr">
        <is>
          <t>Boot volume</t>
        </is>
      </c>
      <c r="F7" t="inlineStr">
        <is>
          <t>L</t>
        </is>
      </c>
      <c r="H7" t="inlineStr">
        <is>
          <t>UNKNOWN</t>
        </is>
      </c>
      <c r="J7" t="inlineStr">
        <is>
          <t>1.0</t>
        </is>
      </c>
    </row>
    <row r="8">
      <c r="A8" t="inlineStr">
        <is>
          <t>TECH_000001</t>
        </is>
      </c>
      <c r="B8" t="inlineStr">
        <is>
          <t>TESLA_MODEL_3</t>
        </is>
      </c>
      <c r="D8" t="inlineStr">
        <is>
          <t>Length</t>
        </is>
      </c>
      <c r="E8" t="n">
        <v>4720</v>
      </c>
      <c r="F8" t="inlineStr">
        <is>
          <t>MM</t>
        </is>
      </c>
      <c r="G8" t="inlineStr">
        <is>
          <t>SRC_TESLA_NO_MODEL3_CONFIGURATOR</t>
        </is>
      </c>
      <c r="H8" t="inlineStr">
        <is>
          <t>MEDIUM</t>
        </is>
      </c>
      <c r="I8" t="inlineStr">
        <is>
          <t>2026-07-06</t>
        </is>
      </c>
      <c r="J8" t="inlineStr">
        <is>
          <t>1.2</t>
        </is>
      </c>
    </row>
    <row r="9">
      <c r="A9" t="inlineStr">
        <is>
          <t>TECH_000002</t>
        </is>
      </c>
      <c r="B9" t="inlineStr">
        <is>
          <t>TESLA_MODEL_3</t>
        </is>
      </c>
      <c r="D9" t="inlineStr">
        <is>
          <t>Width (mirrors unfolded)</t>
        </is>
      </c>
      <c r="E9" t="n">
        <v>2089</v>
      </c>
      <c r="F9" t="inlineStr">
        <is>
          <t>MM</t>
        </is>
      </c>
      <c r="G9" t="inlineStr">
        <is>
          <t>SRC_TESLA_NO_MODEL3_CONFIGURATOR</t>
        </is>
      </c>
      <c r="H9" t="inlineStr">
        <is>
          <t>MEDIUM</t>
        </is>
      </c>
      <c r="I9" t="inlineStr">
        <is>
          <t>2026-07-06</t>
        </is>
      </c>
      <c r="J9" t="inlineStr">
        <is>
          <t>1.2</t>
        </is>
      </c>
    </row>
    <row r="10">
      <c r="A10" t="inlineStr">
        <is>
          <t>TECH_000003</t>
        </is>
      </c>
      <c r="B10" t="inlineStr">
        <is>
          <t>TESLA_MODEL_3</t>
        </is>
      </c>
      <c r="D10" t="inlineStr">
        <is>
          <t>Boot volume</t>
        </is>
      </c>
      <c r="E10" t="n">
        <v>682</v>
      </c>
      <c r="F10" t="inlineStr">
        <is>
          <t>L</t>
        </is>
      </c>
      <c r="G10" t="inlineStr">
        <is>
          <t>SRC_TESLA_NO_MODEL3_CONFIGURATOR</t>
        </is>
      </c>
      <c r="H10" t="inlineStr">
        <is>
          <t>MEDIUM</t>
        </is>
      </c>
      <c r="I10" t="inlineStr">
        <is>
          <t>2026-07-06</t>
        </is>
      </c>
      <c r="J10" t="inlineStr">
        <is>
          <t>1.2</t>
        </is>
      </c>
    </row>
    <row r="11">
      <c r="A11" t="inlineStr">
        <is>
          <t>TECH_000004</t>
        </is>
      </c>
      <c r="C11" t="inlineStr">
        <is>
          <t>TESLA_MODEL_3_RWD</t>
        </is>
      </c>
      <c r="D11" t="inlineStr">
        <is>
          <t>Height</t>
        </is>
      </c>
      <c r="E11" t="n">
        <v>1440</v>
      </c>
      <c r="F11" t="inlineStr">
        <is>
          <t>MM</t>
        </is>
      </c>
      <c r="G11" t="inlineStr">
        <is>
          <t>SRC_TESLA_NO_MODEL3_CONFIGURATOR</t>
        </is>
      </c>
      <c r="H11" t="inlineStr">
        <is>
          <t>MEDIUM</t>
        </is>
      </c>
      <c r="I11" t="inlineStr">
        <is>
          <t>2026-07-06</t>
        </is>
      </c>
      <c r="J11" t="inlineStr">
        <is>
          <t>1.2</t>
        </is>
      </c>
    </row>
    <row r="12">
      <c r="A12" t="inlineStr">
        <is>
          <t>TECH_000005</t>
        </is>
      </c>
      <c r="C12" t="inlineStr">
        <is>
          <t>TESLA_MODEL_3_RWD</t>
        </is>
      </c>
      <c r="D12" t="inlineStr">
        <is>
          <t>Width (mirrors folded)</t>
        </is>
      </c>
      <c r="E12" t="n">
        <v>1850</v>
      </c>
      <c r="F12" t="inlineStr">
        <is>
          <t>MM</t>
        </is>
      </c>
      <c r="G12" t="inlineStr">
        <is>
          <t>SRC_TESLA_NO_MODEL3_CONFIGURATOR</t>
        </is>
      </c>
      <c r="H12" t="inlineStr">
        <is>
          <t>MEDIUM</t>
        </is>
      </c>
      <c r="I12" t="inlineStr">
        <is>
          <t>2026-07-06</t>
        </is>
      </c>
      <c r="J12" t="inlineStr">
        <is>
          <t>1.2</t>
        </is>
      </c>
    </row>
    <row r="13">
      <c r="A13" t="inlineStr">
        <is>
          <t>TECH_000006</t>
        </is>
      </c>
      <c r="C13" t="inlineStr">
        <is>
          <t>TESLA_MODEL_3_RWD</t>
        </is>
      </c>
      <c r="D13" t="inlineStr">
        <is>
          <t>Ground clearance</t>
        </is>
      </c>
      <c r="E13" t="n">
        <v>138</v>
      </c>
      <c r="F13" t="inlineStr">
        <is>
          <t>MM</t>
        </is>
      </c>
      <c r="G13" t="inlineStr">
        <is>
          <t>SRC_TESLA_NO_MODEL3_CONFIGURATOR</t>
        </is>
      </c>
      <c r="H13" t="inlineStr">
        <is>
          <t>MEDIUM</t>
        </is>
      </c>
      <c r="I13" t="inlineStr">
        <is>
          <t>2026-07-06</t>
        </is>
      </c>
      <c r="J13" t="inlineStr">
        <is>
          <t>1.2</t>
        </is>
      </c>
    </row>
    <row r="14">
      <c r="A14" t="inlineStr">
        <is>
          <t>TECH_000007</t>
        </is>
      </c>
      <c r="C14" t="inlineStr">
        <is>
          <t>TESLA_MODEL_3_RWD</t>
        </is>
      </c>
      <c r="D14" t="inlineStr">
        <is>
          <t>Kerb weight (MRO)</t>
        </is>
      </c>
      <c r="E14" t="n">
        <v>1847</v>
      </c>
      <c r="F14" t="inlineStr">
        <is>
          <t>KG</t>
        </is>
      </c>
      <c r="G14" t="inlineStr">
        <is>
          <t>SRC_TESLA_NO_MODEL3_CONFIGURATOR</t>
        </is>
      </c>
      <c r="H14" t="inlineStr">
        <is>
          <t>MEDIUM</t>
        </is>
      </c>
      <c r="I14" t="inlineStr">
        <is>
          <t>2026-07-06</t>
        </is>
      </c>
      <c r="J14" t="inlineStr">
        <is>
          <t>1.2</t>
        </is>
      </c>
    </row>
    <row r="15">
      <c r="A15" t="inlineStr">
        <is>
          <t>TECH_000008</t>
        </is>
      </c>
      <c r="C15" t="inlineStr">
        <is>
          <t>TESLA_MODEL_3_RWD</t>
        </is>
      </c>
      <c r="D15" t="inlineStr">
        <is>
          <t>WLTP range</t>
        </is>
      </c>
      <c r="E15" t="n">
        <v>534</v>
      </c>
      <c r="F15" t="inlineStr">
        <is>
          <t>KM</t>
        </is>
      </c>
      <c r="G15" t="inlineStr">
        <is>
          <t>SRC_TESLA_NO_MODEL3_CONFIGURATOR</t>
        </is>
      </c>
      <c r="H15" t="inlineStr">
        <is>
          <t>MEDIUM</t>
        </is>
      </c>
      <c r="I15" t="inlineStr">
        <is>
          <t>2026-07-06</t>
        </is>
      </c>
      <c r="J15" t="inlineStr">
        <is>
          <t>1.2</t>
        </is>
      </c>
    </row>
    <row r="16">
      <c r="A16" t="inlineStr">
        <is>
          <t>TECH_000009</t>
        </is>
      </c>
      <c r="C16" t="inlineStr">
        <is>
          <t>TESLA_MODEL_3_RWD</t>
        </is>
      </c>
      <c r="D16" t="inlineStr">
        <is>
          <t>WLTP consumption</t>
        </is>
      </c>
      <c r="E16" t="n">
        <v>13</v>
      </c>
      <c r="F16" t="inlineStr">
        <is>
          <t>KWH_100KM</t>
        </is>
      </c>
      <c r="G16" t="inlineStr">
        <is>
          <t>SRC_TESLA_NO_MODEL3_CONFIGURATOR</t>
        </is>
      </c>
      <c r="H16" t="inlineStr">
        <is>
          <t>MEDIUM</t>
        </is>
      </c>
      <c r="I16" t="inlineStr">
        <is>
          <t>2026-07-06</t>
        </is>
      </c>
      <c r="J16" t="inlineStr">
        <is>
          <t>1.2</t>
        </is>
      </c>
    </row>
    <row r="17">
      <c r="A17" t="inlineStr">
        <is>
          <t>TECH_000010</t>
        </is>
      </c>
      <c r="C17" t="inlineStr">
        <is>
          <t>TESLA_MODEL_3_RWD</t>
        </is>
      </c>
      <c r="D17" t="inlineStr">
        <is>
          <t>DC max charging</t>
        </is>
      </c>
      <c r="E17" t="n">
        <v>175</v>
      </c>
      <c r="F17" t="inlineStr">
        <is>
          <t>KW</t>
        </is>
      </c>
      <c r="G17" t="inlineStr">
        <is>
          <t>SRC_TESLA_NO_MODEL3_CONFIGURATOR</t>
        </is>
      </c>
      <c r="H17" t="inlineStr">
        <is>
          <t>MEDIUM</t>
        </is>
      </c>
      <c r="I17" t="inlineStr">
        <is>
          <t>2026-07-06</t>
        </is>
      </c>
      <c r="J17" t="inlineStr">
        <is>
          <t>1.2</t>
        </is>
      </c>
    </row>
    <row r="18">
      <c r="A18" t="inlineStr">
        <is>
          <t>TECH_000011</t>
        </is>
      </c>
      <c r="C18" t="inlineStr">
        <is>
          <t>TESLA_MODEL_3_LONG_RANGE_AWD</t>
        </is>
      </c>
      <c r="D18" t="inlineStr">
        <is>
          <t>Height</t>
        </is>
      </c>
      <c r="E18" t="n">
        <v>1441</v>
      </c>
      <c r="F18" t="inlineStr">
        <is>
          <t>MM</t>
        </is>
      </c>
      <c r="G18" t="inlineStr">
        <is>
          <t>SRC_TESLA_NO_MODEL3_CONFIGURATOR</t>
        </is>
      </c>
      <c r="H18" t="inlineStr">
        <is>
          <t>MEDIUM</t>
        </is>
      </c>
      <c r="I18" t="inlineStr">
        <is>
          <t>2026-07-06</t>
        </is>
      </c>
      <c r="J18" t="inlineStr">
        <is>
          <t>1.2</t>
        </is>
      </c>
    </row>
    <row r="19">
      <c r="A19" t="inlineStr">
        <is>
          <t>TECH_000012</t>
        </is>
      </c>
      <c r="C19" t="inlineStr">
        <is>
          <t>TESLA_MODEL_3_LONG_RANGE_AWD</t>
        </is>
      </c>
      <c r="D19" t="inlineStr">
        <is>
          <t>Width (mirrors folded)</t>
        </is>
      </c>
      <c r="E19" t="n">
        <v>1933</v>
      </c>
      <c r="F19" t="inlineStr">
        <is>
          <t>MM</t>
        </is>
      </c>
      <c r="G19" t="inlineStr">
        <is>
          <t>SRC_TESLA_NO_MODEL3_CONFIGURATOR</t>
        </is>
      </c>
      <c r="H19" t="inlineStr">
        <is>
          <t>MEDIUM</t>
        </is>
      </c>
      <c r="I19" t="inlineStr">
        <is>
          <t>2026-07-06</t>
        </is>
      </c>
      <c r="J19" t="inlineStr">
        <is>
          <t>1.2</t>
        </is>
      </c>
    </row>
    <row r="20">
      <c r="A20" t="inlineStr">
        <is>
          <t>TECH_000013</t>
        </is>
      </c>
      <c r="C20" t="inlineStr">
        <is>
          <t>TESLA_MODEL_3_LONG_RANGE_AWD</t>
        </is>
      </c>
      <c r="D20" t="inlineStr">
        <is>
          <t>Ground clearance</t>
        </is>
      </c>
      <c r="E20" t="n">
        <v>138</v>
      </c>
      <c r="F20" t="inlineStr">
        <is>
          <t>MM</t>
        </is>
      </c>
      <c r="G20" t="inlineStr">
        <is>
          <t>SRC_TESLA_NO_MODEL3_CONFIGURATOR</t>
        </is>
      </c>
      <c r="H20" t="inlineStr">
        <is>
          <t>MEDIUM</t>
        </is>
      </c>
      <c r="I20" t="inlineStr">
        <is>
          <t>2026-07-06</t>
        </is>
      </c>
      <c r="J20" t="inlineStr">
        <is>
          <t>1.2</t>
        </is>
      </c>
    </row>
    <row r="21">
      <c r="A21" t="inlineStr">
        <is>
          <t>TECH_000014</t>
        </is>
      </c>
      <c r="C21" t="inlineStr">
        <is>
          <t>TESLA_MODEL_3_LONG_RANGE_AWD</t>
        </is>
      </c>
      <c r="D21" t="inlineStr">
        <is>
          <t>Kerb weight (MRO)</t>
        </is>
      </c>
      <c r="E21" t="n">
        <v>1899</v>
      </c>
      <c r="F21" t="inlineStr">
        <is>
          <t>KG</t>
        </is>
      </c>
      <c r="G21" t="inlineStr">
        <is>
          <t>SRC_TESLA_NO_MODEL3_CONFIGURATOR</t>
        </is>
      </c>
      <c r="H21" t="inlineStr">
        <is>
          <t>MEDIUM</t>
        </is>
      </c>
      <c r="I21" t="inlineStr">
        <is>
          <t>2026-07-06</t>
        </is>
      </c>
      <c r="J21" t="inlineStr">
        <is>
          <t>1.2</t>
        </is>
      </c>
    </row>
    <row r="22">
      <c r="A22" t="inlineStr">
        <is>
          <t>TECH_000015</t>
        </is>
      </c>
      <c r="C22" t="inlineStr">
        <is>
          <t>TESLA_MODEL_3_LONG_RANGE_AWD</t>
        </is>
      </c>
      <c r="D22" t="inlineStr">
        <is>
          <t>WLTP range</t>
        </is>
      </c>
      <c r="E22" t="n">
        <v>660</v>
      </c>
      <c r="F22" t="inlineStr">
        <is>
          <t>KM</t>
        </is>
      </c>
      <c r="G22" t="inlineStr">
        <is>
          <t>SRC_TESLA_NO_MODEL3_CONFIGURATOR</t>
        </is>
      </c>
      <c r="H22" t="inlineStr">
        <is>
          <t>MEDIUM</t>
        </is>
      </c>
      <c r="I22" t="inlineStr">
        <is>
          <t>2026-07-06</t>
        </is>
      </c>
      <c r="J22" t="inlineStr">
        <is>
          <t>1.2</t>
        </is>
      </c>
    </row>
    <row r="23">
      <c r="A23" t="inlineStr">
        <is>
          <t>TECH_000016</t>
        </is>
      </c>
      <c r="C23" t="inlineStr">
        <is>
          <t>TESLA_MODEL_3_LONG_RANGE_AWD</t>
        </is>
      </c>
      <c r="D23" t="inlineStr">
        <is>
          <t>WLTP consumption</t>
        </is>
      </c>
      <c r="E23" t="n">
        <v>14.3</v>
      </c>
      <c r="F23" t="inlineStr">
        <is>
          <t>KWH_100KM</t>
        </is>
      </c>
      <c r="G23" t="inlineStr">
        <is>
          <t>SRC_TESLA_NO_MODEL3_CONFIGURATOR</t>
        </is>
      </c>
      <c r="H23" t="inlineStr">
        <is>
          <t>MEDIUM</t>
        </is>
      </c>
      <c r="I23" t="inlineStr">
        <is>
          <t>2026-07-06</t>
        </is>
      </c>
      <c r="J23" t="inlineStr">
        <is>
          <t>1.2</t>
        </is>
      </c>
    </row>
    <row r="24">
      <c r="A24" t="inlineStr">
        <is>
          <t>TECH_000017</t>
        </is>
      </c>
      <c r="C24" t="inlineStr">
        <is>
          <t>TESLA_MODEL_3_LONG_RANGE_AWD</t>
        </is>
      </c>
      <c r="D24" t="inlineStr">
        <is>
          <t>DC max charging</t>
        </is>
      </c>
      <c r="E24" t="n">
        <v>250</v>
      </c>
      <c r="F24" t="inlineStr">
        <is>
          <t>KW</t>
        </is>
      </c>
      <c r="G24" t="inlineStr">
        <is>
          <t>SRC_TESLA_NO_MODEL3_CONFIGURATOR</t>
        </is>
      </c>
      <c r="H24" t="inlineStr">
        <is>
          <t>MEDIUM</t>
        </is>
      </c>
      <c r="I24" t="inlineStr">
        <is>
          <t>2026-07-06</t>
        </is>
      </c>
      <c r="J24" t="inlineStr">
        <is>
          <t>1.2</t>
        </is>
      </c>
    </row>
    <row r="25">
      <c r="A25" t="inlineStr">
        <is>
          <t>TECH_000018</t>
        </is>
      </c>
      <c r="C25" t="inlineStr">
        <is>
          <t>TESLA_MODEL_3_LONG_RANGE_RWD</t>
        </is>
      </c>
      <c r="D25" t="inlineStr">
        <is>
          <t>Height</t>
        </is>
      </c>
      <c r="E25" t="n">
        <v>1441</v>
      </c>
      <c r="F25" t="inlineStr">
        <is>
          <t>MM</t>
        </is>
      </c>
      <c r="G25" t="inlineStr">
        <is>
          <t>SRC_TESLA_NO_MODEL3_CONFIGURATOR</t>
        </is>
      </c>
      <c r="H25" t="inlineStr">
        <is>
          <t>MEDIUM</t>
        </is>
      </c>
      <c r="I25" t="inlineStr">
        <is>
          <t>2026-07-06</t>
        </is>
      </c>
      <c r="J25" t="inlineStr">
        <is>
          <t>1.2</t>
        </is>
      </c>
    </row>
    <row r="26">
      <c r="A26" t="inlineStr">
        <is>
          <t>TECH_000019</t>
        </is>
      </c>
      <c r="C26" t="inlineStr">
        <is>
          <t>TESLA_MODEL_3_LONG_RANGE_RWD</t>
        </is>
      </c>
      <c r="D26" t="inlineStr">
        <is>
          <t>Width (mirrors folded)</t>
        </is>
      </c>
      <c r="E26" t="n">
        <v>1933</v>
      </c>
      <c r="F26" t="inlineStr">
        <is>
          <t>MM</t>
        </is>
      </c>
      <c r="G26" t="inlineStr">
        <is>
          <t>SRC_TESLA_NO_MODEL3_CONFIGURATOR</t>
        </is>
      </c>
      <c r="H26" t="inlineStr">
        <is>
          <t>MEDIUM</t>
        </is>
      </c>
      <c r="I26" t="inlineStr">
        <is>
          <t>2026-07-06</t>
        </is>
      </c>
      <c r="J26" t="inlineStr">
        <is>
          <t>1.2</t>
        </is>
      </c>
    </row>
    <row r="27">
      <c r="A27" t="inlineStr">
        <is>
          <t>TECH_000020</t>
        </is>
      </c>
      <c r="C27" t="inlineStr">
        <is>
          <t>TESLA_MODEL_3_LONG_RANGE_RWD</t>
        </is>
      </c>
      <c r="D27" t="inlineStr">
        <is>
          <t>Ground clearance</t>
        </is>
      </c>
      <c r="E27" t="n">
        <v>138</v>
      </c>
      <c r="F27" t="inlineStr">
        <is>
          <t>MM</t>
        </is>
      </c>
      <c r="G27" t="inlineStr">
        <is>
          <t>SRC_TESLA_NO_MODEL3_CONFIGURATOR</t>
        </is>
      </c>
      <c r="H27" t="inlineStr">
        <is>
          <t>MEDIUM</t>
        </is>
      </c>
      <c r="I27" t="inlineStr">
        <is>
          <t>2026-07-06</t>
        </is>
      </c>
      <c r="J27" t="inlineStr">
        <is>
          <t>1.2</t>
        </is>
      </c>
    </row>
    <row r="28">
      <c r="A28" t="inlineStr">
        <is>
          <t>TECH_000021</t>
        </is>
      </c>
      <c r="C28" t="inlineStr">
        <is>
          <t>TESLA_MODEL_3_LONG_RANGE_RWD</t>
        </is>
      </c>
      <c r="D28" t="inlineStr">
        <is>
          <t>Kerb weight (MRO)</t>
        </is>
      </c>
      <c r="E28" t="n">
        <v>1822</v>
      </c>
      <c r="F28" t="inlineStr">
        <is>
          <t>KG</t>
        </is>
      </c>
      <c r="G28" t="inlineStr">
        <is>
          <t>SRC_TESLA_NO_MODEL3_CONFIGURATOR</t>
        </is>
      </c>
      <c r="H28" t="inlineStr">
        <is>
          <t>MEDIUM</t>
        </is>
      </c>
      <c r="I28" t="inlineStr">
        <is>
          <t>2026-07-06</t>
        </is>
      </c>
      <c r="J28" t="inlineStr">
        <is>
          <t>1.2</t>
        </is>
      </c>
    </row>
    <row r="29">
      <c r="A29" t="inlineStr">
        <is>
          <t>TECH_000022</t>
        </is>
      </c>
      <c r="C29" t="inlineStr">
        <is>
          <t>TESLA_MODEL_3_LONG_RANGE_RWD</t>
        </is>
      </c>
      <c r="D29" t="inlineStr">
        <is>
          <t>WLTP range (18" wheels)</t>
        </is>
      </c>
      <c r="E29" t="n">
        <v>750</v>
      </c>
      <c r="F29" t="inlineStr">
        <is>
          <t>KM</t>
        </is>
      </c>
      <c r="G29" t="inlineStr">
        <is>
          <t>SRC_TESLA_NO_MODEL3_CONFIGURATOR</t>
        </is>
      </c>
      <c r="H29" t="inlineStr">
        <is>
          <t>MEDIUM</t>
        </is>
      </c>
      <c r="I29" t="inlineStr">
        <is>
          <t>2026-07-06</t>
        </is>
      </c>
      <c r="J29" t="inlineStr">
        <is>
          <t>1.2</t>
        </is>
      </c>
    </row>
    <row r="30">
      <c r="A30" t="inlineStr">
        <is>
          <t>TECH_000023</t>
        </is>
      </c>
      <c r="C30" t="inlineStr">
        <is>
          <t>TESLA_MODEL_3_LONG_RANGE_RWD</t>
        </is>
      </c>
      <c r="D30" t="inlineStr">
        <is>
          <t>WLTP range (19" wheels)</t>
        </is>
      </c>
      <c r="E30" t="n">
        <v>691</v>
      </c>
      <c r="F30" t="inlineStr">
        <is>
          <t>KM</t>
        </is>
      </c>
      <c r="G30" t="inlineStr">
        <is>
          <t>SRC_TESLA_NO_MODEL3_CONFIGURATOR</t>
        </is>
      </c>
      <c r="H30" t="inlineStr">
        <is>
          <t>MEDIUM</t>
        </is>
      </c>
      <c r="I30" t="inlineStr">
        <is>
          <t>2026-07-06</t>
        </is>
      </c>
      <c r="J30" t="inlineStr">
        <is>
          <t>1.2</t>
        </is>
      </c>
    </row>
    <row r="31">
      <c r="A31" t="inlineStr">
        <is>
          <t>TECH_000024</t>
        </is>
      </c>
      <c r="C31" t="inlineStr">
        <is>
          <t>TESLA_MODEL_3_LONG_RANGE_RWD</t>
        </is>
      </c>
      <c r="D31" t="inlineStr">
        <is>
          <t>WLTP consumption</t>
        </is>
      </c>
      <c r="E31" t="n">
        <v>13.6</v>
      </c>
      <c r="F31" t="inlineStr">
        <is>
          <t>KWH_100KM</t>
        </is>
      </c>
      <c r="G31" t="inlineStr">
        <is>
          <t>SRC_TESLA_NO_MODEL3_CONFIGURATOR</t>
        </is>
      </c>
      <c r="H31" t="inlineStr">
        <is>
          <t>MEDIUM</t>
        </is>
      </c>
      <c r="I31" t="inlineStr">
        <is>
          <t>2026-07-06</t>
        </is>
      </c>
      <c r="J31" t="inlineStr">
        <is>
          <t>1.2</t>
        </is>
      </c>
    </row>
    <row r="32">
      <c r="A32" t="inlineStr">
        <is>
          <t>TECH_000025</t>
        </is>
      </c>
      <c r="C32" t="inlineStr">
        <is>
          <t>TESLA_MODEL_3_LONG_RANGE_RWD</t>
        </is>
      </c>
      <c r="D32" t="inlineStr">
        <is>
          <t>DC max charging</t>
        </is>
      </c>
      <c r="E32" t="n">
        <v>250</v>
      </c>
      <c r="F32" t="inlineStr">
        <is>
          <t>KW</t>
        </is>
      </c>
      <c r="G32" t="inlineStr">
        <is>
          <t>SRC_TESLA_NO_MODEL3_CONFIGURATOR</t>
        </is>
      </c>
      <c r="H32" t="inlineStr">
        <is>
          <t>MEDIUM</t>
        </is>
      </c>
      <c r="I32" t="inlineStr">
        <is>
          <t>2026-07-06</t>
        </is>
      </c>
      <c r="J32" t="inlineStr">
        <is>
          <t>1.2</t>
        </is>
      </c>
    </row>
    <row r="33">
      <c r="A33" t="inlineStr">
        <is>
          <t>TECH_000026</t>
        </is>
      </c>
      <c r="C33" t="inlineStr">
        <is>
          <t>TESLA_MODEL_3_PERFORMANCE</t>
        </is>
      </c>
      <c r="D33" t="inlineStr">
        <is>
          <t>Height</t>
        </is>
      </c>
      <c r="E33" t="n">
        <v>1431</v>
      </c>
      <c r="F33" t="inlineStr">
        <is>
          <t>MM</t>
        </is>
      </c>
      <c r="G33" t="inlineStr">
        <is>
          <t>SRC_TESLA_NO_MODEL3_CONFIGURATOR</t>
        </is>
      </c>
      <c r="H33" t="inlineStr">
        <is>
          <t>MEDIUM</t>
        </is>
      </c>
      <c r="I33" t="inlineStr">
        <is>
          <t>2026-07-06</t>
        </is>
      </c>
      <c r="J33" t="inlineStr">
        <is>
          <t>1.2</t>
        </is>
      </c>
    </row>
    <row r="34">
      <c r="A34" t="inlineStr">
        <is>
          <t>TECH_000027</t>
        </is>
      </c>
      <c r="C34" t="inlineStr">
        <is>
          <t>TESLA_MODEL_3_PERFORMANCE</t>
        </is>
      </c>
      <c r="D34" t="inlineStr">
        <is>
          <t>Width (mirrors folded)</t>
        </is>
      </c>
      <c r="E34" t="n">
        <v>1933</v>
      </c>
      <c r="F34" t="inlineStr">
        <is>
          <t>MM</t>
        </is>
      </c>
      <c r="G34" t="inlineStr">
        <is>
          <t>SRC_TESLA_NO_MODEL3_CONFIGURATOR</t>
        </is>
      </c>
      <c r="H34" t="inlineStr">
        <is>
          <t>MEDIUM</t>
        </is>
      </c>
      <c r="I34" t="inlineStr">
        <is>
          <t>2026-07-06</t>
        </is>
      </c>
      <c r="J34" t="inlineStr">
        <is>
          <t>1.2</t>
        </is>
      </c>
    </row>
    <row r="35">
      <c r="A35" t="inlineStr">
        <is>
          <t>TECH_000028</t>
        </is>
      </c>
      <c r="C35" t="inlineStr">
        <is>
          <t>TESLA_MODEL_3_PERFORMANCE</t>
        </is>
      </c>
      <c r="D35" t="inlineStr">
        <is>
          <t>Ground clearance</t>
        </is>
      </c>
      <c r="E35" t="n">
        <v>128</v>
      </c>
      <c r="F35" t="inlineStr">
        <is>
          <t>MM</t>
        </is>
      </c>
      <c r="G35" t="inlineStr">
        <is>
          <t>SRC_TESLA_NO_MODEL3_CONFIGURATOR</t>
        </is>
      </c>
      <c r="H35" t="inlineStr">
        <is>
          <t>MEDIUM</t>
        </is>
      </c>
      <c r="I35" t="inlineStr">
        <is>
          <t>2026-07-06</t>
        </is>
      </c>
      <c r="J35" t="inlineStr">
        <is>
          <t>1.2</t>
        </is>
      </c>
    </row>
    <row r="36">
      <c r="A36" t="inlineStr">
        <is>
          <t>TECH_000029</t>
        </is>
      </c>
      <c r="C36" t="inlineStr">
        <is>
          <t>TESLA_MODEL_3_PERFORMANCE</t>
        </is>
      </c>
      <c r="D36" t="inlineStr">
        <is>
          <t>Kerb weight (MRO)</t>
        </is>
      </c>
      <c r="E36" t="n">
        <v>1929</v>
      </c>
      <c r="F36" t="inlineStr">
        <is>
          <t>KG</t>
        </is>
      </c>
      <c r="G36" t="inlineStr">
        <is>
          <t>SRC_TESLA_NO_MODEL3_CONFIGURATOR</t>
        </is>
      </c>
      <c r="H36" t="inlineStr">
        <is>
          <t>MEDIUM</t>
        </is>
      </c>
      <c r="I36" t="inlineStr">
        <is>
          <t>2026-07-06</t>
        </is>
      </c>
      <c r="J36" t="inlineStr">
        <is>
          <t>1.2</t>
        </is>
      </c>
    </row>
    <row r="37">
      <c r="A37" t="inlineStr">
        <is>
          <t>TECH_000030</t>
        </is>
      </c>
      <c r="C37" t="inlineStr">
        <is>
          <t>TESLA_MODEL_3_PERFORMANCE</t>
        </is>
      </c>
      <c r="D37" t="inlineStr">
        <is>
          <t>WLTP range</t>
        </is>
      </c>
      <c r="E37" t="n">
        <v>571</v>
      </c>
      <c r="F37" t="inlineStr">
        <is>
          <t>KM</t>
        </is>
      </c>
      <c r="G37" t="inlineStr">
        <is>
          <t>SRC_TESLA_NO_MODEL3_CONFIGURATOR</t>
        </is>
      </c>
      <c r="H37" t="inlineStr">
        <is>
          <t>MEDIUM</t>
        </is>
      </c>
      <c r="I37" t="inlineStr">
        <is>
          <t>2026-07-06</t>
        </is>
      </c>
      <c r="J37" t="inlineStr">
        <is>
          <t>1.2</t>
        </is>
      </c>
    </row>
    <row r="38">
      <c r="A38" t="inlineStr">
        <is>
          <t>TECH_000031</t>
        </is>
      </c>
      <c r="C38" t="inlineStr">
        <is>
          <t>TESLA_MODEL_3_PERFORMANCE</t>
        </is>
      </c>
      <c r="D38" t="inlineStr">
        <is>
          <t>WLTP consumption</t>
        </is>
      </c>
      <c r="E38" t="n">
        <v>16.5</v>
      </c>
      <c r="F38" t="inlineStr">
        <is>
          <t>KWH_100KM</t>
        </is>
      </c>
      <c r="G38" t="inlineStr">
        <is>
          <t>SRC_TESLA_NO_MODEL3_CONFIGURATOR</t>
        </is>
      </c>
      <c r="H38" t="inlineStr">
        <is>
          <t>MEDIUM</t>
        </is>
      </c>
      <c r="I38" t="inlineStr">
        <is>
          <t>2026-07-06</t>
        </is>
      </c>
      <c r="J38" t="inlineStr">
        <is>
          <t>1.2</t>
        </is>
      </c>
    </row>
    <row r="39">
      <c r="A39" t="inlineStr">
        <is>
          <t>TECH_000032</t>
        </is>
      </c>
      <c r="C39" t="inlineStr">
        <is>
          <t>TESLA_MODEL_3_PERFORMANCE</t>
        </is>
      </c>
      <c r="D39" t="inlineStr">
        <is>
          <t>DC max charging</t>
        </is>
      </c>
      <c r="E39" t="n">
        <v>250</v>
      </c>
      <c r="F39" t="inlineStr">
        <is>
          <t>KW</t>
        </is>
      </c>
      <c r="G39" t="inlineStr">
        <is>
          <t>SRC_TESLA_NO_MODEL3_CONFIGURATOR</t>
        </is>
      </c>
      <c r="H39" t="inlineStr">
        <is>
          <t>MEDIUM</t>
        </is>
      </c>
      <c r="I39" t="inlineStr">
        <is>
          <t>2026-07-06</t>
        </is>
      </c>
      <c r="J39" t="inlineStr">
        <is>
          <t>1.2</t>
        </is>
      </c>
    </row>
    <row r="40">
      <c r="A40" t="inlineStr">
        <is>
          <t>TECH_000033</t>
        </is>
      </c>
      <c r="C40" t="inlineStr">
        <is>
          <t>TESLA_MODEL_3_PERFORMANCE</t>
        </is>
      </c>
      <c r="D40" t="inlineStr">
        <is>
          <t>Top speed</t>
        </is>
      </c>
      <c r="E40" t="n">
        <v>262</v>
      </c>
      <c r="F40" t="inlineStr">
        <is>
          <t>KMH</t>
        </is>
      </c>
      <c r="G40" t="inlineStr">
        <is>
          <t>SRC_TESLA_NO_MODEL3_CONFIGURATOR</t>
        </is>
      </c>
      <c r="H40" t="inlineStr">
        <is>
          <t>MEDIUM</t>
        </is>
      </c>
      <c r="I40" t="inlineStr">
        <is>
          <t>2026-07-06</t>
        </is>
      </c>
      <c r="J40" t="inlineStr">
        <is>
          <t>1.2</t>
        </is>
      </c>
    </row>
    <row r="41">
      <c r="A41" t="inlineStr">
        <is>
          <t>TECH_000034</t>
        </is>
      </c>
      <c r="B41" t="inlineStr">
        <is>
          <t>RENAULT_4</t>
        </is>
      </c>
      <c r="D41" t="inlineStr">
        <is>
          <t>Length</t>
        </is>
      </c>
      <c r="E41" t="n">
        <v>4140</v>
      </c>
      <c r="F41" t="inlineStr">
        <is>
          <t>MM</t>
        </is>
      </c>
      <c r="G41" t="inlineStr">
        <is>
          <t>SRC_RENAULT_NO_R4_PAGE</t>
        </is>
      </c>
      <c r="H41" t="inlineStr">
        <is>
          <t>MEDIUM</t>
        </is>
      </c>
      <c r="I41" t="inlineStr">
        <is>
          <t>2026-07-06</t>
        </is>
      </c>
      <c r="J41" t="inlineStr">
        <is>
          <t>1.4</t>
        </is>
      </c>
    </row>
    <row r="42">
      <c r="A42" t="inlineStr">
        <is>
          <t>TECH_000035</t>
        </is>
      </c>
      <c r="B42" t="inlineStr">
        <is>
          <t>RENAULT_4</t>
        </is>
      </c>
      <c r="D42" t="inlineStr">
        <is>
          <t>Ground clearance</t>
        </is>
      </c>
      <c r="E42" t="n">
        <v>181</v>
      </c>
      <c r="F42" t="inlineStr">
        <is>
          <t>MM</t>
        </is>
      </c>
      <c r="G42" t="inlineStr">
        <is>
          <t>SRC_RENAULT_NO_R4_PAGE</t>
        </is>
      </c>
      <c r="H42" t="inlineStr">
        <is>
          <t>MEDIUM</t>
        </is>
      </c>
      <c r="I42" t="inlineStr">
        <is>
          <t>2026-07-06</t>
        </is>
      </c>
      <c r="J42" t="inlineStr">
        <is>
          <t>1.4</t>
        </is>
      </c>
    </row>
    <row r="43">
      <c r="A43" t="inlineStr">
        <is>
          <t>TECH_000036</t>
        </is>
      </c>
      <c r="C43" t="inlineStr">
        <is>
          <t>RENAULT_4_EVOLUTION_URBAN</t>
        </is>
      </c>
      <c r="D43" t="inlineStr">
        <is>
          <t>WLTP range</t>
        </is>
      </c>
      <c r="E43" t="n">
        <v>308</v>
      </c>
      <c r="F43" t="inlineStr">
        <is>
          <t>KM</t>
        </is>
      </c>
      <c r="G43" t="inlineStr">
        <is>
          <t>SRC_RENAULT_NO_R4_PRICELIST</t>
        </is>
      </c>
      <c r="H43" t="inlineStr">
        <is>
          <t>MEDIUM</t>
        </is>
      </c>
      <c r="I43" t="inlineStr">
        <is>
          <t>2026-07-06</t>
        </is>
      </c>
      <c r="J43" t="inlineStr">
        <is>
          <t>1.4</t>
        </is>
      </c>
    </row>
    <row r="44">
      <c r="A44" t="inlineStr">
        <is>
          <t>TECH_000037</t>
        </is>
      </c>
      <c r="C44" t="inlineStr">
        <is>
          <t>RENAULT_4_EVOLUTION_URBAN</t>
        </is>
      </c>
      <c r="D44" t="inlineStr">
        <is>
          <t>WLTP consumption</t>
        </is>
      </c>
      <c r="E44" t="n">
        <v>14.7</v>
      </c>
      <c r="F44" t="inlineStr">
        <is>
          <t>KWH_100KM</t>
        </is>
      </c>
      <c r="G44" t="inlineStr">
        <is>
          <t>SRC_RENAULT_NO_R4_PRICELIST</t>
        </is>
      </c>
      <c r="H44" t="inlineStr">
        <is>
          <t>MEDIUM</t>
        </is>
      </c>
      <c r="I44" t="inlineStr">
        <is>
          <t>2026-07-06</t>
        </is>
      </c>
      <c r="J44" t="inlineStr">
        <is>
          <t>1.4</t>
        </is>
      </c>
    </row>
    <row r="45">
      <c r="A45" t="inlineStr">
        <is>
          <t>TECH_000038</t>
        </is>
      </c>
      <c r="C45" t="inlineStr">
        <is>
          <t>RENAULT_4_EVOLUTION_URBAN</t>
        </is>
      </c>
      <c r="D45" t="inlineStr">
        <is>
          <t>DC max charging</t>
        </is>
      </c>
      <c r="E45" t="n">
        <v>80</v>
      </c>
      <c r="F45" t="inlineStr">
        <is>
          <t>KW</t>
        </is>
      </c>
      <c r="G45" t="inlineStr">
        <is>
          <t>SRC_RENAULT_NO_R4_PRICELIST</t>
        </is>
      </c>
      <c r="H45" t="inlineStr">
        <is>
          <t>MEDIUM</t>
        </is>
      </c>
      <c r="I45" t="inlineStr">
        <is>
          <t>2026-07-06</t>
        </is>
      </c>
      <c r="J45" t="inlineStr">
        <is>
          <t>1.4</t>
        </is>
      </c>
    </row>
    <row r="46">
      <c r="A46" t="inlineStr">
        <is>
          <t>TECH_000039</t>
        </is>
      </c>
      <c r="C46" t="inlineStr">
        <is>
          <t>RENAULT_4_EVOLUTION_URBAN</t>
        </is>
      </c>
      <c r="D46" t="inlineStr">
        <is>
          <t>AC max charging</t>
        </is>
      </c>
      <c r="E46" t="n">
        <v>11</v>
      </c>
      <c r="F46" t="inlineStr">
        <is>
          <t>KW</t>
        </is>
      </c>
      <c r="G46" t="inlineStr">
        <is>
          <t>SRC_RENAULT_NO_R4_PRICELIST</t>
        </is>
      </c>
      <c r="H46" t="inlineStr">
        <is>
          <t>MEDIUM</t>
        </is>
      </c>
      <c r="I46" t="inlineStr">
        <is>
          <t>2026-07-06</t>
        </is>
      </c>
      <c r="J46" t="inlineStr">
        <is>
          <t>1.4</t>
        </is>
      </c>
    </row>
    <row r="47">
      <c r="A47" t="inlineStr">
        <is>
          <t>TECH_000040</t>
        </is>
      </c>
      <c r="C47" t="inlineStr">
        <is>
          <t>RENAULT_4_EVOLUTION_URBAN</t>
        </is>
      </c>
      <c r="D47" t="inlineStr">
        <is>
          <t>Battery net</t>
        </is>
      </c>
      <c r="E47" t="n">
        <v>40</v>
      </c>
      <c r="F47" t="inlineStr">
        <is>
          <t>KWH</t>
        </is>
      </c>
      <c r="G47" t="inlineStr">
        <is>
          <t>SRC_RENAULT_NO_R4_PRICELIST</t>
        </is>
      </c>
      <c r="H47" t="inlineStr">
        <is>
          <t>MEDIUM</t>
        </is>
      </c>
      <c r="I47" t="inlineStr">
        <is>
          <t>2026-07-06</t>
        </is>
      </c>
      <c r="J47" t="inlineStr">
        <is>
          <t>1.4</t>
        </is>
      </c>
    </row>
    <row r="48">
      <c r="A48" t="inlineStr">
        <is>
          <t>TECH_000041</t>
        </is>
      </c>
      <c r="C48" t="inlineStr">
        <is>
          <t>RENAULT_4_EVOLUTION_URBAN</t>
        </is>
      </c>
      <c r="D48" t="inlineStr">
        <is>
          <t>Torque</t>
        </is>
      </c>
      <c r="E48" t="n">
        <v>225</v>
      </c>
      <c r="F48" t="inlineStr">
        <is>
          <t>NM</t>
        </is>
      </c>
      <c r="G48" t="inlineStr">
        <is>
          <t>SRC_RENAULT_NO_R4_PRICELIST</t>
        </is>
      </c>
      <c r="H48" t="inlineStr">
        <is>
          <t>MEDIUM</t>
        </is>
      </c>
      <c r="I48" t="inlineStr">
        <is>
          <t>2026-07-06</t>
        </is>
      </c>
      <c r="J48" t="inlineStr">
        <is>
          <t>1.4</t>
        </is>
      </c>
    </row>
    <row r="49">
      <c r="A49" t="inlineStr">
        <is>
          <t>TECH_000042</t>
        </is>
      </c>
      <c r="C49" t="inlineStr">
        <is>
          <t>RENAULT_4_EVOLUTION_URBAN</t>
        </is>
      </c>
      <c r="D49" t="inlineStr">
        <is>
          <t>Kerb weight</t>
        </is>
      </c>
      <c r="E49" t="n">
        <v>1492</v>
      </c>
      <c r="F49" t="inlineStr">
        <is>
          <t>KG</t>
        </is>
      </c>
      <c r="G49" t="inlineStr">
        <is>
          <t>SRC_RENAULT_NO_R4_PRICELIST</t>
        </is>
      </c>
      <c r="H49" t="inlineStr">
        <is>
          <t>MEDIUM</t>
        </is>
      </c>
      <c r="I49" t="inlineStr">
        <is>
          <t>2026-07-06</t>
        </is>
      </c>
      <c r="J49" t="inlineStr">
        <is>
          <t>1.4</t>
        </is>
      </c>
    </row>
    <row r="50">
      <c r="A50" t="inlineStr">
        <is>
          <t>TECH_000043</t>
        </is>
      </c>
      <c r="C50" t="inlineStr">
        <is>
          <t>RENAULT_4_EVOLUTION_URBAN</t>
        </is>
      </c>
      <c r="D50" t="inlineStr">
        <is>
          <t>Boot volume</t>
        </is>
      </c>
      <c r="E50" t="n">
        <v>420</v>
      </c>
      <c r="F50" t="inlineStr">
        <is>
          <t>L</t>
        </is>
      </c>
      <c r="G50" t="inlineStr">
        <is>
          <t>SRC_RENAULT_NO_R4_PAGE</t>
        </is>
      </c>
      <c r="H50" t="inlineStr">
        <is>
          <t>MEDIUM</t>
        </is>
      </c>
      <c r="I50" t="inlineStr">
        <is>
          <t>2026-07-06</t>
        </is>
      </c>
      <c r="J50" t="inlineStr">
        <is>
          <t>1.4</t>
        </is>
      </c>
    </row>
    <row r="51">
      <c r="A51" t="inlineStr">
        <is>
          <t>TECH_000044</t>
        </is>
      </c>
      <c r="C51" t="inlineStr">
        <is>
          <t>RENAULT_4_EVOLUTION_COMFORT</t>
        </is>
      </c>
      <c r="D51" t="inlineStr">
        <is>
          <t>WLTP range</t>
        </is>
      </c>
      <c r="E51" t="n">
        <v>407</v>
      </c>
      <c r="F51" t="inlineStr">
        <is>
          <t>KM</t>
        </is>
      </c>
      <c r="G51" t="inlineStr">
        <is>
          <t>SRC_RENAULT_NO_R4_PRICELIST</t>
        </is>
      </c>
      <c r="H51" t="inlineStr">
        <is>
          <t>MEDIUM</t>
        </is>
      </c>
      <c r="I51" t="inlineStr">
        <is>
          <t>2026-07-06</t>
        </is>
      </c>
      <c r="J51" t="inlineStr">
        <is>
          <t>1.4</t>
        </is>
      </c>
    </row>
    <row r="52">
      <c r="A52" t="inlineStr">
        <is>
          <t>TECH_000045</t>
        </is>
      </c>
      <c r="C52" t="inlineStr">
        <is>
          <t>RENAULT_4_EVOLUTION_COMFORT</t>
        </is>
      </c>
      <c r="D52" t="inlineStr">
        <is>
          <t>WLTP consumption</t>
        </is>
      </c>
      <c r="E52" t="n">
        <v>15.2</v>
      </c>
      <c r="F52" t="inlineStr">
        <is>
          <t>KWH_100KM</t>
        </is>
      </c>
      <c r="G52" t="inlineStr">
        <is>
          <t>SRC_RENAULT_NO_R4_PRICELIST</t>
        </is>
      </c>
      <c r="H52" t="inlineStr">
        <is>
          <t>MEDIUM</t>
        </is>
      </c>
      <c r="I52" t="inlineStr">
        <is>
          <t>2026-07-06</t>
        </is>
      </c>
      <c r="J52" t="inlineStr">
        <is>
          <t>1.4</t>
        </is>
      </c>
    </row>
    <row r="53">
      <c r="A53" t="inlineStr">
        <is>
          <t>TECH_000046</t>
        </is>
      </c>
      <c r="C53" t="inlineStr">
        <is>
          <t>RENAULT_4_EVOLUTION_COMFORT</t>
        </is>
      </c>
      <c r="D53" t="inlineStr">
        <is>
          <t>DC max charging</t>
        </is>
      </c>
      <c r="E53" t="n">
        <v>100</v>
      </c>
      <c r="F53" t="inlineStr">
        <is>
          <t>KW</t>
        </is>
      </c>
      <c r="G53" t="inlineStr">
        <is>
          <t>SRC_RENAULT_NO_R4_PRICELIST</t>
        </is>
      </c>
      <c r="H53" t="inlineStr">
        <is>
          <t>MEDIUM</t>
        </is>
      </c>
      <c r="I53" t="inlineStr">
        <is>
          <t>2026-07-06</t>
        </is>
      </c>
      <c r="J53" t="inlineStr">
        <is>
          <t>1.4</t>
        </is>
      </c>
    </row>
    <row r="54">
      <c r="A54" t="inlineStr">
        <is>
          <t>TECH_000047</t>
        </is>
      </c>
      <c r="C54" t="inlineStr">
        <is>
          <t>RENAULT_4_EVOLUTION_COMFORT</t>
        </is>
      </c>
      <c r="D54" t="inlineStr">
        <is>
          <t>AC max charging</t>
        </is>
      </c>
      <c r="E54" t="n">
        <v>11</v>
      </c>
      <c r="F54" t="inlineStr">
        <is>
          <t>KW</t>
        </is>
      </c>
      <c r="G54" t="inlineStr">
        <is>
          <t>SRC_RENAULT_NO_R4_PRICELIST</t>
        </is>
      </c>
      <c r="H54" t="inlineStr">
        <is>
          <t>MEDIUM</t>
        </is>
      </c>
      <c r="I54" t="inlineStr">
        <is>
          <t>2026-07-06</t>
        </is>
      </c>
      <c r="J54" t="inlineStr">
        <is>
          <t>1.4</t>
        </is>
      </c>
    </row>
    <row r="55">
      <c r="A55" t="inlineStr">
        <is>
          <t>TECH_000048</t>
        </is>
      </c>
      <c r="C55" t="inlineStr">
        <is>
          <t>RENAULT_4_EVOLUTION_COMFORT</t>
        </is>
      </c>
      <c r="D55" t="inlineStr">
        <is>
          <t>Battery net</t>
        </is>
      </c>
      <c r="E55" t="n">
        <v>52</v>
      </c>
      <c r="F55" t="inlineStr">
        <is>
          <t>KWH</t>
        </is>
      </c>
      <c r="G55" t="inlineStr">
        <is>
          <t>SRC_RENAULT_NO_R4_PRICELIST</t>
        </is>
      </c>
      <c r="H55" t="inlineStr">
        <is>
          <t>MEDIUM</t>
        </is>
      </c>
      <c r="I55" t="inlineStr">
        <is>
          <t>2026-07-06</t>
        </is>
      </c>
      <c r="J55" t="inlineStr">
        <is>
          <t>1.4</t>
        </is>
      </c>
    </row>
    <row r="56">
      <c r="A56" t="inlineStr">
        <is>
          <t>TECH_000049</t>
        </is>
      </c>
      <c r="C56" t="inlineStr">
        <is>
          <t>RENAULT_4_EVOLUTION_COMFORT</t>
        </is>
      </c>
      <c r="D56" t="inlineStr">
        <is>
          <t>Torque</t>
        </is>
      </c>
      <c r="E56" t="n">
        <v>245</v>
      </c>
      <c r="F56" t="inlineStr">
        <is>
          <t>NM</t>
        </is>
      </c>
      <c r="G56" t="inlineStr">
        <is>
          <t>SRC_RENAULT_NO_R4_PRICELIST</t>
        </is>
      </c>
      <c r="H56" t="inlineStr">
        <is>
          <t>MEDIUM</t>
        </is>
      </c>
      <c r="I56" t="inlineStr">
        <is>
          <t>2026-07-06</t>
        </is>
      </c>
      <c r="J56" t="inlineStr">
        <is>
          <t>1.4</t>
        </is>
      </c>
    </row>
    <row r="57">
      <c r="A57" t="inlineStr">
        <is>
          <t>TECH_000050</t>
        </is>
      </c>
      <c r="C57" t="inlineStr">
        <is>
          <t>RENAULT_4_EVOLUTION_COMFORT</t>
        </is>
      </c>
      <c r="D57" t="inlineStr">
        <is>
          <t>Kerb weight</t>
        </is>
      </c>
      <c r="E57" t="n">
        <v>1544</v>
      </c>
      <c r="F57" t="inlineStr">
        <is>
          <t>KG</t>
        </is>
      </c>
      <c r="G57" t="inlineStr">
        <is>
          <t>SRC_RENAULT_NO_R4_PRICELIST</t>
        </is>
      </c>
      <c r="H57" t="inlineStr">
        <is>
          <t>MEDIUM</t>
        </is>
      </c>
      <c r="I57" t="inlineStr">
        <is>
          <t>2026-07-06</t>
        </is>
      </c>
      <c r="J57" t="inlineStr">
        <is>
          <t>1.4</t>
        </is>
      </c>
    </row>
    <row r="58">
      <c r="A58" t="inlineStr">
        <is>
          <t>TECH_000051</t>
        </is>
      </c>
      <c r="C58" t="inlineStr">
        <is>
          <t>RENAULT_4_TECHNO</t>
        </is>
      </c>
      <c r="D58" t="inlineStr">
        <is>
          <t>WLTP range</t>
        </is>
      </c>
      <c r="E58" t="n">
        <v>398</v>
      </c>
      <c r="F58" t="inlineStr">
        <is>
          <t>KM</t>
        </is>
      </c>
      <c r="G58" t="inlineStr">
        <is>
          <t>SRC_RENAULT_NO_R4_PRICELIST</t>
        </is>
      </c>
      <c r="H58" t="inlineStr">
        <is>
          <t>MEDIUM</t>
        </is>
      </c>
      <c r="I58" t="inlineStr">
        <is>
          <t>2026-07-06</t>
        </is>
      </c>
      <c r="J58" t="inlineStr">
        <is>
          <t>1.4</t>
        </is>
      </c>
    </row>
    <row r="59">
      <c r="A59" t="inlineStr">
        <is>
          <t>TECH_000052</t>
        </is>
      </c>
      <c r="C59" t="inlineStr">
        <is>
          <t>RENAULT_4_TECHNO</t>
        </is>
      </c>
      <c r="D59" t="inlineStr">
        <is>
          <t>WLTP consumption</t>
        </is>
      </c>
      <c r="E59" t="n">
        <v>15.5</v>
      </c>
      <c r="F59" t="inlineStr">
        <is>
          <t>KWH_100KM</t>
        </is>
      </c>
      <c r="G59" t="inlineStr">
        <is>
          <t>SRC_RENAULT_NO_R4_PRICELIST</t>
        </is>
      </c>
      <c r="H59" t="inlineStr">
        <is>
          <t>MEDIUM</t>
        </is>
      </c>
      <c r="I59" t="inlineStr">
        <is>
          <t>2026-07-06</t>
        </is>
      </c>
      <c r="J59" t="inlineStr">
        <is>
          <t>1.4</t>
        </is>
      </c>
    </row>
    <row r="60">
      <c r="A60" t="inlineStr">
        <is>
          <t>TECH_000053</t>
        </is>
      </c>
      <c r="C60" t="inlineStr">
        <is>
          <t>RENAULT_4_TECHNO</t>
        </is>
      </c>
      <c r="D60" t="inlineStr">
        <is>
          <t>DC max charging</t>
        </is>
      </c>
      <c r="E60" t="n">
        <v>100</v>
      </c>
      <c r="F60" t="inlineStr">
        <is>
          <t>KW</t>
        </is>
      </c>
      <c r="G60" t="inlineStr">
        <is>
          <t>SRC_RENAULT_NO_R4_PRICELIST</t>
        </is>
      </c>
      <c r="H60" t="inlineStr">
        <is>
          <t>MEDIUM</t>
        </is>
      </c>
      <c r="I60" t="inlineStr">
        <is>
          <t>2026-07-06</t>
        </is>
      </c>
      <c r="J60" t="inlineStr">
        <is>
          <t>1.4</t>
        </is>
      </c>
    </row>
    <row r="61">
      <c r="A61" t="inlineStr">
        <is>
          <t>TECH_000054</t>
        </is>
      </c>
      <c r="C61" t="inlineStr">
        <is>
          <t>RENAULT_4_TECHNO</t>
        </is>
      </c>
      <c r="D61" t="inlineStr">
        <is>
          <t>AC max charging</t>
        </is>
      </c>
      <c r="E61" t="n">
        <v>11</v>
      </c>
      <c r="F61" t="inlineStr">
        <is>
          <t>KW</t>
        </is>
      </c>
      <c r="G61" t="inlineStr">
        <is>
          <t>SRC_RENAULT_NO_R4_PRICELIST</t>
        </is>
      </c>
      <c r="H61" t="inlineStr">
        <is>
          <t>MEDIUM</t>
        </is>
      </c>
      <c r="I61" t="inlineStr">
        <is>
          <t>2026-07-06</t>
        </is>
      </c>
      <c r="J61" t="inlineStr">
        <is>
          <t>1.4</t>
        </is>
      </c>
    </row>
    <row r="62">
      <c r="A62" t="inlineStr">
        <is>
          <t>TECH_000055</t>
        </is>
      </c>
      <c r="C62" t="inlineStr">
        <is>
          <t>RENAULT_4_TECHNO</t>
        </is>
      </c>
      <c r="D62" t="inlineStr">
        <is>
          <t>Battery net</t>
        </is>
      </c>
      <c r="E62" t="n">
        <v>52</v>
      </c>
      <c r="F62" t="inlineStr">
        <is>
          <t>KWH</t>
        </is>
      </c>
      <c r="G62" t="inlineStr">
        <is>
          <t>SRC_RENAULT_NO_R4_PRICELIST</t>
        </is>
      </c>
      <c r="H62" t="inlineStr">
        <is>
          <t>MEDIUM</t>
        </is>
      </c>
      <c r="I62" t="inlineStr">
        <is>
          <t>2026-07-06</t>
        </is>
      </c>
      <c r="J62" t="inlineStr">
        <is>
          <t>1.4</t>
        </is>
      </c>
    </row>
    <row r="63">
      <c r="A63" t="inlineStr">
        <is>
          <t>TECH_000056</t>
        </is>
      </c>
      <c r="C63" t="inlineStr">
        <is>
          <t>RENAULT_4_TECHNO</t>
        </is>
      </c>
      <c r="D63" t="inlineStr">
        <is>
          <t>Torque</t>
        </is>
      </c>
      <c r="E63" t="n">
        <v>245</v>
      </c>
      <c r="F63" t="inlineStr">
        <is>
          <t>NM</t>
        </is>
      </c>
      <c r="G63" t="inlineStr">
        <is>
          <t>SRC_RENAULT_NO_R4_PRICELIST</t>
        </is>
      </c>
      <c r="H63" t="inlineStr">
        <is>
          <t>MEDIUM</t>
        </is>
      </c>
      <c r="I63" t="inlineStr">
        <is>
          <t>2026-07-06</t>
        </is>
      </c>
      <c r="J63" t="inlineStr">
        <is>
          <t>1.4</t>
        </is>
      </c>
    </row>
    <row r="64">
      <c r="A64" t="inlineStr">
        <is>
          <t>TECH_000057</t>
        </is>
      </c>
      <c r="C64" t="inlineStr">
        <is>
          <t>RENAULT_4_TECHNO</t>
        </is>
      </c>
      <c r="D64" t="inlineStr">
        <is>
          <t>Kerb weight</t>
        </is>
      </c>
      <c r="E64" t="n">
        <v>1568</v>
      </c>
      <c r="F64" t="inlineStr">
        <is>
          <t>KG</t>
        </is>
      </c>
      <c r="G64" t="inlineStr">
        <is>
          <t>SRC_RENAULT_NO_R4_PRICELIST</t>
        </is>
      </c>
      <c r="H64" t="inlineStr">
        <is>
          <t>MEDIUM</t>
        </is>
      </c>
      <c r="I64" t="inlineStr">
        <is>
          <t>2026-07-06</t>
        </is>
      </c>
      <c r="J64" t="inlineStr">
        <is>
          <t>1.4</t>
        </is>
      </c>
    </row>
    <row r="65">
      <c r="A65" t="inlineStr">
        <is>
          <t>TECH_000058</t>
        </is>
      </c>
      <c r="C65" t="inlineStr">
        <is>
          <t>RENAULT_4_TECHNO_PLEIN_SUD</t>
        </is>
      </c>
      <c r="D65" t="inlineStr">
        <is>
          <t>WLTP range</t>
        </is>
      </c>
      <c r="E65" t="n">
        <v>394</v>
      </c>
      <c r="F65" t="inlineStr">
        <is>
          <t>KM</t>
        </is>
      </c>
      <c r="G65" t="inlineStr">
        <is>
          <t>SRC_RENAULT_NO_R4_PRICELIST</t>
        </is>
      </c>
      <c r="H65" t="inlineStr">
        <is>
          <t>MEDIUM</t>
        </is>
      </c>
      <c r="I65" t="inlineStr">
        <is>
          <t>2026-07-06</t>
        </is>
      </c>
      <c r="J65" t="inlineStr">
        <is>
          <t>1.4</t>
        </is>
      </c>
    </row>
    <row r="66">
      <c r="A66" t="inlineStr">
        <is>
          <t>TECH_000059</t>
        </is>
      </c>
      <c r="C66" t="inlineStr">
        <is>
          <t>RENAULT_4_TECHNO_PLEIN_SUD</t>
        </is>
      </c>
      <c r="D66" t="inlineStr">
        <is>
          <t>WLTP consumption</t>
        </is>
      </c>
      <c r="E66" t="n">
        <v>15.7</v>
      </c>
      <c r="F66" t="inlineStr">
        <is>
          <t>KWH_100KM</t>
        </is>
      </c>
      <c r="G66" t="inlineStr">
        <is>
          <t>SRC_RENAULT_NO_R4_PRICELIST</t>
        </is>
      </c>
      <c r="H66" t="inlineStr">
        <is>
          <t>MEDIUM</t>
        </is>
      </c>
      <c r="I66" t="inlineStr">
        <is>
          <t>2026-07-06</t>
        </is>
      </c>
      <c r="J66" t="inlineStr">
        <is>
          <t>1.4</t>
        </is>
      </c>
    </row>
    <row r="67">
      <c r="A67" t="inlineStr">
        <is>
          <t>TECH_000060</t>
        </is>
      </c>
      <c r="C67" t="inlineStr">
        <is>
          <t>RENAULT_4_TECHNO_PLEIN_SUD</t>
        </is>
      </c>
      <c r="D67" t="inlineStr">
        <is>
          <t>DC max charging</t>
        </is>
      </c>
      <c r="E67" t="n">
        <v>100</v>
      </c>
      <c r="F67" t="inlineStr">
        <is>
          <t>KW</t>
        </is>
      </c>
      <c r="G67" t="inlineStr">
        <is>
          <t>SRC_RENAULT_NO_R4_PRICELIST</t>
        </is>
      </c>
      <c r="H67" t="inlineStr">
        <is>
          <t>MEDIUM</t>
        </is>
      </c>
      <c r="I67" t="inlineStr">
        <is>
          <t>2026-07-06</t>
        </is>
      </c>
      <c r="J67" t="inlineStr">
        <is>
          <t>1.4</t>
        </is>
      </c>
    </row>
    <row r="68">
      <c r="A68" t="inlineStr">
        <is>
          <t>TECH_000061</t>
        </is>
      </c>
      <c r="C68" t="inlineStr">
        <is>
          <t>RENAULT_4_TECHNO_PLEIN_SUD</t>
        </is>
      </c>
      <c r="D68" t="inlineStr">
        <is>
          <t>AC max charging</t>
        </is>
      </c>
      <c r="E68" t="n">
        <v>11</v>
      </c>
      <c r="F68" t="inlineStr">
        <is>
          <t>KW</t>
        </is>
      </c>
      <c r="G68" t="inlineStr">
        <is>
          <t>SRC_RENAULT_NO_R4_PRICELIST</t>
        </is>
      </c>
      <c r="H68" t="inlineStr">
        <is>
          <t>MEDIUM</t>
        </is>
      </c>
      <c r="I68" t="inlineStr">
        <is>
          <t>2026-07-06</t>
        </is>
      </c>
      <c r="J68" t="inlineStr">
        <is>
          <t>1.4</t>
        </is>
      </c>
    </row>
    <row r="69">
      <c r="A69" t="inlineStr">
        <is>
          <t>TECH_000062</t>
        </is>
      </c>
      <c r="C69" t="inlineStr">
        <is>
          <t>RENAULT_4_TECHNO_PLEIN_SUD</t>
        </is>
      </c>
      <c r="D69" t="inlineStr">
        <is>
          <t>Battery net</t>
        </is>
      </c>
      <c r="E69" t="n">
        <v>52</v>
      </c>
      <c r="F69" t="inlineStr">
        <is>
          <t>KWH</t>
        </is>
      </c>
      <c r="G69" t="inlineStr">
        <is>
          <t>SRC_RENAULT_NO_R4_PRICELIST</t>
        </is>
      </c>
      <c r="H69" t="inlineStr">
        <is>
          <t>MEDIUM</t>
        </is>
      </c>
      <c r="I69" t="inlineStr">
        <is>
          <t>2026-07-06</t>
        </is>
      </c>
      <c r="J69" t="inlineStr">
        <is>
          <t>1.4</t>
        </is>
      </c>
    </row>
    <row r="70">
      <c r="A70" t="inlineStr">
        <is>
          <t>TECH_000063</t>
        </is>
      </c>
      <c r="C70" t="inlineStr">
        <is>
          <t>RENAULT_4_TECHNO_PLEIN_SUD</t>
        </is>
      </c>
      <c r="D70" t="inlineStr">
        <is>
          <t>Torque</t>
        </is>
      </c>
      <c r="E70" t="n">
        <v>245</v>
      </c>
      <c r="F70" t="inlineStr">
        <is>
          <t>NM</t>
        </is>
      </c>
      <c r="G70" t="inlineStr">
        <is>
          <t>SRC_RENAULT_NO_R4_PRICELIST</t>
        </is>
      </c>
      <c r="H70" t="inlineStr">
        <is>
          <t>MEDIUM</t>
        </is>
      </c>
      <c r="I70" t="inlineStr">
        <is>
          <t>2026-07-06</t>
        </is>
      </c>
      <c r="J70" t="inlineStr">
        <is>
          <t>1.4</t>
        </is>
      </c>
    </row>
    <row r="71">
      <c r="A71" t="inlineStr">
        <is>
          <t>TECH_000064</t>
        </is>
      </c>
      <c r="C71" t="inlineStr">
        <is>
          <t>RENAULT_4_ICONIC</t>
        </is>
      </c>
      <c r="D71" t="inlineStr">
        <is>
          <t>WLTP range</t>
        </is>
      </c>
      <c r="E71" t="n">
        <v>396</v>
      </c>
      <c r="F71" t="inlineStr">
        <is>
          <t>KM</t>
        </is>
      </c>
      <c r="G71" t="inlineStr">
        <is>
          <t>SRC_RENAULT_NO_R4_PRICELIST</t>
        </is>
      </c>
      <c r="H71" t="inlineStr">
        <is>
          <t>MEDIUM</t>
        </is>
      </c>
      <c r="I71" t="inlineStr">
        <is>
          <t>2026-07-06</t>
        </is>
      </c>
      <c r="J71" t="inlineStr">
        <is>
          <t>1.4</t>
        </is>
      </c>
    </row>
    <row r="72">
      <c r="A72" t="inlineStr">
        <is>
          <t>TECH_000065</t>
        </is>
      </c>
      <c r="C72" t="inlineStr">
        <is>
          <t>RENAULT_4_ICONIC</t>
        </is>
      </c>
      <c r="D72" t="inlineStr">
        <is>
          <t>WLTP consumption</t>
        </is>
      </c>
      <c r="E72" t="n">
        <v>15.6</v>
      </c>
      <c r="F72" t="inlineStr">
        <is>
          <t>KWH_100KM</t>
        </is>
      </c>
      <c r="G72" t="inlineStr">
        <is>
          <t>SRC_RENAULT_NO_R4_PRICELIST</t>
        </is>
      </c>
      <c r="H72" t="inlineStr">
        <is>
          <t>MEDIUM</t>
        </is>
      </c>
      <c r="I72" t="inlineStr">
        <is>
          <t>2026-07-06</t>
        </is>
      </c>
      <c r="J72" t="inlineStr">
        <is>
          <t>1.4</t>
        </is>
      </c>
    </row>
    <row r="73">
      <c r="A73" t="inlineStr">
        <is>
          <t>TECH_000066</t>
        </is>
      </c>
      <c r="C73" t="inlineStr">
        <is>
          <t>RENAULT_4_ICONIC</t>
        </is>
      </c>
      <c r="D73" t="inlineStr">
        <is>
          <t>DC max charging</t>
        </is>
      </c>
      <c r="E73" t="n">
        <v>100</v>
      </c>
      <c r="F73" t="inlineStr">
        <is>
          <t>KW</t>
        </is>
      </c>
      <c r="G73" t="inlineStr">
        <is>
          <t>SRC_RENAULT_NO_R4_PRICELIST</t>
        </is>
      </c>
      <c r="H73" t="inlineStr">
        <is>
          <t>MEDIUM</t>
        </is>
      </c>
      <c r="I73" t="inlineStr">
        <is>
          <t>2026-07-06</t>
        </is>
      </c>
      <c r="J73" t="inlineStr">
        <is>
          <t>1.4</t>
        </is>
      </c>
    </row>
    <row r="74">
      <c r="A74" t="inlineStr">
        <is>
          <t>TECH_000067</t>
        </is>
      </c>
      <c r="C74" t="inlineStr">
        <is>
          <t>RENAULT_4_ICONIC</t>
        </is>
      </c>
      <c r="D74" t="inlineStr">
        <is>
          <t>AC max charging</t>
        </is>
      </c>
      <c r="E74" t="n">
        <v>11</v>
      </c>
      <c r="F74" t="inlineStr">
        <is>
          <t>KW</t>
        </is>
      </c>
      <c r="G74" t="inlineStr">
        <is>
          <t>SRC_RENAULT_NO_R4_PRICELIST</t>
        </is>
      </c>
      <c r="H74" t="inlineStr">
        <is>
          <t>MEDIUM</t>
        </is>
      </c>
      <c r="I74" t="inlineStr">
        <is>
          <t>2026-07-06</t>
        </is>
      </c>
      <c r="J74" t="inlineStr">
        <is>
          <t>1.4</t>
        </is>
      </c>
    </row>
    <row r="75">
      <c r="A75" t="inlineStr">
        <is>
          <t>TECH_000068</t>
        </is>
      </c>
      <c r="C75" t="inlineStr">
        <is>
          <t>RENAULT_4_ICONIC</t>
        </is>
      </c>
      <c r="D75" t="inlineStr">
        <is>
          <t>Battery net</t>
        </is>
      </c>
      <c r="E75" t="n">
        <v>52</v>
      </c>
      <c r="F75" t="inlineStr">
        <is>
          <t>KWH</t>
        </is>
      </c>
      <c r="G75" t="inlineStr">
        <is>
          <t>SRC_RENAULT_NO_R4_PRICELIST</t>
        </is>
      </c>
      <c r="H75" t="inlineStr">
        <is>
          <t>MEDIUM</t>
        </is>
      </c>
      <c r="I75" t="inlineStr">
        <is>
          <t>2026-07-06</t>
        </is>
      </c>
      <c r="J75" t="inlineStr">
        <is>
          <t>1.4</t>
        </is>
      </c>
    </row>
    <row r="76">
      <c r="A76" t="inlineStr">
        <is>
          <t>TECH_000069</t>
        </is>
      </c>
      <c r="C76" t="inlineStr">
        <is>
          <t>RENAULT_4_ICONIC</t>
        </is>
      </c>
      <c r="D76" t="inlineStr">
        <is>
          <t>Torque</t>
        </is>
      </c>
      <c r="E76" t="n">
        <v>245</v>
      </c>
      <c r="F76" t="inlineStr">
        <is>
          <t>NM</t>
        </is>
      </c>
      <c r="G76" t="inlineStr">
        <is>
          <t>SRC_RENAULT_NO_R4_PRICELIST</t>
        </is>
      </c>
      <c r="H76" t="inlineStr">
        <is>
          <t>MEDIUM</t>
        </is>
      </c>
      <c r="I76" t="inlineStr">
        <is>
          <t>2026-07-06</t>
        </is>
      </c>
      <c r="J76" t="inlineStr">
        <is>
          <t>1.4</t>
        </is>
      </c>
    </row>
    <row r="77">
      <c r="A77" t="inlineStr">
        <is>
          <t>TECH_000070</t>
        </is>
      </c>
      <c r="C77" t="inlineStr">
        <is>
          <t>RENAULT_4_ICONIC</t>
        </is>
      </c>
      <c r="D77" t="inlineStr">
        <is>
          <t>Kerb weight</t>
        </is>
      </c>
      <c r="E77" t="n">
        <v>1574</v>
      </c>
      <c r="F77" t="inlineStr">
        <is>
          <t>KG</t>
        </is>
      </c>
      <c r="G77" t="inlineStr">
        <is>
          <t>SRC_RENAULT_NO_R4_PRICELIST</t>
        </is>
      </c>
      <c r="H77" t="inlineStr">
        <is>
          <t>MEDIUM</t>
        </is>
      </c>
      <c r="I77" t="inlineStr">
        <is>
          <t>2026-07-06</t>
        </is>
      </c>
      <c r="J77" t="inlineStr">
        <is>
          <t>1.4</t>
        </is>
      </c>
    </row>
    <row r="78">
      <c r="A78" t="inlineStr">
        <is>
          <t>TECH_000071</t>
        </is>
      </c>
      <c r="C78" t="inlineStr">
        <is>
          <t>RENAULT_4_ICONIC_PLEIN_SUD</t>
        </is>
      </c>
      <c r="D78" t="inlineStr">
        <is>
          <t>WLTP range</t>
        </is>
      </c>
      <c r="E78" t="n">
        <v>392</v>
      </c>
      <c r="F78" t="inlineStr">
        <is>
          <t>KM</t>
        </is>
      </c>
      <c r="G78" t="inlineStr">
        <is>
          <t>SRC_RENAULT_NO_R4_PRICELIST</t>
        </is>
      </c>
      <c r="H78" t="inlineStr">
        <is>
          <t>MEDIUM</t>
        </is>
      </c>
      <c r="I78" t="inlineStr">
        <is>
          <t>2026-07-06</t>
        </is>
      </c>
      <c r="J78" t="inlineStr">
        <is>
          <t>1.4</t>
        </is>
      </c>
    </row>
    <row r="79">
      <c r="A79" t="inlineStr">
        <is>
          <t>TECH_000072</t>
        </is>
      </c>
      <c r="C79" t="inlineStr">
        <is>
          <t>RENAULT_4_ICONIC_PLEIN_SUD</t>
        </is>
      </c>
      <c r="D79" t="inlineStr">
        <is>
          <t>WLTP consumption</t>
        </is>
      </c>
      <c r="E79" t="n">
        <v>15.8</v>
      </c>
      <c r="F79" t="inlineStr">
        <is>
          <t>KWH_100KM</t>
        </is>
      </c>
      <c r="G79" t="inlineStr">
        <is>
          <t>SRC_RENAULT_NO_R4_PRICELIST</t>
        </is>
      </c>
      <c r="H79" t="inlineStr">
        <is>
          <t>MEDIUM</t>
        </is>
      </c>
      <c r="I79" t="inlineStr">
        <is>
          <t>2026-07-06</t>
        </is>
      </c>
      <c r="J79" t="inlineStr">
        <is>
          <t>1.4</t>
        </is>
      </c>
    </row>
    <row r="80">
      <c r="A80" t="inlineStr">
        <is>
          <t>TECH_000073</t>
        </is>
      </c>
      <c r="C80" t="inlineStr">
        <is>
          <t>RENAULT_4_ICONIC_PLEIN_SUD</t>
        </is>
      </c>
      <c r="D80" t="inlineStr">
        <is>
          <t>DC max charging</t>
        </is>
      </c>
      <c r="E80" t="n">
        <v>100</v>
      </c>
      <c r="F80" t="inlineStr">
        <is>
          <t>KW</t>
        </is>
      </c>
      <c r="G80" t="inlineStr">
        <is>
          <t>SRC_RENAULT_NO_R4_PRICELIST</t>
        </is>
      </c>
      <c r="H80" t="inlineStr">
        <is>
          <t>MEDIUM</t>
        </is>
      </c>
      <c r="I80" t="inlineStr">
        <is>
          <t>2026-07-06</t>
        </is>
      </c>
      <c r="J80" t="inlineStr">
        <is>
          <t>1.4</t>
        </is>
      </c>
    </row>
    <row r="81">
      <c r="A81" t="inlineStr">
        <is>
          <t>TECH_000074</t>
        </is>
      </c>
      <c r="C81" t="inlineStr">
        <is>
          <t>RENAULT_4_ICONIC_PLEIN_SUD</t>
        </is>
      </c>
      <c r="D81" t="inlineStr">
        <is>
          <t>AC max charging</t>
        </is>
      </c>
      <c r="E81" t="n">
        <v>11</v>
      </c>
      <c r="F81" t="inlineStr">
        <is>
          <t>KW</t>
        </is>
      </c>
      <c r="G81" t="inlineStr">
        <is>
          <t>SRC_RENAULT_NO_R4_PRICELIST</t>
        </is>
      </c>
      <c r="H81" t="inlineStr">
        <is>
          <t>MEDIUM</t>
        </is>
      </c>
      <c r="I81" t="inlineStr">
        <is>
          <t>2026-07-06</t>
        </is>
      </c>
      <c r="J81" t="inlineStr">
        <is>
          <t>1.4</t>
        </is>
      </c>
    </row>
    <row r="82">
      <c r="A82" t="inlineStr">
        <is>
          <t>TECH_000075</t>
        </is>
      </c>
      <c r="C82" t="inlineStr">
        <is>
          <t>RENAULT_4_ICONIC_PLEIN_SUD</t>
        </is>
      </c>
      <c r="D82" t="inlineStr">
        <is>
          <t>Battery net</t>
        </is>
      </c>
      <c r="E82" t="n">
        <v>52</v>
      </c>
      <c r="F82" t="inlineStr">
        <is>
          <t>KWH</t>
        </is>
      </c>
      <c r="G82" t="inlineStr">
        <is>
          <t>SRC_RENAULT_NO_R4_PRICELIST</t>
        </is>
      </c>
      <c r="H82" t="inlineStr">
        <is>
          <t>MEDIUM</t>
        </is>
      </c>
      <c r="I82" t="inlineStr">
        <is>
          <t>2026-07-06</t>
        </is>
      </c>
      <c r="J82" t="inlineStr">
        <is>
          <t>1.4</t>
        </is>
      </c>
    </row>
    <row r="83">
      <c r="A83" t="inlineStr">
        <is>
          <t>TECH_000076</t>
        </is>
      </c>
      <c r="C83" t="inlineStr">
        <is>
          <t>RENAULT_4_ICONIC_PLEIN_SUD</t>
        </is>
      </c>
      <c r="D83" t="inlineStr">
        <is>
          <t>Torque</t>
        </is>
      </c>
      <c r="E83" t="n">
        <v>245</v>
      </c>
      <c r="F83" t="inlineStr">
        <is>
          <t>NM</t>
        </is>
      </c>
      <c r="G83" t="inlineStr">
        <is>
          <t>SRC_RENAULT_NO_R4_PRICELIST</t>
        </is>
      </c>
      <c r="H83" t="inlineStr">
        <is>
          <t>MEDIUM</t>
        </is>
      </c>
      <c r="I83" t="inlineStr">
        <is>
          <t>2026-07-06</t>
        </is>
      </c>
      <c r="J83" t="inlineStr">
        <is>
          <t>1.4</t>
        </is>
      </c>
    </row>
    <row r="84">
      <c r="A84" t="inlineStr">
        <is>
          <t>TECH_000077</t>
        </is>
      </c>
      <c r="B84" t="inlineStr">
        <is>
          <t>SKODA_ELROQ</t>
        </is>
      </c>
      <c r="D84" t="inlineStr">
        <is>
          <t>Length</t>
        </is>
      </c>
      <c r="E84" t="n">
        <v>4488</v>
      </c>
      <c r="F84" t="inlineStr">
        <is>
          <t>MM</t>
        </is>
      </c>
      <c r="G84" t="inlineStr">
        <is>
          <t>SRC_SKODA_GLOBAL_TECHDATA</t>
        </is>
      </c>
      <c r="H84" t="inlineStr">
        <is>
          <t>MEDIUM</t>
        </is>
      </c>
      <c r="I84" t="inlineStr">
        <is>
          <t>2026-07-06</t>
        </is>
      </c>
      <c r="J84" t="inlineStr">
        <is>
          <t>1.4</t>
        </is>
      </c>
    </row>
    <row r="85">
      <c r="A85" t="inlineStr">
        <is>
          <t>TECH_000078</t>
        </is>
      </c>
      <c r="B85" t="inlineStr">
        <is>
          <t>SKODA_ELROQ</t>
        </is>
      </c>
      <c r="D85" t="inlineStr">
        <is>
          <t>Width</t>
        </is>
      </c>
      <c r="E85" t="n">
        <v>1884</v>
      </c>
      <c r="F85" t="inlineStr">
        <is>
          <t>MM</t>
        </is>
      </c>
      <c r="G85" t="inlineStr">
        <is>
          <t>SRC_SKODA_GLOBAL_TECHDATA</t>
        </is>
      </c>
      <c r="H85" t="inlineStr">
        <is>
          <t>MEDIUM</t>
        </is>
      </c>
      <c r="I85" t="inlineStr">
        <is>
          <t>2026-07-06</t>
        </is>
      </c>
      <c r="J85" t="inlineStr">
        <is>
          <t>1.4</t>
        </is>
      </c>
    </row>
    <row r="86">
      <c r="A86" t="inlineStr">
        <is>
          <t>TECH_000079</t>
        </is>
      </c>
      <c r="B86" t="inlineStr">
        <is>
          <t>SKODA_ELROQ</t>
        </is>
      </c>
      <c r="D86" t="inlineStr">
        <is>
          <t>Boot volume</t>
        </is>
      </c>
      <c r="E86" t="n">
        <v>470</v>
      </c>
      <c r="F86" t="inlineStr">
        <is>
          <t>L</t>
        </is>
      </c>
      <c r="G86" t="inlineStr">
        <is>
          <t>SRC_SKODA_GLOBAL_TECHDATA</t>
        </is>
      </c>
      <c r="H86" t="inlineStr">
        <is>
          <t>MEDIUM</t>
        </is>
      </c>
      <c r="I86" t="inlineStr">
        <is>
          <t>2026-07-06</t>
        </is>
      </c>
      <c r="J86" t="inlineStr">
        <is>
          <t>1.4</t>
        </is>
      </c>
    </row>
    <row r="87">
      <c r="A87" t="inlineStr">
        <is>
          <t>TECH_000080</t>
        </is>
      </c>
      <c r="C87" t="inlineStr">
        <is>
          <t>SKODA_ELROQ_ESSENCE_60</t>
        </is>
      </c>
      <c r="D87" t="inlineStr">
        <is>
          <t>WLTP range</t>
        </is>
      </c>
      <c r="E87" t="n">
        <v>453</v>
      </c>
      <c r="F87" t="inlineStr">
        <is>
          <t>KM</t>
        </is>
      </c>
      <c r="G87" t="inlineStr">
        <is>
          <t>SRC_SKODA_NO_ELROQ_PRICELIST</t>
        </is>
      </c>
      <c r="H87" t="inlineStr">
        <is>
          <t>MEDIUM</t>
        </is>
      </c>
      <c r="I87" t="inlineStr">
        <is>
          <t>2026-07-06</t>
        </is>
      </c>
      <c r="J87" t="inlineStr">
        <is>
          <t>1.4</t>
        </is>
      </c>
    </row>
    <row r="88">
      <c r="A88" t="inlineStr">
        <is>
          <t>TECH_000081</t>
        </is>
      </c>
      <c r="C88" t="inlineStr">
        <is>
          <t>SKODA_ELROQ_ESSENCE_60</t>
        </is>
      </c>
      <c r="D88" t="inlineStr">
        <is>
          <t>WLTP consumption</t>
        </is>
      </c>
      <c r="E88" t="n">
        <v>15.1</v>
      </c>
      <c r="F88" t="inlineStr">
        <is>
          <t>KWH_100KM</t>
        </is>
      </c>
      <c r="G88" t="inlineStr">
        <is>
          <t>SRC_SKODA_NO_ELROQ_PRICELIST</t>
        </is>
      </c>
      <c r="H88" t="inlineStr">
        <is>
          <t>MEDIUM</t>
        </is>
      </c>
      <c r="I88" t="inlineStr">
        <is>
          <t>2026-07-06</t>
        </is>
      </c>
      <c r="J88" t="inlineStr">
        <is>
          <t>1.4</t>
        </is>
      </c>
    </row>
    <row r="89">
      <c r="A89" t="inlineStr">
        <is>
          <t>TECH_000082</t>
        </is>
      </c>
      <c r="C89" t="inlineStr">
        <is>
          <t>SKODA_ELROQ_ESSENCE_60</t>
        </is>
      </c>
      <c r="D89" t="inlineStr">
        <is>
          <t>DC max charging</t>
        </is>
      </c>
      <c r="E89" t="n">
        <v>105</v>
      </c>
      <c r="F89" t="inlineStr">
        <is>
          <t>KW</t>
        </is>
      </c>
      <c r="G89" t="inlineStr">
        <is>
          <t>SRC_SKODA_NO_ELROQ_PRICELIST</t>
        </is>
      </c>
      <c r="H89" t="inlineStr">
        <is>
          <t>MEDIUM</t>
        </is>
      </c>
      <c r="I89" t="inlineStr">
        <is>
          <t>2026-07-06</t>
        </is>
      </c>
      <c r="J89" t="inlineStr">
        <is>
          <t>1.4</t>
        </is>
      </c>
    </row>
    <row r="90">
      <c r="A90" t="inlineStr">
        <is>
          <t>TECH_000083</t>
        </is>
      </c>
      <c r="C90" t="inlineStr">
        <is>
          <t>SKODA_ELROQ_ESSENCE_60</t>
        </is>
      </c>
      <c r="D90" t="inlineStr">
        <is>
          <t>Motor power</t>
        </is>
      </c>
      <c r="E90" t="n">
        <v>140</v>
      </c>
      <c r="F90" t="inlineStr">
        <is>
          <t>KW</t>
        </is>
      </c>
      <c r="G90" t="inlineStr">
        <is>
          <t>SRC_SKODA_NO_ELROQ_PRICELIST</t>
        </is>
      </c>
      <c r="H90" t="inlineStr">
        <is>
          <t>MEDIUM</t>
        </is>
      </c>
      <c r="I90" t="inlineStr">
        <is>
          <t>2026-07-06</t>
        </is>
      </c>
      <c r="J90" t="inlineStr">
        <is>
          <t>1.4</t>
        </is>
      </c>
    </row>
    <row r="91">
      <c r="A91" t="inlineStr">
        <is>
          <t>TECH_000084</t>
        </is>
      </c>
      <c r="C91" t="inlineStr">
        <is>
          <t>SKODA_ELROQ_ESSENCE_60</t>
        </is>
      </c>
      <c r="D91" t="inlineStr">
        <is>
          <t>Battery net</t>
        </is>
      </c>
      <c r="E91" t="n">
        <v>58</v>
      </c>
      <c r="F91" t="inlineStr">
        <is>
          <t>KWH</t>
        </is>
      </c>
      <c r="G91" t="inlineStr">
        <is>
          <t>SRC_SKODA_NO_ELROQ_PRICELIST</t>
        </is>
      </c>
      <c r="H91" t="inlineStr">
        <is>
          <t>MEDIUM</t>
        </is>
      </c>
      <c r="I91" t="inlineStr">
        <is>
          <t>2026-07-06</t>
        </is>
      </c>
      <c r="J91" t="inlineStr">
        <is>
          <t>1.4</t>
        </is>
      </c>
    </row>
    <row r="92">
      <c r="A92" t="inlineStr">
        <is>
          <t>TECH_000085</t>
        </is>
      </c>
      <c r="C92" t="inlineStr">
        <is>
          <t>SKODA_ELROQ_ESSENCE_60</t>
        </is>
      </c>
      <c r="D92" t="inlineStr">
        <is>
          <t>Height</t>
        </is>
      </c>
      <c r="E92" t="n">
        <v>1625</v>
      </c>
      <c r="F92" t="inlineStr">
        <is>
          <t>MM</t>
        </is>
      </c>
      <c r="G92" t="inlineStr">
        <is>
          <t>SRC_SKODA_GLOBAL_TECHDATA</t>
        </is>
      </c>
      <c r="H92" t="inlineStr">
        <is>
          <t>MEDIUM</t>
        </is>
      </c>
      <c r="I92" t="inlineStr">
        <is>
          <t>2026-07-06</t>
        </is>
      </c>
      <c r="J92" t="inlineStr">
        <is>
          <t>1.4</t>
        </is>
      </c>
    </row>
    <row r="93">
      <c r="A93" t="inlineStr">
        <is>
          <t>TECH_000086</t>
        </is>
      </c>
      <c r="C93" t="inlineStr">
        <is>
          <t>SKODA_ELROQ_ESSENCE_60</t>
        </is>
      </c>
      <c r="D93" t="inlineStr">
        <is>
          <t>Ground clearance</t>
        </is>
      </c>
      <c r="E93" t="n">
        <v>186</v>
      </c>
      <c r="F93" t="inlineStr">
        <is>
          <t>MM</t>
        </is>
      </c>
      <c r="G93" t="inlineStr">
        <is>
          <t>SRC_SKODA_GLOBAL_TECHDATA</t>
        </is>
      </c>
      <c r="H93" t="inlineStr">
        <is>
          <t>MEDIUM</t>
        </is>
      </c>
      <c r="I93" t="inlineStr">
        <is>
          <t>2026-07-06</t>
        </is>
      </c>
      <c r="J93" t="inlineStr">
        <is>
          <t>1.4</t>
        </is>
      </c>
    </row>
    <row r="94">
      <c r="A94" t="inlineStr">
        <is>
          <t>TECH_000087</t>
        </is>
      </c>
      <c r="C94" t="inlineStr">
        <is>
          <t>SKODA_ELROQ_SELECTION_60</t>
        </is>
      </c>
      <c r="D94" t="inlineStr">
        <is>
          <t>WLTP range</t>
        </is>
      </c>
      <c r="E94" t="n">
        <v>448</v>
      </c>
      <c r="F94" t="inlineStr">
        <is>
          <t>KM</t>
        </is>
      </c>
      <c r="G94" t="inlineStr">
        <is>
          <t>SRC_SKODA_NO_ELROQ_PRICELIST</t>
        </is>
      </c>
      <c r="H94" t="inlineStr">
        <is>
          <t>MEDIUM</t>
        </is>
      </c>
      <c r="I94" t="inlineStr">
        <is>
          <t>2026-07-06</t>
        </is>
      </c>
      <c r="J94" t="inlineStr">
        <is>
          <t>1.4</t>
        </is>
      </c>
    </row>
    <row r="95">
      <c r="A95" t="inlineStr">
        <is>
          <t>TECH_000088</t>
        </is>
      </c>
      <c r="C95" t="inlineStr">
        <is>
          <t>SKODA_ELROQ_SELECTION_60</t>
        </is>
      </c>
      <c r="D95" t="inlineStr">
        <is>
          <t>WLTP consumption</t>
        </is>
      </c>
      <c r="E95" t="n">
        <v>15.3</v>
      </c>
      <c r="F95" t="inlineStr">
        <is>
          <t>KWH_100KM</t>
        </is>
      </c>
      <c r="G95" t="inlineStr">
        <is>
          <t>SRC_SKODA_NO_ELROQ_PRICELIST</t>
        </is>
      </c>
      <c r="H95" t="inlineStr">
        <is>
          <t>MEDIUM</t>
        </is>
      </c>
      <c r="I95" t="inlineStr">
        <is>
          <t>2026-07-06</t>
        </is>
      </c>
      <c r="J95" t="inlineStr">
        <is>
          <t>1.4</t>
        </is>
      </c>
    </row>
    <row r="96">
      <c r="A96" t="inlineStr">
        <is>
          <t>TECH_000089</t>
        </is>
      </c>
      <c r="C96" t="inlineStr">
        <is>
          <t>SKODA_ELROQ_SELECTION_60</t>
        </is>
      </c>
      <c r="D96" t="inlineStr">
        <is>
          <t>DC max charging</t>
        </is>
      </c>
      <c r="E96" t="n">
        <v>105</v>
      </c>
      <c r="F96" t="inlineStr">
        <is>
          <t>KW</t>
        </is>
      </c>
      <c r="G96" t="inlineStr">
        <is>
          <t>SRC_SKODA_NO_ELROQ_PRICELIST</t>
        </is>
      </c>
      <c r="H96" t="inlineStr">
        <is>
          <t>MEDIUM</t>
        </is>
      </c>
      <c r="I96" t="inlineStr">
        <is>
          <t>2026-07-06</t>
        </is>
      </c>
      <c r="J96" t="inlineStr">
        <is>
          <t>1.4</t>
        </is>
      </c>
    </row>
    <row r="97">
      <c r="A97" t="inlineStr">
        <is>
          <t>TECH_000090</t>
        </is>
      </c>
      <c r="C97" t="inlineStr">
        <is>
          <t>SKODA_ELROQ_SELECTION_60</t>
        </is>
      </c>
      <c r="D97" t="inlineStr">
        <is>
          <t>Motor power</t>
        </is>
      </c>
      <c r="E97" t="n">
        <v>140</v>
      </c>
      <c r="F97" t="inlineStr">
        <is>
          <t>KW</t>
        </is>
      </c>
      <c r="G97" t="inlineStr">
        <is>
          <t>SRC_SKODA_NO_ELROQ_PRICELIST</t>
        </is>
      </c>
      <c r="H97" t="inlineStr">
        <is>
          <t>MEDIUM</t>
        </is>
      </c>
      <c r="I97" t="inlineStr">
        <is>
          <t>2026-07-06</t>
        </is>
      </c>
      <c r="J97" t="inlineStr">
        <is>
          <t>1.4</t>
        </is>
      </c>
    </row>
    <row r="98">
      <c r="A98" t="inlineStr">
        <is>
          <t>TECH_000091</t>
        </is>
      </c>
      <c r="C98" t="inlineStr">
        <is>
          <t>SKODA_ELROQ_SELECTION_60</t>
        </is>
      </c>
      <c r="D98" t="inlineStr">
        <is>
          <t>Battery net</t>
        </is>
      </c>
      <c r="E98" t="n">
        <v>58</v>
      </c>
      <c r="F98" t="inlineStr">
        <is>
          <t>KWH</t>
        </is>
      </c>
      <c r="G98" t="inlineStr">
        <is>
          <t>SRC_SKODA_NO_ELROQ_PRICELIST</t>
        </is>
      </c>
      <c r="H98" t="inlineStr">
        <is>
          <t>MEDIUM</t>
        </is>
      </c>
      <c r="I98" t="inlineStr">
        <is>
          <t>2026-07-06</t>
        </is>
      </c>
      <c r="J98" t="inlineStr">
        <is>
          <t>1.4</t>
        </is>
      </c>
    </row>
    <row r="99">
      <c r="A99" t="inlineStr">
        <is>
          <t>TECH_000092</t>
        </is>
      </c>
      <c r="C99" t="inlineStr">
        <is>
          <t>SKODA_ELROQ_SELECTION_60</t>
        </is>
      </c>
      <c r="D99" t="inlineStr">
        <is>
          <t>Height</t>
        </is>
      </c>
      <c r="E99" t="n">
        <v>1625</v>
      </c>
      <c r="F99" t="inlineStr">
        <is>
          <t>MM</t>
        </is>
      </c>
      <c r="G99" t="inlineStr">
        <is>
          <t>SRC_SKODA_GLOBAL_TECHDATA</t>
        </is>
      </c>
      <c r="H99" t="inlineStr">
        <is>
          <t>MEDIUM</t>
        </is>
      </c>
      <c r="I99" t="inlineStr">
        <is>
          <t>2026-07-06</t>
        </is>
      </c>
      <c r="J99" t="inlineStr">
        <is>
          <t>1.4</t>
        </is>
      </c>
    </row>
    <row r="100">
      <c r="A100" t="inlineStr">
        <is>
          <t>TECH_000093</t>
        </is>
      </c>
      <c r="C100" t="inlineStr">
        <is>
          <t>SKODA_ELROQ_SELECTION_60</t>
        </is>
      </c>
      <c r="D100" t="inlineStr">
        <is>
          <t>Ground clearance</t>
        </is>
      </c>
      <c r="E100" t="n">
        <v>186</v>
      </c>
      <c r="F100" t="inlineStr">
        <is>
          <t>MM</t>
        </is>
      </c>
      <c r="G100" t="inlineStr">
        <is>
          <t>SRC_SKODA_GLOBAL_TECHDATA</t>
        </is>
      </c>
      <c r="H100" t="inlineStr">
        <is>
          <t>MEDIUM</t>
        </is>
      </c>
      <c r="I100" t="inlineStr">
        <is>
          <t>2026-07-06</t>
        </is>
      </c>
      <c r="J100" t="inlineStr">
        <is>
          <t>1.4</t>
        </is>
      </c>
    </row>
    <row r="101">
      <c r="A101" t="inlineStr">
        <is>
          <t>TECH_000094</t>
        </is>
      </c>
      <c r="C101" t="inlineStr">
        <is>
          <t>SKODA_ELROQ_SELECTION_85X</t>
        </is>
      </c>
      <c r="D101" t="inlineStr">
        <is>
          <t>WLTP range</t>
        </is>
      </c>
      <c r="E101" t="n">
        <v>571</v>
      </c>
      <c r="F101" t="inlineStr">
        <is>
          <t>KM</t>
        </is>
      </c>
      <c r="G101" t="inlineStr">
        <is>
          <t>SRC_SKODA_NO_ELROQ_PRICELIST</t>
        </is>
      </c>
      <c r="H101" t="inlineStr">
        <is>
          <t>MEDIUM</t>
        </is>
      </c>
      <c r="I101" t="inlineStr">
        <is>
          <t>2026-07-06</t>
        </is>
      </c>
      <c r="J101" t="inlineStr">
        <is>
          <t>1.4</t>
        </is>
      </c>
    </row>
    <row r="102">
      <c r="A102" t="inlineStr">
        <is>
          <t>TECH_000095</t>
        </is>
      </c>
      <c r="C102" t="inlineStr">
        <is>
          <t>SKODA_ELROQ_SELECTION_85X</t>
        </is>
      </c>
      <c r="D102" t="inlineStr">
        <is>
          <t>WLTP consumption</t>
        </is>
      </c>
      <c r="E102" t="n">
        <v>15.6</v>
      </c>
      <c r="F102" t="inlineStr">
        <is>
          <t>KWH_100KM</t>
        </is>
      </c>
      <c r="G102" t="inlineStr">
        <is>
          <t>SRC_SKODA_NO_ELROQ_PRICELIST</t>
        </is>
      </c>
      <c r="H102" t="inlineStr">
        <is>
          <t>MEDIUM</t>
        </is>
      </c>
      <c r="I102" t="inlineStr">
        <is>
          <t>2026-07-06</t>
        </is>
      </c>
      <c r="J102" t="inlineStr">
        <is>
          <t>1.4</t>
        </is>
      </c>
    </row>
    <row r="103">
      <c r="A103" t="inlineStr">
        <is>
          <t>TECH_000096</t>
        </is>
      </c>
      <c r="C103" t="inlineStr">
        <is>
          <t>SKODA_ELROQ_SELECTION_85X</t>
        </is>
      </c>
      <c r="D103" t="inlineStr">
        <is>
          <t>DC max charging</t>
        </is>
      </c>
      <c r="E103" t="n">
        <v>165</v>
      </c>
      <c r="F103" t="inlineStr">
        <is>
          <t>KW</t>
        </is>
      </c>
      <c r="G103" t="inlineStr">
        <is>
          <t>SRC_SKODA_NO_ELROQ_PRICELIST</t>
        </is>
      </c>
      <c r="H103" t="inlineStr">
        <is>
          <t>MEDIUM</t>
        </is>
      </c>
      <c r="I103" t="inlineStr">
        <is>
          <t>2026-07-06</t>
        </is>
      </c>
      <c r="J103" t="inlineStr">
        <is>
          <t>1.4</t>
        </is>
      </c>
    </row>
    <row r="104">
      <c r="A104" t="inlineStr">
        <is>
          <t>TECH_000097</t>
        </is>
      </c>
      <c r="C104" t="inlineStr">
        <is>
          <t>SKODA_ELROQ_SELECTION_85X</t>
        </is>
      </c>
      <c r="D104" t="inlineStr">
        <is>
          <t>Motor power</t>
        </is>
      </c>
      <c r="E104" t="n">
        <v>220</v>
      </c>
      <c r="F104" t="inlineStr">
        <is>
          <t>KW</t>
        </is>
      </c>
      <c r="G104" t="inlineStr">
        <is>
          <t>SRC_SKODA_NO_ELROQ_PRICELIST</t>
        </is>
      </c>
      <c r="H104" t="inlineStr">
        <is>
          <t>MEDIUM</t>
        </is>
      </c>
      <c r="I104" t="inlineStr">
        <is>
          <t>2026-07-06</t>
        </is>
      </c>
      <c r="J104" t="inlineStr">
        <is>
          <t>1.4</t>
        </is>
      </c>
    </row>
    <row r="105">
      <c r="A105" t="inlineStr">
        <is>
          <t>TECH_000098</t>
        </is>
      </c>
      <c r="C105" t="inlineStr">
        <is>
          <t>SKODA_ELROQ_SELECTION_85X</t>
        </is>
      </c>
      <c r="D105" t="inlineStr">
        <is>
          <t>Battery net</t>
        </is>
      </c>
      <c r="E105" t="n">
        <v>77</v>
      </c>
      <c r="F105" t="inlineStr">
        <is>
          <t>KWH</t>
        </is>
      </c>
      <c r="G105" t="inlineStr">
        <is>
          <t>SRC_SKODA_NO_ELROQ_PRICELIST</t>
        </is>
      </c>
      <c r="H105" t="inlineStr">
        <is>
          <t>MEDIUM</t>
        </is>
      </c>
      <c r="I105" t="inlineStr">
        <is>
          <t>2026-07-06</t>
        </is>
      </c>
      <c r="J105" t="inlineStr">
        <is>
          <t>1.4</t>
        </is>
      </c>
    </row>
    <row r="106">
      <c r="A106" t="inlineStr">
        <is>
          <t>TECH_000099</t>
        </is>
      </c>
      <c r="C106" t="inlineStr">
        <is>
          <t>SKODA_ELROQ_SELECTION_85X</t>
        </is>
      </c>
      <c r="D106" t="inlineStr">
        <is>
          <t>Height</t>
        </is>
      </c>
      <c r="E106" t="n">
        <v>1608</v>
      </c>
      <c r="F106" t="inlineStr">
        <is>
          <t>MM</t>
        </is>
      </c>
      <c r="G106" t="inlineStr">
        <is>
          <t>SRC_SKODA_GLOBAL_TECHDATA</t>
        </is>
      </c>
      <c r="H106" t="inlineStr">
        <is>
          <t>MEDIUM</t>
        </is>
      </c>
      <c r="I106" t="inlineStr">
        <is>
          <t>2026-07-06</t>
        </is>
      </c>
      <c r="J106" t="inlineStr">
        <is>
          <t>1.4</t>
        </is>
      </c>
    </row>
    <row r="107">
      <c r="A107" t="inlineStr">
        <is>
          <t>TECH_000100</t>
        </is>
      </c>
      <c r="C107" t="inlineStr">
        <is>
          <t>SKODA_ELROQ_SELECTION_85X</t>
        </is>
      </c>
      <c r="D107" t="inlineStr">
        <is>
          <t>Ground clearance</t>
        </is>
      </c>
      <c r="E107" t="n">
        <v>170</v>
      </c>
      <c r="F107" t="inlineStr">
        <is>
          <t>MM</t>
        </is>
      </c>
      <c r="G107" t="inlineStr">
        <is>
          <t>SRC_SKODA_GLOBAL_TECHDATA</t>
        </is>
      </c>
      <c r="H107" t="inlineStr">
        <is>
          <t>MEDIUM</t>
        </is>
      </c>
      <c r="I107" t="inlineStr">
        <is>
          <t>2026-07-06</t>
        </is>
      </c>
      <c r="J107" t="inlineStr">
        <is>
          <t>1.4</t>
        </is>
      </c>
    </row>
    <row r="108">
      <c r="A108" t="inlineStr">
        <is>
          <t>TECH_000101</t>
        </is>
      </c>
      <c r="C108" t="inlineStr">
        <is>
          <t>SKODA_ELROQ_RS</t>
        </is>
      </c>
      <c r="D108" t="inlineStr">
        <is>
          <t>WLTP range</t>
        </is>
      </c>
      <c r="E108" t="n">
        <v>559</v>
      </c>
      <c r="F108" t="inlineStr">
        <is>
          <t>KM</t>
        </is>
      </c>
      <c r="G108" t="inlineStr">
        <is>
          <t>SRC_SKODA_NO_ELROQ_PRICELIST</t>
        </is>
      </c>
      <c r="H108" t="inlineStr">
        <is>
          <t>MEDIUM</t>
        </is>
      </c>
      <c r="I108" t="inlineStr">
        <is>
          <t>2026-07-06</t>
        </is>
      </c>
      <c r="J108" t="inlineStr">
        <is>
          <t>1.4</t>
        </is>
      </c>
    </row>
    <row r="109">
      <c r="A109" t="inlineStr">
        <is>
          <t>TECH_000102</t>
        </is>
      </c>
      <c r="C109" t="inlineStr">
        <is>
          <t>SKODA_ELROQ_RS</t>
        </is>
      </c>
      <c r="D109" t="inlineStr">
        <is>
          <t>WLTP consumption</t>
        </is>
      </c>
      <c r="E109" t="n">
        <v>16.1</v>
      </c>
      <c r="F109" t="inlineStr">
        <is>
          <t>KWH_100KM</t>
        </is>
      </c>
      <c r="G109" t="inlineStr">
        <is>
          <t>SRC_SKODA_NO_ELROQ_PRICELIST</t>
        </is>
      </c>
      <c r="H109" t="inlineStr">
        <is>
          <t>MEDIUM</t>
        </is>
      </c>
      <c r="I109" t="inlineStr">
        <is>
          <t>2026-07-06</t>
        </is>
      </c>
      <c r="J109" t="inlineStr">
        <is>
          <t>1.4</t>
        </is>
      </c>
    </row>
    <row r="110">
      <c r="A110" t="inlineStr">
        <is>
          <t>TECH_000103</t>
        </is>
      </c>
      <c r="C110" t="inlineStr">
        <is>
          <t>SKODA_ELROQ_RS</t>
        </is>
      </c>
      <c r="D110" t="inlineStr">
        <is>
          <t>DC max charging</t>
        </is>
      </c>
      <c r="E110" t="n">
        <v>165</v>
      </c>
      <c r="F110" t="inlineStr">
        <is>
          <t>KW</t>
        </is>
      </c>
      <c r="G110" t="inlineStr">
        <is>
          <t>SRC_SKODA_NO_ELROQ_PRICELIST</t>
        </is>
      </c>
      <c r="H110" t="inlineStr">
        <is>
          <t>MEDIUM</t>
        </is>
      </c>
      <c r="I110" t="inlineStr">
        <is>
          <t>2026-07-06</t>
        </is>
      </c>
      <c r="J110" t="inlineStr">
        <is>
          <t>1.4</t>
        </is>
      </c>
    </row>
    <row r="111">
      <c r="A111" t="inlineStr">
        <is>
          <t>TECH_000104</t>
        </is>
      </c>
      <c r="C111" t="inlineStr">
        <is>
          <t>SKODA_ELROQ_RS</t>
        </is>
      </c>
      <c r="D111" t="inlineStr">
        <is>
          <t>Motor power</t>
        </is>
      </c>
      <c r="E111" t="n">
        <v>250</v>
      </c>
      <c r="F111" t="inlineStr">
        <is>
          <t>KW</t>
        </is>
      </c>
      <c r="G111" t="inlineStr">
        <is>
          <t>SRC_SKODA_NO_ELROQ_PRICELIST</t>
        </is>
      </c>
      <c r="H111" t="inlineStr">
        <is>
          <t>MEDIUM</t>
        </is>
      </c>
      <c r="I111" t="inlineStr">
        <is>
          <t>2026-07-06</t>
        </is>
      </c>
      <c r="J111" t="inlineStr">
        <is>
          <t>1.4</t>
        </is>
      </c>
    </row>
    <row r="112">
      <c r="A112" t="inlineStr">
        <is>
          <t>TECH_000105</t>
        </is>
      </c>
      <c r="C112" t="inlineStr">
        <is>
          <t>SKODA_ELROQ_RS</t>
        </is>
      </c>
      <c r="D112" t="inlineStr">
        <is>
          <t>Battery net</t>
        </is>
      </c>
      <c r="E112" t="n">
        <v>77</v>
      </c>
      <c r="F112" t="inlineStr">
        <is>
          <t>KWH</t>
        </is>
      </c>
      <c r="G112" t="inlineStr">
        <is>
          <t>SRC_SKODA_NO_ELROQ_PRICELIST</t>
        </is>
      </c>
      <c r="H112" t="inlineStr">
        <is>
          <t>MEDIUM</t>
        </is>
      </c>
      <c r="I112" t="inlineStr">
        <is>
          <t>2026-07-06</t>
        </is>
      </c>
      <c r="J112" t="inlineStr">
        <is>
          <t>1.4</t>
        </is>
      </c>
    </row>
    <row r="113">
      <c r="A113" t="inlineStr">
        <is>
          <t>TECH_000106</t>
        </is>
      </c>
      <c r="C113" t="inlineStr">
        <is>
          <t>SKODA_ELROQ_RS</t>
        </is>
      </c>
      <c r="D113" t="inlineStr">
        <is>
          <t>Height</t>
        </is>
      </c>
      <c r="E113" t="n">
        <v>1608</v>
      </c>
      <c r="F113" t="inlineStr">
        <is>
          <t>MM</t>
        </is>
      </c>
      <c r="G113" t="inlineStr">
        <is>
          <t>SRC_SKODA_GLOBAL_TECHDATA</t>
        </is>
      </c>
      <c r="H113" t="inlineStr">
        <is>
          <t>MEDIUM</t>
        </is>
      </c>
      <c r="I113" t="inlineStr">
        <is>
          <t>2026-07-06</t>
        </is>
      </c>
      <c r="J113" t="inlineStr">
        <is>
          <t>1.4</t>
        </is>
      </c>
    </row>
    <row r="114">
      <c r="A114" t="inlineStr">
        <is>
          <t>TECH_000107</t>
        </is>
      </c>
      <c r="C114" t="inlineStr">
        <is>
          <t>SKODA_ELROQ_RS</t>
        </is>
      </c>
      <c r="D114" t="inlineStr">
        <is>
          <t>Ground clearance</t>
        </is>
      </c>
      <c r="E114" t="n">
        <v>170</v>
      </c>
      <c r="F114" t="inlineStr">
        <is>
          <t>MM</t>
        </is>
      </c>
      <c r="G114" t="inlineStr">
        <is>
          <t>SRC_SKODA_GLOBAL_TECHDATA</t>
        </is>
      </c>
      <c r="H114" t="inlineStr">
        <is>
          <t>MEDIUM</t>
        </is>
      </c>
      <c r="I114" t="inlineStr">
        <is>
          <t>2026-07-06</t>
        </is>
      </c>
      <c r="J114" t="inlineStr">
        <is>
          <t>1.4</t>
        </is>
      </c>
    </row>
    <row r="115">
      <c r="A115" t="inlineStr">
        <is>
          <t>TECH_000108</t>
        </is>
      </c>
      <c r="B115" t="inlineStr">
        <is>
          <t>VOLVO_EX30</t>
        </is>
      </c>
      <c r="D115" t="inlineStr">
        <is>
          <t>Length</t>
        </is>
      </c>
      <c r="E115" t="n">
        <v>4233</v>
      </c>
      <c r="F115" t="inlineStr">
        <is>
          <t>MM</t>
        </is>
      </c>
      <c r="G115" t="inlineStr">
        <is>
          <t>SRC_VOLVO_NO_EX30_SPECS</t>
        </is>
      </c>
      <c r="H115" t="inlineStr">
        <is>
          <t>MEDIUM</t>
        </is>
      </c>
      <c r="I115" t="inlineStr">
        <is>
          <t>2026-07-06</t>
        </is>
      </c>
      <c r="J115" t="inlineStr">
        <is>
          <t>1.4</t>
        </is>
      </c>
    </row>
    <row r="116">
      <c r="A116" t="inlineStr">
        <is>
          <t>TECH_000109</t>
        </is>
      </c>
      <c r="B116" t="inlineStr">
        <is>
          <t>VOLVO_EX30</t>
        </is>
      </c>
      <c r="D116" t="inlineStr">
        <is>
          <t>Width</t>
        </is>
      </c>
      <c r="E116" t="n">
        <v>1838</v>
      </c>
      <c r="F116" t="inlineStr">
        <is>
          <t>MM</t>
        </is>
      </c>
      <c r="G116" t="inlineStr">
        <is>
          <t>SRC_VOLVO_NO_EX30_SPECS</t>
        </is>
      </c>
      <c r="H116" t="inlineStr">
        <is>
          <t>MEDIUM</t>
        </is>
      </c>
      <c r="I116" t="inlineStr">
        <is>
          <t>2026-07-06</t>
        </is>
      </c>
      <c r="J116" t="inlineStr">
        <is>
          <t>1.4</t>
        </is>
      </c>
    </row>
    <row r="117">
      <c r="A117" t="inlineStr">
        <is>
          <t>TECH_000110</t>
        </is>
      </c>
      <c r="B117" t="inlineStr">
        <is>
          <t>VOLVO_EX30</t>
        </is>
      </c>
      <c r="D117" t="inlineStr">
        <is>
          <t>Height</t>
        </is>
      </c>
      <c r="E117" t="n">
        <v>1550</v>
      </c>
      <c r="F117" t="inlineStr">
        <is>
          <t>MM</t>
        </is>
      </c>
      <c r="G117" t="inlineStr">
        <is>
          <t>SRC_VOLVO_NO_EX30_SPECS</t>
        </is>
      </c>
      <c r="H117" t="inlineStr">
        <is>
          <t>MEDIUM</t>
        </is>
      </c>
      <c r="I117" t="inlineStr">
        <is>
          <t>2026-07-06</t>
        </is>
      </c>
      <c r="J117" t="inlineStr">
        <is>
          <t>1.4</t>
        </is>
      </c>
    </row>
    <row r="118">
      <c r="A118" t="inlineStr">
        <is>
          <t>TECH_000111</t>
        </is>
      </c>
      <c r="C118" t="inlineStr">
        <is>
          <t>VOLVO_EX30_P5</t>
        </is>
      </c>
      <c r="D118" t="inlineStr">
        <is>
          <t>WLTP range</t>
        </is>
      </c>
      <c r="E118" t="n">
        <v>337</v>
      </c>
      <c r="F118" t="inlineStr">
        <is>
          <t>KM</t>
        </is>
      </c>
      <c r="G118" t="inlineStr">
        <is>
          <t>SRC_VOLVO_NO_EX30_SPECS</t>
        </is>
      </c>
      <c r="H118" t="inlineStr">
        <is>
          <t>MEDIUM</t>
        </is>
      </c>
      <c r="I118" t="inlineStr">
        <is>
          <t>2026-07-06</t>
        </is>
      </c>
      <c r="J118" t="inlineStr">
        <is>
          <t>1.4</t>
        </is>
      </c>
    </row>
    <row r="119">
      <c r="A119" t="inlineStr">
        <is>
          <t>TECH_000112</t>
        </is>
      </c>
      <c r="C119" t="inlineStr">
        <is>
          <t>VOLVO_EX30_P5</t>
        </is>
      </c>
      <c r="D119" t="inlineStr">
        <is>
          <t>WLTP consumption</t>
        </is>
      </c>
      <c r="E119" t="n">
        <v>17.1</v>
      </c>
      <c r="F119" t="inlineStr">
        <is>
          <t>KWH_100KM</t>
        </is>
      </c>
      <c r="G119" t="inlineStr">
        <is>
          <t>SRC_VOLVO_NO_EX30_SPECS</t>
        </is>
      </c>
      <c r="H119" t="inlineStr">
        <is>
          <t>MEDIUM</t>
        </is>
      </c>
      <c r="I119" t="inlineStr">
        <is>
          <t>2026-07-06</t>
        </is>
      </c>
      <c r="J119" t="inlineStr">
        <is>
          <t>1.4</t>
        </is>
      </c>
    </row>
    <row r="120">
      <c r="A120" t="inlineStr">
        <is>
          <t>TECH_000113</t>
        </is>
      </c>
      <c r="C120" t="inlineStr">
        <is>
          <t>VOLVO_EX30_P5</t>
        </is>
      </c>
      <c r="D120" t="inlineStr">
        <is>
          <t>DC max charging</t>
        </is>
      </c>
      <c r="E120" t="n">
        <v>150</v>
      </c>
      <c r="F120" t="inlineStr">
        <is>
          <t>KW</t>
        </is>
      </c>
      <c r="G120" t="inlineStr">
        <is>
          <t>SRC_VOLVO_NO_EX30_SPECS</t>
        </is>
      </c>
      <c r="H120" t="inlineStr">
        <is>
          <t>MEDIUM</t>
        </is>
      </c>
      <c r="I120" t="inlineStr">
        <is>
          <t>2026-07-06</t>
        </is>
      </c>
      <c r="J120" t="inlineStr">
        <is>
          <t>1.4</t>
        </is>
      </c>
    </row>
    <row r="121">
      <c r="A121" t="inlineStr">
        <is>
          <t>TECH_000114</t>
        </is>
      </c>
      <c r="C121" t="inlineStr">
        <is>
          <t>VOLVO_EX30_P5</t>
        </is>
      </c>
      <c r="D121" t="inlineStr">
        <is>
          <t>Motor power</t>
        </is>
      </c>
      <c r="E121" t="n">
        <v>200</v>
      </c>
      <c r="F121" t="inlineStr">
        <is>
          <t>KW</t>
        </is>
      </c>
      <c r="G121" t="inlineStr">
        <is>
          <t>SRC_VOLVO_NO_EX30_SPECS</t>
        </is>
      </c>
      <c r="H121" t="inlineStr">
        <is>
          <t>MEDIUM</t>
        </is>
      </c>
      <c r="I121" t="inlineStr">
        <is>
          <t>2026-07-06</t>
        </is>
      </c>
      <c r="J121" t="inlineStr">
        <is>
          <t>1.4</t>
        </is>
      </c>
    </row>
    <row r="122">
      <c r="A122" t="inlineStr">
        <is>
          <t>TECH_000115</t>
        </is>
      </c>
      <c r="C122" t="inlineStr">
        <is>
          <t>VOLVO_EX30_P5</t>
        </is>
      </c>
      <c r="D122" t="inlineStr">
        <is>
          <t>Torque</t>
        </is>
      </c>
      <c r="E122" t="n">
        <v>343</v>
      </c>
      <c r="F122" t="inlineStr">
        <is>
          <t>NM</t>
        </is>
      </c>
      <c r="G122" t="inlineStr">
        <is>
          <t>SRC_VOLVO_NO_EX30_SPECS</t>
        </is>
      </c>
      <c r="H122" t="inlineStr">
        <is>
          <t>MEDIUM</t>
        </is>
      </c>
      <c r="I122" t="inlineStr">
        <is>
          <t>2026-07-06</t>
        </is>
      </c>
      <c r="J122" t="inlineStr">
        <is>
          <t>1.4</t>
        </is>
      </c>
    </row>
    <row r="123">
      <c r="A123" t="inlineStr">
        <is>
          <t>TECH_000116</t>
        </is>
      </c>
      <c r="C123" t="inlineStr">
        <is>
          <t>VOLVO_EX30_P5</t>
        </is>
      </c>
      <c r="D123" t="inlineStr">
        <is>
          <t>Battery net</t>
        </is>
      </c>
      <c r="E123" t="n">
        <v>51</v>
      </c>
      <c r="F123" t="inlineStr">
        <is>
          <t>KWH</t>
        </is>
      </c>
      <c r="G123" t="inlineStr">
        <is>
          <t>SRC_VOLVO_NO_EX30_SPECS</t>
        </is>
      </c>
      <c r="H123" t="inlineStr">
        <is>
          <t>MEDIUM</t>
        </is>
      </c>
      <c r="I123" t="inlineStr">
        <is>
          <t>2026-07-06</t>
        </is>
      </c>
      <c r="J123" t="inlineStr">
        <is>
          <t>1.4</t>
        </is>
      </c>
    </row>
    <row r="124">
      <c r="A124" t="inlineStr">
        <is>
          <t>TECH_000117</t>
        </is>
      </c>
      <c r="C124" t="inlineStr">
        <is>
          <t>VOLVO_EX30_P5</t>
        </is>
      </c>
      <c r="D124" t="inlineStr">
        <is>
          <t>Kerb weight</t>
        </is>
      </c>
      <c r="E124" t="n">
        <v>1840</v>
      </c>
      <c r="F124" t="inlineStr">
        <is>
          <t>KG</t>
        </is>
      </c>
      <c r="G124" t="inlineStr">
        <is>
          <t>SRC_VOLVO_NO_EX30_SPECS</t>
        </is>
      </c>
      <c r="H124" t="inlineStr">
        <is>
          <t>MEDIUM</t>
        </is>
      </c>
      <c r="I124" t="inlineStr">
        <is>
          <t>2026-07-06</t>
        </is>
      </c>
      <c r="J124" t="inlineStr">
        <is>
          <t>1.4</t>
        </is>
      </c>
    </row>
    <row r="125">
      <c r="A125" t="inlineStr">
        <is>
          <t>TECH_000118</t>
        </is>
      </c>
      <c r="C125" t="inlineStr">
        <is>
          <t>VOLVO_EX30_P5</t>
        </is>
      </c>
      <c r="D125" t="inlineStr">
        <is>
          <t>Top speed</t>
        </is>
      </c>
      <c r="E125" t="n">
        <v>180</v>
      </c>
      <c r="F125" t="inlineStr">
        <is>
          <t>KMH</t>
        </is>
      </c>
      <c r="G125" t="inlineStr">
        <is>
          <t>SRC_VOLVO_NO_EX30_SPECS</t>
        </is>
      </c>
      <c r="H125" t="inlineStr">
        <is>
          <t>MEDIUM</t>
        </is>
      </c>
      <c r="I125" t="inlineStr">
        <is>
          <t>2026-07-06</t>
        </is>
      </c>
      <c r="J125" t="inlineStr">
        <is>
          <t>1.4</t>
        </is>
      </c>
    </row>
    <row r="126">
      <c r="A126" t="inlineStr">
        <is>
          <t>TECH_000119</t>
        </is>
      </c>
      <c r="C126" t="inlineStr">
        <is>
          <t>VOLVO_EX30_P5_LONG_RANGE</t>
        </is>
      </c>
      <c r="D126" t="inlineStr">
        <is>
          <t>WLTP range</t>
        </is>
      </c>
      <c r="E126" t="n">
        <v>475</v>
      </c>
      <c r="F126" t="inlineStr">
        <is>
          <t>KM</t>
        </is>
      </c>
      <c r="G126" t="inlineStr">
        <is>
          <t>SRC_VOLVO_NO_EX30_SPECS</t>
        </is>
      </c>
      <c r="H126" t="inlineStr">
        <is>
          <t>MEDIUM</t>
        </is>
      </c>
      <c r="I126" t="inlineStr">
        <is>
          <t>2026-07-06</t>
        </is>
      </c>
      <c r="J126" t="inlineStr">
        <is>
          <t>1.4</t>
        </is>
      </c>
    </row>
    <row r="127">
      <c r="A127" t="inlineStr">
        <is>
          <t>TECH_000120</t>
        </is>
      </c>
      <c r="C127" t="inlineStr">
        <is>
          <t>VOLVO_EX30_P5_LONG_RANGE</t>
        </is>
      </c>
      <c r="D127" t="inlineStr">
        <is>
          <t>WLTP consumption</t>
        </is>
      </c>
      <c r="E127" t="n">
        <v>17</v>
      </c>
      <c r="F127" t="inlineStr">
        <is>
          <t>KWH_100KM</t>
        </is>
      </c>
      <c r="G127" t="inlineStr">
        <is>
          <t>SRC_VOLVO_NO_EX30_SPECS</t>
        </is>
      </c>
      <c r="H127" t="inlineStr">
        <is>
          <t>MEDIUM</t>
        </is>
      </c>
      <c r="I127" t="inlineStr">
        <is>
          <t>2026-07-06</t>
        </is>
      </c>
      <c r="J127" t="inlineStr">
        <is>
          <t>1.4</t>
        </is>
      </c>
    </row>
    <row r="128">
      <c r="A128" t="inlineStr">
        <is>
          <t>TECH_000121</t>
        </is>
      </c>
      <c r="C128" t="inlineStr">
        <is>
          <t>VOLVO_EX30_P5_LONG_RANGE</t>
        </is>
      </c>
      <c r="D128" t="inlineStr">
        <is>
          <t>DC max charging</t>
        </is>
      </c>
      <c r="E128" t="n">
        <v>175</v>
      </c>
      <c r="F128" t="inlineStr">
        <is>
          <t>KW</t>
        </is>
      </c>
      <c r="G128" t="inlineStr">
        <is>
          <t>SRC_VOLVO_NO_EX30_SPECS</t>
        </is>
      </c>
      <c r="H128" t="inlineStr">
        <is>
          <t>MEDIUM</t>
        </is>
      </c>
      <c r="I128" t="inlineStr">
        <is>
          <t>2026-07-06</t>
        </is>
      </c>
      <c r="J128" t="inlineStr">
        <is>
          <t>1.4</t>
        </is>
      </c>
    </row>
    <row r="129">
      <c r="A129" t="inlineStr">
        <is>
          <t>TECH_000122</t>
        </is>
      </c>
      <c r="C129" t="inlineStr">
        <is>
          <t>VOLVO_EX30_P5_LONG_RANGE</t>
        </is>
      </c>
      <c r="D129" t="inlineStr">
        <is>
          <t>Motor power</t>
        </is>
      </c>
      <c r="E129" t="n">
        <v>200</v>
      </c>
      <c r="F129" t="inlineStr">
        <is>
          <t>KW</t>
        </is>
      </c>
      <c r="G129" t="inlineStr">
        <is>
          <t>SRC_VOLVO_NO_EX30_SPECS</t>
        </is>
      </c>
      <c r="H129" t="inlineStr">
        <is>
          <t>MEDIUM</t>
        </is>
      </c>
      <c r="I129" t="inlineStr">
        <is>
          <t>2026-07-06</t>
        </is>
      </c>
      <c r="J129" t="inlineStr">
        <is>
          <t>1.4</t>
        </is>
      </c>
    </row>
    <row r="130">
      <c r="A130" t="inlineStr">
        <is>
          <t>TECH_000123</t>
        </is>
      </c>
      <c r="C130" t="inlineStr">
        <is>
          <t>VOLVO_EX30_P5_LONG_RANGE</t>
        </is>
      </c>
      <c r="D130" t="inlineStr">
        <is>
          <t>Torque</t>
        </is>
      </c>
      <c r="E130" t="n">
        <v>343</v>
      </c>
      <c r="F130" t="inlineStr">
        <is>
          <t>NM</t>
        </is>
      </c>
      <c r="G130" t="inlineStr">
        <is>
          <t>SRC_VOLVO_NO_EX30_SPECS</t>
        </is>
      </c>
      <c r="H130" t="inlineStr">
        <is>
          <t>MEDIUM</t>
        </is>
      </c>
      <c r="I130" t="inlineStr">
        <is>
          <t>2026-07-06</t>
        </is>
      </c>
      <c r="J130" t="inlineStr">
        <is>
          <t>1.4</t>
        </is>
      </c>
    </row>
    <row r="131">
      <c r="A131" t="inlineStr">
        <is>
          <t>TECH_000124</t>
        </is>
      </c>
      <c r="C131" t="inlineStr">
        <is>
          <t>VOLVO_EX30_P5_LONG_RANGE</t>
        </is>
      </c>
      <c r="D131" t="inlineStr">
        <is>
          <t>Battery net</t>
        </is>
      </c>
      <c r="E131" t="n">
        <v>69</v>
      </c>
      <c r="F131" t="inlineStr">
        <is>
          <t>KWH</t>
        </is>
      </c>
      <c r="G131" t="inlineStr">
        <is>
          <t>SRC_VOLVO_NO_EX30_SPECS</t>
        </is>
      </c>
      <c r="H131" t="inlineStr">
        <is>
          <t>MEDIUM</t>
        </is>
      </c>
      <c r="I131" t="inlineStr">
        <is>
          <t>2026-07-06</t>
        </is>
      </c>
      <c r="J131" t="inlineStr">
        <is>
          <t>1.4</t>
        </is>
      </c>
    </row>
    <row r="132">
      <c r="A132" t="inlineStr">
        <is>
          <t>TECH_000125</t>
        </is>
      </c>
      <c r="C132" t="inlineStr">
        <is>
          <t>VOLVO_EX30_P5_LONG_RANGE</t>
        </is>
      </c>
      <c r="D132" t="inlineStr">
        <is>
          <t>Kerb weight</t>
        </is>
      </c>
      <c r="E132" t="n">
        <v>1850</v>
      </c>
      <c r="F132" t="inlineStr">
        <is>
          <t>KG</t>
        </is>
      </c>
      <c r="G132" t="inlineStr">
        <is>
          <t>SRC_VOLVO_NO_EX30_SPECS</t>
        </is>
      </c>
      <c r="H132" t="inlineStr">
        <is>
          <t>MEDIUM</t>
        </is>
      </c>
      <c r="I132" t="inlineStr">
        <is>
          <t>2026-07-06</t>
        </is>
      </c>
      <c r="J132" t="inlineStr">
        <is>
          <t>1.4</t>
        </is>
      </c>
    </row>
    <row r="133">
      <c r="A133" t="inlineStr">
        <is>
          <t>TECH_000126</t>
        </is>
      </c>
      <c r="C133" t="inlineStr">
        <is>
          <t>VOLVO_EX30_P5_LONG_RANGE</t>
        </is>
      </c>
      <c r="D133" t="inlineStr">
        <is>
          <t>Top speed</t>
        </is>
      </c>
      <c r="E133" t="n">
        <v>180</v>
      </c>
      <c r="F133" t="inlineStr">
        <is>
          <t>KMH</t>
        </is>
      </c>
      <c r="G133" t="inlineStr">
        <is>
          <t>SRC_VOLVO_NO_EX30_SPECS</t>
        </is>
      </c>
      <c r="H133" t="inlineStr">
        <is>
          <t>MEDIUM</t>
        </is>
      </c>
      <c r="I133" t="inlineStr">
        <is>
          <t>2026-07-06</t>
        </is>
      </c>
      <c r="J133" t="inlineStr">
        <is>
          <t>1.4</t>
        </is>
      </c>
    </row>
    <row r="134">
      <c r="A134" t="inlineStr">
        <is>
          <t>TECH_000127</t>
        </is>
      </c>
      <c r="C134" t="inlineStr">
        <is>
          <t>VOLVO_EX30_P8_AWD</t>
        </is>
      </c>
      <c r="D134" t="inlineStr">
        <is>
          <t>WLTP range</t>
        </is>
      </c>
      <c r="E134" t="n">
        <v>450</v>
      </c>
      <c r="F134" t="inlineStr">
        <is>
          <t>KM</t>
        </is>
      </c>
      <c r="G134" t="inlineStr">
        <is>
          <t>SRC_VOLVO_NO_EX30_SPECS</t>
        </is>
      </c>
      <c r="H134" t="inlineStr">
        <is>
          <t>MEDIUM</t>
        </is>
      </c>
      <c r="I134" t="inlineStr">
        <is>
          <t>2026-07-06</t>
        </is>
      </c>
      <c r="J134" t="inlineStr">
        <is>
          <t>1.4</t>
        </is>
      </c>
    </row>
    <row r="135">
      <c r="A135" t="inlineStr">
        <is>
          <t>TECH_000128</t>
        </is>
      </c>
      <c r="C135" t="inlineStr">
        <is>
          <t>VOLVO_EX30_P8_AWD</t>
        </is>
      </c>
      <c r="D135" t="inlineStr">
        <is>
          <t>WLTP consumption</t>
        </is>
      </c>
      <c r="E135" t="n">
        <v>17.5</v>
      </c>
      <c r="F135" t="inlineStr">
        <is>
          <t>KWH_100KM</t>
        </is>
      </c>
      <c r="G135" t="inlineStr">
        <is>
          <t>SRC_VOLVO_NO_EX30_SPECS</t>
        </is>
      </c>
      <c r="H135" t="inlineStr">
        <is>
          <t>MEDIUM</t>
        </is>
      </c>
      <c r="I135" t="inlineStr">
        <is>
          <t>2026-07-06</t>
        </is>
      </c>
      <c r="J135" t="inlineStr">
        <is>
          <t>1.4</t>
        </is>
      </c>
    </row>
    <row r="136">
      <c r="A136" t="inlineStr">
        <is>
          <t>TECH_000129</t>
        </is>
      </c>
      <c r="C136" t="inlineStr">
        <is>
          <t>VOLVO_EX30_P8_AWD</t>
        </is>
      </c>
      <c r="D136" t="inlineStr">
        <is>
          <t>DC max charging</t>
        </is>
      </c>
      <c r="E136" t="n">
        <v>175</v>
      </c>
      <c r="F136" t="inlineStr">
        <is>
          <t>KW</t>
        </is>
      </c>
      <c r="G136" t="inlineStr">
        <is>
          <t>SRC_VOLVO_NO_EX30_SPECS</t>
        </is>
      </c>
      <c r="H136" t="inlineStr">
        <is>
          <t>MEDIUM</t>
        </is>
      </c>
      <c r="I136" t="inlineStr">
        <is>
          <t>2026-07-06</t>
        </is>
      </c>
      <c r="J136" t="inlineStr">
        <is>
          <t>1.4</t>
        </is>
      </c>
    </row>
    <row r="137">
      <c r="A137" t="inlineStr">
        <is>
          <t>TECH_000130</t>
        </is>
      </c>
      <c r="C137" t="inlineStr">
        <is>
          <t>VOLVO_EX30_P8_AWD</t>
        </is>
      </c>
      <c r="D137" t="inlineStr">
        <is>
          <t>Motor power</t>
        </is>
      </c>
      <c r="E137" t="n">
        <v>315</v>
      </c>
      <c r="F137" t="inlineStr">
        <is>
          <t>KW</t>
        </is>
      </c>
      <c r="G137" t="inlineStr">
        <is>
          <t>SRC_VOLVO_NO_EX30_SPECS</t>
        </is>
      </c>
      <c r="H137" t="inlineStr">
        <is>
          <t>MEDIUM</t>
        </is>
      </c>
      <c r="I137" t="inlineStr">
        <is>
          <t>2026-07-06</t>
        </is>
      </c>
      <c r="J137" t="inlineStr">
        <is>
          <t>1.4</t>
        </is>
      </c>
    </row>
    <row r="138">
      <c r="A138" t="inlineStr">
        <is>
          <t>TECH_000131</t>
        </is>
      </c>
      <c r="C138" t="inlineStr">
        <is>
          <t>VOLVO_EX30_P8_AWD</t>
        </is>
      </c>
      <c r="D138" t="inlineStr">
        <is>
          <t>Torque</t>
        </is>
      </c>
      <c r="E138" t="n">
        <v>543</v>
      </c>
      <c r="F138" t="inlineStr">
        <is>
          <t>NM</t>
        </is>
      </c>
      <c r="G138" t="inlineStr">
        <is>
          <t>SRC_VOLVO_NO_EX30_SPECS</t>
        </is>
      </c>
      <c r="H138" t="inlineStr">
        <is>
          <t>MEDIUM</t>
        </is>
      </c>
      <c r="I138" t="inlineStr">
        <is>
          <t>2026-07-06</t>
        </is>
      </c>
      <c r="J138" t="inlineStr">
        <is>
          <t>1.4</t>
        </is>
      </c>
    </row>
    <row r="139">
      <c r="A139" t="inlineStr">
        <is>
          <t>TECH_000132</t>
        </is>
      </c>
      <c r="C139" t="inlineStr">
        <is>
          <t>VOLVO_EX30_P8_AWD</t>
        </is>
      </c>
      <c r="D139" t="inlineStr">
        <is>
          <t>Battery net</t>
        </is>
      </c>
      <c r="E139" t="n">
        <v>69</v>
      </c>
      <c r="F139" t="inlineStr">
        <is>
          <t>KWH</t>
        </is>
      </c>
      <c r="G139" t="inlineStr">
        <is>
          <t>SRC_VOLVO_NO_EX30_SPECS</t>
        </is>
      </c>
      <c r="H139" t="inlineStr">
        <is>
          <t>MEDIUM</t>
        </is>
      </c>
      <c r="I139" t="inlineStr">
        <is>
          <t>2026-07-06</t>
        </is>
      </c>
      <c r="J139" t="inlineStr">
        <is>
          <t>1.4</t>
        </is>
      </c>
    </row>
    <row r="140">
      <c r="A140" t="inlineStr">
        <is>
          <t>TECH_000133</t>
        </is>
      </c>
      <c r="C140" t="inlineStr">
        <is>
          <t>VOLVO_EX30_P8_AWD</t>
        </is>
      </c>
      <c r="D140" t="inlineStr">
        <is>
          <t>Kerb weight</t>
        </is>
      </c>
      <c r="E140" t="n">
        <v>1960</v>
      </c>
      <c r="F140" t="inlineStr">
        <is>
          <t>KG</t>
        </is>
      </c>
      <c r="G140" t="inlineStr">
        <is>
          <t>SRC_VOLVO_NO_EX30_SPECS</t>
        </is>
      </c>
      <c r="H140" t="inlineStr">
        <is>
          <t>MEDIUM</t>
        </is>
      </c>
      <c r="I140" t="inlineStr">
        <is>
          <t>2026-07-06</t>
        </is>
      </c>
      <c r="J140" t="inlineStr">
        <is>
          <t>1.4</t>
        </is>
      </c>
    </row>
    <row r="141">
      <c r="A141" t="inlineStr">
        <is>
          <t>TECH_000134</t>
        </is>
      </c>
      <c r="C141" t="inlineStr">
        <is>
          <t>VOLVO_EX30_P8_AWD</t>
        </is>
      </c>
      <c r="D141" t="inlineStr">
        <is>
          <t>Top speed</t>
        </is>
      </c>
      <c r="E141" t="n">
        <v>180</v>
      </c>
      <c r="F141" t="inlineStr">
        <is>
          <t>KMH</t>
        </is>
      </c>
      <c r="G141" t="inlineStr">
        <is>
          <t>SRC_VOLVO_NO_EX30_SPECS</t>
        </is>
      </c>
      <c r="H141" t="inlineStr">
        <is>
          <t>MEDIUM</t>
        </is>
      </c>
      <c r="I141" t="inlineStr">
        <is>
          <t>2026-07-06</t>
        </is>
      </c>
      <c r="J141" t="inlineStr">
        <is>
          <t>1.4</t>
        </is>
      </c>
    </row>
    <row r="142">
      <c r="A142" t="inlineStr">
        <is>
          <t>TECH_000135</t>
        </is>
      </c>
      <c r="C142" t="inlineStr">
        <is>
          <t>KIA_EV2_FWD_LONG_RANGE_GT_LINE</t>
        </is>
      </c>
      <c r="D142" t="inlineStr">
        <is>
          <t>WLTP range</t>
        </is>
      </c>
      <c r="E142" t="n">
        <v>453</v>
      </c>
      <c r="F142" t="inlineStr">
        <is>
          <t>KM</t>
        </is>
      </c>
      <c r="G142" t="inlineStr">
        <is>
          <t>SRC_KIA_NETTBUTIKK_EV2</t>
        </is>
      </c>
      <c r="H142" t="inlineStr">
        <is>
          <t>MEDIUM</t>
        </is>
      </c>
      <c r="I142" t="inlineStr">
        <is>
          <t>2026-07-06</t>
        </is>
      </c>
      <c r="J142" t="inlineStr">
        <is>
          <t>1.4</t>
        </is>
      </c>
    </row>
    <row r="143">
      <c r="A143" t="inlineStr">
        <is>
          <t>TECH_000136</t>
        </is>
      </c>
      <c r="C143" t="inlineStr">
        <is>
          <t>KIA_EV2_FWD_LONG_RANGE_GT_LINE</t>
        </is>
      </c>
      <c r="D143" t="inlineStr">
        <is>
          <t>WLTP consumption</t>
        </is>
      </c>
      <c r="E143" t="n">
        <v>15.2</v>
      </c>
      <c r="F143" t="inlineStr">
        <is>
          <t>KWH_100KM</t>
        </is>
      </c>
      <c r="G143" t="inlineStr">
        <is>
          <t>SRC_KIA_NETTBUTIKK_EV2</t>
        </is>
      </c>
      <c r="H143" t="inlineStr">
        <is>
          <t>MEDIUM</t>
        </is>
      </c>
      <c r="I143" t="inlineStr">
        <is>
          <t>2026-07-06</t>
        </is>
      </c>
      <c r="J143" t="inlineStr">
        <is>
          <t>1.4</t>
        </is>
      </c>
    </row>
    <row r="144">
      <c r="A144" t="inlineStr">
        <is>
          <t>TECH_000137</t>
        </is>
      </c>
      <c r="C144" t="inlineStr">
        <is>
          <t>KIA_EV2_FWD_LONG_RANGE_GT_LINE</t>
        </is>
      </c>
      <c r="D144" t="inlineStr">
        <is>
          <t>AC max charging</t>
        </is>
      </c>
      <c r="E144" t="n">
        <v>11</v>
      </c>
      <c r="F144" t="inlineStr">
        <is>
          <t>KW</t>
        </is>
      </c>
      <c r="G144" t="inlineStr">
        <is>
          <t>SRC_KIA_NETTBUTIKK_EV2</t>
        </is>
      </c>
      <c r="H144" t="inlineStr">
        <is>
          <t>MEDIUM</t>
        </is>
      </c>
      <c r="I144" t="inlineStr">
        <is>
          <t>2026-07-06</t>
        </is>
      </c>
      <c r="J144" t="inlineStr">
        <is>
          <t>1.4</t>
        </is>
      </c>
    </row>
    <row r="145">
      <c r="A145" t="inlineStr">
        <is>
          <t>TECH_000138</t>
        </is>
      </c>
      <c r="C145" t="inlineStr">
        <is>
          <t>KIA_EV2_FWD_LONG_RANGE_GT_LINE</t>
        </is>
      </c>
      <c r="D145" t="inlineStr">
        <is>
          <t>Battery net</t>
        </is>
      </c>
      <c r="E145" t="n">
        <v>62</v>
      </c>
      <c r="F145" t="inlineStr">
        <is>
          <t>KWH</t>
        </is>
      </c>
      <c r="G145" t="inlineStr">
        <is>
          <t>SRC_KIA_NETTBUTIKK_EV2</t>
        </is>
      </c>
      <c r="H145" t="inlineStr">
        <is>
          <t>MEDIUM</t>
        </is>
      </c>
      <c r="I145" t="inlineStr">
        <is>
          <t>2026-07-06</t>
        </is>
      </c>
      <c r="J145" t="inlineStr">
        <is>
          <t>1.4</t>
        </is>
      </c>
    </row>
    <row r="146">
      <c r="A146" t="inlineStr">
        <is>
          <t>TECH_000139</t>
        </is>
      </c>
      <c r="C146" t="inlineStr">
        <is>
          <t>KIA_EV2_FWD_LONG_RANGE_GT_LINE</t>
        </is>
      </c>
      <c r="D146" t="inlineStr">
        <is>
          <t>Max trailer weight</t>
        </is>
      </c>
      <c r="E146" t="n">
        <v>750</v>
      </c>
      <c r="F146" t="inlineStr">
        <is>
          <t>KG</t>
        </is>
      </c>
      <c r="G146" t="inlineStr">
        <is>
          <t>SRC_KIA_NETTBUTIKK_EV2</t>
        </is>
      </c>
      <c r="H146" t="inlineStr">
        <is>
          <t>MEDIUM</t>
        </is>
      </c>
      <c r="I146" t="inlineStr">
        <is>
          <t>2026-07-06</t>
        </is>
      </c>
      <c r="J146" t="inlineStr">
        <is>
          <t>1.4</t>
        </is>
      </c>
    </row>
    <row r="147">
      <c r="A147" t="inlineStr">
        <is>
          <t>TECH_000140</t>
        </is>
      </c>
      <c r="C147" t="inlineStr">
        <is>
          <t>KIA_EV2_FWD_LONG_RANGE_GT_LINE</t>
        </is>
      </c>
      <c r="D147" t="inlineStr">
        <is>
          <t>Boot volume</t>
        </is>
      </c>
      <c r="E147" t="n">
        <v>362</v>
      </c>
      <c r="F147" t="inlineStr">
        <is>
          <t>L</t>
        </is>
      </c>
      <c r="G147" t="inlineStr">
        <is>
          <t>SRC_KIA_NETTBUTIKK_EV2</t>
        </is>
      </c>
      <c r="H147" t="inlineStr">
        <is>
          <t>LOW</t>
        </is>
      </c>
      <c r="I147" t="inlineStr">
        <is>
          <t>2026-07-06</t>
        </is>
      </c>
      <c r="J147" t="inlineStr">
        <is>
          <t>1.4</t>
        </is>
      </c>
    </row>
    <row r="148">
      <c r="A148" t="inlineStr">
        <is>
          <t>TECH_000141</t>
        </is>
      </c>
      <c r="C148" t="inlineStr">
        <is>
          <t>KIA_EV2_FWD_LONG_RANGE_GT_LINE</t>
        </is>
      </c>
      <c r="D148" t="inlineStr">
        <is>
          <t>Frunk volume</t>
        </is>
      </c>
      <c r="E148" t="n">
        <v>15</v>
      </c>
      <c r="F148" t="inlineStr">
        <is>
          <t>L</t>
        </is>
      </c>
      <c r="G148" t="inlineStr">
        <is>
          <t>SRC_KIA_NETTBUTIKK_EV2</t>
        </is>
      </c>
      <c r="H148" t="inlineStr">
        <is>
          <t>LOW</t>
        </is>
      </c>
      <c r="I148" t="inlineStr">
        <is>
          <t>2026-07-06</t>
        </is>
      </c>
      <c r="J148" t="inlineStr">
        <is>
          <t>1.4</t>
        </is>
      </c>
    </row>
    <row r="149">
      <c r="A149" t="inlineStr">
        <is>
          <t>TECH_000142</t>
        </is>
      </c>
      <c r="C149" t="inlineStr">
        <is>
          <t>VOLVO_EX30_P8_AWD</t>
        </is>
      </c>
      <c r="D149" t="inlineStr">
        <is>
          <t>Winter highway range estimate</t>
        </is>
      </c>
      <c r="E149" t="n">
        <v>338</v>
      </c>
      <c r="F149" t="inlineStr">
        <is>
          <t>KM</t>
        </is>
      </c>
      <c r="G149" t="inlineStr">
        <is>
          <t>SRC_ELBIL_VOLVO_EX30_WINTER</t>
        </is>
      </c>
      <c r="H149" t="inlineStr">
        <is>
          <t>MEDIUM</t>
        </is>
      </c>
      <c r="I149" t="inlineStr">
        <is>
          <t>2026-07-06</t>
        </is>
      </c>
      <c r="J149" t="inlineStr">
        <is>
          <t>1.4</t>
        </is>
      </c>
    </row>
    <row r="150">
      <c r="A150" t="inlineStr">
        <is>
          <t>TECH_000143</t>
        </is>
      </c>
      <c r="C150" t="inlineStr">
        <is>
          <t>RENAULT_4_TECHNO</t>
        </is>
      </c>
      <c r="D150" t="inlineStr">
        <is>
          <t>Winter highway range estimate</t>
        </is>
      </c>
      <c r="E150" t="n">
        <v>287</v>
      </c>
      <c r="F150" t="inlineStr">
        <is>
          <t>KM</t>
        </is>
      </c>
      <c r="G150" t="inlineStr">
        <is>
          <t>SRC_ELBIL_RENAULT4_TEST</t>
        </is>
      </c>
      <c r="H150" t="inlineStr">
        <is>
          <t>LOW</t>
        </is>
      </c>
      <c r="I150" t="inlineStr">
        <is>
          <t>2026-07-06</t>
        </is>
      </c>
      <c r="J150" t="inlineStr">
        <is>
          <t>1.4</t>
        </is>
      </c>
    </row>
    <row r="151">
      <c r="A151" t="inlineStr">
        <is>
          <t>TECH_000144</t>
        </is>
      </c>
      <c r="C151" t="inlineStr">
        <is>
          <t>KIA_EV2_FWD_LONG_RANGE_GT_LINE</t>
        </is>
      </c>
      <c r="D151" t="inlineStr">
        <is>
          <t>Length</t>
        </is>
      </c>
      <c r="E151" t="n">
        <v>4065</v>
      </c>
      <c r="F151" t="inlineStr">
        <is>
          <t>MM</t>
        </is>
      </c>
      <c r="G151" t="inlineStr">
        <is>
          <t>SRC_KIA_UK_SPECS_PDF</t>
        </is>
      </c>
      <c r="H151" t="inlineStr">
        <is>
          <t>MEDIUM</t>
        </is>
      </c>
      <c r="I151" t="inlineStr">
        <is>
          <t>2026-07-06</t>
        </is>
      </c>
      <c r="J151" t="inlineStr">
        <is>
          <t>1.4</t>
        </is>
      </c>
    </row>
  </sheetData>
  <autoFilter ref="A1:J7"/>
  <dataValidations count="2">
    <dataValidation sqref="F2:F1048576" showDropDown="0" showInputMessage="0" showErrorMessage="1" allowBlank="1" type="list">
      <formula1>Enum_Unit</formula1>
    </dataValidation>
    <dataValidation sqref="H2:H1048576" showDropDown="0" showInputMessage="0" showErrorMessage="1" allowBlank="1" type="list">
      <formula1>Enum_Confidence</formula1>
    </dataValidation>
  </dataValidations>
  <pageMargins left="0.7" right="0.7" top="0.75" bottom="0.75" header="0.3" footer="0.3"/>
</worksheet>
</file>

<file path=xl/worksheets/sheet6.xml><?xml version="1.0" encoding="utf-8"?>
<worksheet xmlns="http://schemas.openxmlformats.org/spreadsheetml/2006/main">
  <sheetPr>
    <outlinePr summaryBelow="1" summaryRight="1"/>
    <pageSetUpPr/>
  </sheetPr>
  <dimension ref="A1:F63"/>
  <sheetViews>
    <sheetView showGridLines="1" workbookViewId="0">
      <pane ySplit="1" topLeftCell="A2" activePane="bottomLeft" state="frozen"/>
      <selection pane="bottomLeft" activeCell="A2" sqref="A2"/>
    </sheetView>
  </sheetViews>
  <sheetFormatPr baseColWidth="8" defaultRowHeight="15"/>
  <cols>
    <col width="20" customWidth="1" min="1" max="1"/>
    <col width="24" customWidth="1" min="2" max="2"/>
    <col width="28" customWidth="1" min="3" max="3"/>
    <col width="18" customWidth="1" min="4" max="4"/>
    <col width="20" customWidth="1" min="5" max="5"/>
    <col width="16" customWidth="1" min="6" max="6"/>
  </cols>
  <sheetData>
    <row r="1" ht="22" customHeight="1">
      <c r="A1" s="1" t="inlineStr">
        <is>
          <t>EquipmentID</t>
        </is>
      </c>
      <c r="B1" s="1" t="inlineStr">
        <is>
          <t>ConfigurationID</t>
        </is>
      </c>
      <c r="C1" s="1" t="inlineStr">
        <is>
          <t>EquipmentDefinitionID</t>
        </is>
      </c>
      <c r="D1" s="1" t="inlineStr">
        <is>
          <t>Availability</t>
        </is>
      </c>
      <c r="E1" s="1" t="inlineStr">
        <is>
          <t>SourceID</t>
        </is>
      </c>
      <c r="F1" s="1" t="inlineStr">
        <is>
          <t>Confidence</t>
        </is>
      </c>
    </row>
    <row r="2">
      <c r="A2" t="inlineStr">
        <is>
          <t>EQ_000001</t>
        </is>
      </c>
      <c r="B2" t="inlineStr">
        <is>
          <t>RENAULT_4_EVOLUTION_URBAN</t>
        </is>
      </c>
      <c r="C2" t="inlineStr">
        <is>
          <t>EQ_ACC</t>
        </is>
      </c>
      <c r="D2" t="inlineStr">
        <is>
          <t>UNAVAILABLE</t>
        </is>
      </c>
      <c r="E2" t="inlineStr">
        <is>
          <t>SRC_RENAULT_NO_R4_PRICELIST</t>
        </is>
      </c>
      <c r="F2" t="inlineStr">
        <is>
          <t>MEDIUM</t>
        </is>
      </c>
    </row>
    <row r="3">
      <c r="A3" t="inlineStr">
        <is>
          <t>EQ_000002</t>
        </is>
      </c>
      <c r="B3" t="inlineStr">
        <is>
          <t>RENAULT_4_EVOLUTION_COMFORT</t>
        </is>
      </c>
      <c r="C3" t="inlineStr">
        <is>
          <t>EQ_ACC</t>
        </is>
      </c>
      <c r="D3" t="inlineStr">
        <is>
          <t>UNAVAILABLE</t>
        </is>
      </c>
      <c r="E3" t="inlineStr">
        <is>
          <t>SRC_RENAULT_NO_R4_PRICELIST</t>
        </is>
      </c>
      <c r="F3" t="inlineStr">
        <is>
          <t>MEDIUM</t>
        </is>
      </c>
    </row>
    <row r="4">
      <c r="A4" t="inlineStr">
        <is>
          <t>EQ_000003</t>
        </is>
      </c>
      <c r="B4" t="inlineStr">
        <is>
          <t>RENAULT_4_TECHNO</t>
        </is>
      </c>
      <c r="C4" t="inlineStr">
        <is>
          <t>EQ_ACC</t>
        </is>
      </c>
      <c r="D4" t="inlineStr">
        <is>
          <t>STANDARD</t>
        </is>
      </c>
      <c r="E4" t="inlineStr">
        <is>
          <t>SRC_RENAULT_NO_R4_PRICELIST</t>
        </is>
      </c>
      <c r="F4" t="inlineStr">
        <is>
          <t>MEDIUM</t>
        </is>
      </c>
    </row>
    <row r="5">
      <c r="A5" t="inlineStr">
        <is>
          <t>EQ_000004</t>
        </is>
      </c>
      <c r="B5" t="inlineStr">
        <is>
          <t>RENAULT_4_TECHNO_PLEIN_SUD</t>
        </is>
      </c>
      <c r="C5" t="inlineStr">
        <is>
          <t>EQ_ACC</t>
        </is>
      </c>
      <c r="D5" t="inlineStr">
        <is>
          <t>STANDARD</t>
        </is>
      </c>
      <c r="E5" t="inlineStr">
        <is>
          <t>SRC_RENAULT_NO_R4_PRICELIST</t>
        </is>
      </c>
      <c r="F5" t="inlineStr">
        <is>
          <t>MEDIUM</t>
        </is>
      </c>
    </row>
    <row r="6">
      <c r="A6" t="inlineStr">
        <is>
          <t>EQ_000005</t>
        </is>
      </c>
      <c r="B6" t="inlineStr">
        <is>
          <t>RENAULT_4_ICONIC</t>
        </is>
      </c>
      <c r="C6" t="inlineStr">
        <is>
          <t>EQ_ACC</t>
        </is>
      </c>
      <c r="D6" t="inlineStr">
        <is>
          <t>STANDARD</t>
        </is>
      </c>
      <c r="E6" t="inlineStr">
        <is>
          <t>SRC_RENAULT_NO_R4_PRICELIST</t>
        </is>
      </c>
      <c r="F6" t="inlineStr">
        <is>
          <t>MEDIUM</t>
        </is>
      </c>
    </row>
    <row r="7">
      <c r="A7" t="inlineStr">
        <is>
          <t>EQ_000006</t>
        </is>
      </c>
      <c r="B7" t="inlineStr">
        <is>
          <t>RENAULT_4_ICONIC_PLEIN_SUD</t>
        </is>
      </c>
      <c r="C7" t="inlineStr">
        <is>
          <t>EQ_ACC</t>
        </is>
      </c>
      <c r="D7" t="inlineStr">
        <is>
          <t>STANDARD</t>
        </is>
      </c>
      <c r="E7" t="inlineStr">
        <is>
          <t>SRC_RENAULT_NO_R4_PRICELIST</t>
        </is>
      </c>
      <c r="F7" t="inlineStr">
        <is>
          <t>MEDIUM</t>
        </is>
      </c>
    </row>
    <row r="8">
      <c r="A8" t="inlineStr">
        <is>
          <t>EQ_000007</t>
        </is>
      </c>
      <c r="B8" t="inlineStr">
        <is>
          <t>SKODA_ELROQ_ESSENCE_60</t>
        </is>
      </c>
      <c r="C8" t="inlineStr">
        <is>
          <t>EQ_ACC</t>
        </is>
      </c>
      <c r="D8" t="inlineStr">
        <is>
          <t>STANDARD</t>
        </is>
      </c>
      <c r="E8" t="inlineStr">
        <is>
          <t>SRC_SKODA_NO_ELROQ_PRICELIST</t>
        </is>
      </c>
      <c r="F8" t="inlineStr">
        <is>
          <t>MEDIUM</t>
        </is>
      </c>
    </row>
    <row r="9">
      <c r="A9" t="inlineStr">
        <is>
          <t>EQ_000008</t>
        </is>
      </c>
      <c r="B9" t="inlineStr">
        <is>
          <t>SKODA_ELROQ_SELECTION_60</t>
        </is>
      </c>
      <c r="C9" t="inlineStr">
        <is>
          <t>EQ_ACC</t>
        </is>
      </c>
      <c r="D9" t="inlineStr">
        <is>
          <t>STANDARD</t>
        </is>
      </c>
      <c r="E9" t="inlineStr">
        <is>
          <t>SRC_SKODA_NO_ELROQ_PRICELIST</t>
        </is>
      </c>
      <c r="F9" t="inlineStr">
        <is>
          <t>MEDIUM</t>
        </is>
      </c>
    </row>
    <row r="10">
      <c r="A10" t="inlineStr">
        <is>
          <t>EQ_000009</t>
        </is>
      </c>
      <c r="B10" t="inlineStr">
        <is>
          <t>SKODA_ELROQ_SELECTION_85X</t>
        </is>
      </c>
      <c r="C10" t="inlineStr">
        <is>
          <t>EQ_ACC</t>
        </is>
      </c>
      <c r="D10" t="inlineStr">
        <is>
          <t>STANDARD</t>
        </is>
      </c>
      <c r="E10" t="inlineStr">
        <is>
          <t>SRC_SKODA_NO_ELROQ_PRICELIST</t>
        </is>
      </c>
      <c r="F10" t="inlineStr">
        <is>
          <t>MEDIUM</t>
        </is>
      </c>
    </row>
    <row r="11">
      <c r="A11" t="inlineStr">
        <is>
          <t>EQ_000010</t>
        </is>
      </c>
      <c r="B11" t="inlineStr">
        <is>
          <t>SKODA_ELROQ_RS</t>
        </is>
      </c>
      <c r="C11" t="inlineStr">
        <is>
          <t>EQ_ACC</t>
        </is>
      </c>
      <c r="D11" t="inlineStr">
        <is>
          <t>STANDARD</t>
        </is>
      </c>
      <c r="E11" t="inlineStr">
        <is>
          <t>SRC_SKODA_NO_ELROQ_PRICELIST</t>
        </is>
      </c>
      <c r="F11" t="inlineStr">
        <is>
          <t>MEDIUM</t>
        </is>
      </c>
    </row>
    <row r="12">
      <c r="A12" t="inlineStr">
        <is>
          <t>EQ_000011</t>
        </is>
      </c>
      <c r="B12" t="inlineStr">
        <is>
          <t>VOLVO_EX30_P8_AWD</t>
        </is>
      </c>
      <c r="C12" t="inlineStr">
        <is>
          <t>EQ_ACC</t>
        </is>
      </c>
      <c r="D12" t="inlineStr">
        <is>
          <t>STANDARD</t>
        </is>
      </c>
      <c r="E12" t="inlineStr">
        <is>
          <t>SRC_MOTORNO_EX30_2024</t>
        </is>
      </c>
      <c r="F12" t="inlineStr">
        <is>
          <t>MEDIUM</t>
        </is>
      </c>
    </row>
    <row r="13">
      <c r="A13" t="inlineStr">
        <is>
          <t>EQ_000012</t>
        </is>
      </c>
      <c r="B13" t="inlineStr">
        <is>
          <t>RENAULT_4_EVOLUTION_URBAN</t>
        </is>
      </c>
      <c r="C13" t="inlineStr">
        <is>
          <t>EQ_REAR_CAMERA</t>
        </is>
      </c>
      <c r="D13" t="inlineStr">
        <is>
          <t>STANDARD</t>
        </is>
      </c>
      <c r="E13" t="inlineStr">
        <is>
          <t>SRC_RENAULT_NO_R4_PRICELIST</t>
        </is>
      </c>
      <c r="F13" t="inlineStr">
        <is>
          <t>MEDIUM</t>
        </is>
      </c>
    </row>
    <row r="14">
      <c r="A14" t="inlineStr">
        <is>
          <t>EQ_000013</t>
        </is>
      </c>
      <c r="B14" t="inlineStr">
        <is>
          <t>RENAULT_4_EVOLUTION_COMFORT</t>
        </is>
      </c>
      <c r="C14" t="inlineStr">
        <is>
          <t>EQ_REAR_CAMERA</t>
        </is>
      </c>
      <c r="D14" t="inlineStr">
        <is>
          <t>STANDARD</t>
        </is>
      </c>
      <c r="E14" t="inlineStr">
        <is>
          <t>SRC_RENAULT_NO_R4_PRICELIST</t>
        </is>
      </c>
      <c r="F14" t="inlineStr">
        <is>
          <t>MEDIUM</t>
        </is>
      </c>
    </row>
    <row r="15">
      <c r="A15" t="inlineStr">
        <is>
          <t>EQ_000014</t>
        </is>
      </c>
      <c r="B15" t="inlineStr">
        <is>
          <t>RENAULT_4_TECHNO</t>
        </is>
      </c>
      <c r="C15" t="inlineStr">
        <is>
          <t>EQ_REAR_CAMERA</t>
        </is>
      </c>
      <c r="D15" t="inlineStr">
        <is>
          <t>STANDARD</t>
        </is>
      </c>
      <c r="E15" t="inlineStr">
        <is>
          <t>SRC_RENAULT_NO_R4_PRICELIST</t>
        </is>
      </c>
      <c r="F15" t="inlineStr">
        <is>
          <t>MEDIUM</t>
        </is>
      </c>
    </row>
    <row r="16">
      <c r="A16" t="inlineStr">
        <is>
          <t>EQ_000015</t>
        </is>
      </c>
      <c r="B16" t="inlineStr">
        <is>
          <t>RENAULT_4_TECHNO_PLEIN_SUD</t>
        </is>
      </c>
      <c r="C16" t="inlineStr">
        <is>
          <t>EQ_REAR_CAMERA</t>
        </is>
      </c>
      <c r="D16" t="inlineStr">
        <is>
          <t>STANDARD</t>
        </is>
      </c>
      <c r="E16" t="inlineStr">
        <is>
          <t>SRC_RENAULT_NO_R4_PRICELIST</t>
        </is>
      </c>
      <c r="F16" t="inlineStr">
        <is>
          <t>MEDIUM</t>
        </is>
      </c>
    </row>
    <row r="17">
      <c r="A17" t="inlineStr">
        <is>
          <t>EQ_000016</t>
        </is>
      </c>
      <c r="B17" t="inlineStr">
        <is>
          <t>RENAULT_4_ICONIC</t>
        </is>
      </c>
      <c r="C17" t="inlineStr">
        <is>
          <t>EQ_REAR_CAMERA</t>
        </is>
      </c>
      <c r="D17" t="inlineStr">
        <is>
          <t>STANDARD</t>
        </is>
      </c>
      <c r="E17" t="inlineStr">
        <is>
          <t>SRC_RENAULT_NO_R4_PRICELIST</t>
        </is>
      </c>
      <c r="F17" t="inlineStr">
        <is>
          <t>MEDIUM</t>
        </is>
      </c>
    </row>
    <row r="18">
      <c r="A18" t="inlineStr">
        <is>
          <t>EQ_000017</t>
        </is>
      </c>
      <c r="B18" t="inlineStr">
        <is>
          <t>RENAULT_4_ICONIC_PLEIN_SUD</t>
        </is>
      </c>
      <c r="C18" t="inlineStr">
        <is>
          <t>EQ_REAR_CAMERA</t>
        </is>
      </c>
      <c r="D18" t="inlineStr">
        <is>
          <t>STANDARD</t>
        </is>
      </c>
      <c r="E18" t="inlineStr">
        <is>
          <t>SRC_RENAULT_NO_R4_PRICELIST</t>
        </is>
      </c>
      <c r="F18" t="inlineStr">
        <is>
          <t>MEDIUM</t>
        </is>
      </c>
    </row>
    <row r="19">
      <c r="A19" t="inlineStr">
        <is>
          <t>EQ_000018</t>
        </is>
      </c>
      <c r="B19" t="inlineStr">
        <is>
          <t>SKODA_ELROQ_ESSENCE_60</t>
        </is>
      </c>
      <c r="C19" t="inlineStr">
        <is>
          <t>EQ_REAR_CAMERA</t>
        </is>
      </c>
      <c r="D19" t="inlineStr">
        <is>
          <t>STANDARD</t>
        </is>
      </c>
      <c r="E19" t="inlineStr">
        <is>
          <t>SRC_SKODA_NO_ELROQ_PRICELIST</t>
        </is>
      </c>
      <c r="F19" t="inlineStr">
        <is>
          <t>MEDIUM</t>
        </is>
      </c>
    </row>
    <row r="20">
      <c r="A20" t="inlineStr">
        <is>
          <t>EQ_000019</t>
        </is>
      </c>
      <c r="B20" t="inlineStr">
        <is>
          <t>SKODA_ELROQ_SELECTION_60</t>
        </is>
      </c>
      <c r="C20" t="inlineStr">
        <is>
          <t>EQ_REAR_CAMERA</t>
        </is>
      </c>
      <c r="D20" t="inlineStr">
        <is>
          <t>STANDARD</t>
        </is>
      </c>
      <c r="E20" t="inlineStr">
        <is>
          <t>SRC_SKODA_NO_ELROQ_PRICELIST</t>
        </is>
      </c>
      <c r="F20" t="inlineStr">
        <is>
          <t>MEDIUM</t>
        </is>
      </c>
    </row>
    <row r="21">
      <c r="A21" t="inlineStr">
        <is>
          <t>EQ_000020</t>
        </is>
      </c>
      <c r="B21" t="inlineStr">
        <is>
          <t>SKODA_ELROQ_SELECTION_85X</t>
        </is>
      </c>
      <c r="C21" t="inlineStr">
        <is>
          <t>EQ_REAR_CAMERA</t>
        </is>
      </c>
      <c r="D21" t="inlineStr">
        <is>
          <t>STANDARD</t>
        </is>
      </c>
      <c r="E21" t="inlineStr">
        <is>
          <t>SRC_SKODA_NO_ELROQ_PRICELIST</t>
        </is>
      </c>
      <c r="F21" t="inlineStr">
        <is>
          <t>MEDIUM</t>
        </is>
      </c>
    </row>
    <row r="22">
      <c r="A22" t="inlineStr">
        <is>
          <t>EQ_000021</t>
        </is>
      </c>
      <c r="B22" t="inlineStr">
        <is>
          <t>SKODA_ELROQ_RS</t>
        </is>
      </c>
      <c r="C22" t="inlineStr">
        <is>
          <t>EQ_REAR_CAMERA</t>
        </is>
      </c>
      <c r="D22" t="inlineStr">
        <is>
          <t>STANDARD</t>
        </is>
      </c>
      <c r="E22" t="inlineStr">
        <is>
          <t>SRC_SKODA_NO_ELROQ_PRICELIST</t>
        </is>
      </c>
      <c r="F22" t="inlineStr">
        <is>
          <t>MEDIUM</t>
        </is>
      </c>
    </row>
    <row r="23">
      <c r="A23" t="inlineStr">
        <is>
          <t>EQ_000022</t>
        </is>
      </c>
      <c r="B23" t="inlineStr">
        <is>
          <t>TESLA_MODEL_3_RWD</t>
        </is>
      </c>
      <c r="C23" t="inlineStr">
        <is>
          <t>EQ_CARPLAY</t>
        </is>
      </c>
      <c r="D23" t="inlineStr">
        <is>
          <t>UNAVAILABLE</t>
        </is>
      </c>
      <c r="E23" t="inlineStr">
        <is>
          <t>SRC_MACRUMORS_CARPLAY_2025</t>
        </is>
      </c>
      <c r="F23" t="inlineStr">
        <is>
          <t>MEDIUM</t>
        </is>
      </c>
    </row>
    <row r="24">
      <c r="A24" t="inlineStr">
        <is>
          <t>EQ_000023</t>
        </is>
      </c>
      <c r="B24" t="inlineStr">
        <is>
          <t>TESLA_MODEL_3_LONG_RANGE_AWD</t>
        </is>
      </c>
      <c r="C24" t="inlineStr">
        <is>
          <t>EQ_CARPLAY</t>
        </is>
      </c>
      <c r="D24" t="inlineStr">
        <is>
          <t>UNAVAILABLE</t>
        </is>
      </c>
      <c r="E24" t="inlineStr">
        <is>
          <t>SRC_MACRUMORS_CARPLAY_2025</t>
        </is>
      </c>
      <c r="F24" t="inlineStr">
        <is>
          <t>MEDIUM</t>
        </is>
      </c>
    </row>
    <row r="25">
      <c r="A25" t="inlineStr">
        <is>
          <t>EQ_000024</t>
        </is>
      </c>
      <c r="B25" t="inlineStr">
        <is>
          <t>TESLA_MODEL_3_LONG_RANGE_RWD</t>
        </is>
      </c>
      <c r="C25" t="inlineStr">
        <is>
          <t>EQ_CARPLAY</t>
        </is>
      </c>
      <c r="D25" t="inlineStr">
        <is>
          <t>UNAVAILABLE</t>
        </is>
      </c>
      <c r="E25" t="inlineStr">
        <is>
          <t>SRC_MACRUMORS_CARPLAY_2025</t>
        </is>
      </c>
      <c r="F25" t="inlineStr">
        <is>
          <t>MEDIUM</t>
        </is>
      </c>
    </row>
    <row r="26">
      <c r="A26" t="inlineStr">
        <is>
          <t>EQ_000025</t>
        </is>
      </c>
      <c r="B26" t="inlineStr">
        <is>
          <t>TESLA_MODEL_3_PERFORMANCE</t>
        </is>
      </c>
      <c r="C26" t="inlineStr">
        <is>
          <t>EQ_CARPLAY</t>
        </is>
      </c>
      <c r="D26" t="inlineStr">
        <is>
          <t>UNAVAILABLE</t>
        </is>
      </c>
      <c r="E26" t="inlineStr">
        <is>
          <t>SRC_MACRUMORS_CARPLAY_2025</t>
        </is>
      </c>
      <c r="F26" t="inlineStr">
        <is>
          <t>MEDIUM</t>
        </is>
      </c>
    </row>
    <row r="27">
      <c r="A27" t="inlineStr">
        <is>
          <t>EQ_000026</t>
        </is>
      </c>
      <c r="B27" t="inlineStr">
        <is>
          <t>RENAULT_4_EVOLUTION_URBAN</t>
        </is>
      </c>
      <c r="C27" t="inlineStr">
        <is>
          <t>EQ_CARPLAY</t>
        </is>
      </c>
      <c r="D27" t="inlineStr">
        <is>
          <t>STANDARD</t>
        </is>
      </c>
      <c r="E27" t="inlineStr">
        <is>
          <t>SRC_RENAULT_NO_R4_PRICELIST</t>
        </is>
      </c>
      <c r="F27" t="inlineStr">
        <is>
          <t>MEDIUM</t>
        </is>
      </c>
    </row>
    <row r="28">
      <c r="A28" t="inlineStr">
        <is>
          <t>EQ_000027</t>
        </is>
      </c>
      <c r="B28" t="inlineStr">
        <is>
          <t>RENAULT_4_EVOLUTION_COMFORT</t>
        </is>
      </c>
      <c r="C28" t="inlineStr">
        <is>
          <t>EQ_CARPLAY</t>
        </is>
      </c>
      <c r="D28" t="inlineStr">
        <is>
          <t>STANDARD</t>
        </is>
      </c>
      <c r="E28" t="inlineStr">
        <is>
          <t>SRC_RENAULT_NO_R4_PRICELIST</t>
        </is>
      </c>
      <c r="F28" t="inlineStr">
        <is>
          <t>MEDIUM</t>
        </is>
      </c>
    </row>
    <row r="29">
      <c r="A29" t="inlineStr">
        <is>
          <t>EQ_000028</t>
        </is>
      </c>
      <c r="B29" t="inlineStr">
        <is>
          <t>RENAULT_4_TECHNO</t>
        </is>
      </c>
      <c r="C29" t="inlineStr">
        <is>
          <t>EQ_CARPLAY</t>
        </is>
      </c>
      <c r="D29" t="inlineStr">
        <is>
          <t>STANDARD</t>
        </is>
      </c>
      <c r="E29" t="inlineStr">
        <is>
          <t>SRC_RENAULT_NO_R4_PRICELIST</t>
        </is>
      </c>
      <c r="F29" t="inlineStr">
        <is>
          <t>MEDIUM</t>
        </is>
      </c>
    </row>
    <row r="30">
      <c r="A30" t="inlineStr">
        <is>
          <t>EQ_000029</t>
        </is>
      </c>
      <c r="B30" t="inlineStr">
        <is>
          <t>RENAULT_4_TECHNO_PLEIN_SUD</t>
        </is>
      </c>
      <c r="C30" t="inlineStr">
        <is>
          <t>EQ_CARPLAY</t>
        </is>
      </c>
      <c r="D30" t="inlineStr">
        <is>
          <t>STANDARD</t>
        </is>
      </c>
      <c r="E30" t="inlineStr">
        <is>
          <t>SRC_RENAULT_NO_R4_PRICELIST</t>
        </is>
      </c>
      <c r="F30" t="inlineStr">
        <is>
          <t>MEDIUM</t>
        </is>
      </c>
    </row>
    <row r="31">
      <c r="A31" t="inlineStr">
        <is>
          <t>EQ_000030</t>
        </is>
      </c>
      <c r="B31" t="inlineStr">
        <is>
          <t>RENAULT_4_ICONIC</t>
        </is>
      </c>
      <c r="C31" t="inlineStr">
        <is>
          <t>EQ_CARPLAY</t>
        </is>
      </c>
      <c r="D31" t="inlineStr">
        <is>
          <t>STANDARD</t>
        </is>
      </c>
      <c r="E31" t="inlineStr">
        <is>
          <t>SRC_RENAULT_NO_R4_PRICELIST</t>
        </is>
      </c>
      <c r="F31" t="inlineStr">
        <is>
          <t>MEDIUM</t>
        </is>
      </c>
    </row>
    <row r="32">
      <c r="A32" t="inlineStr">
        <is>
          <t>EQ_000031</t>
        </is>
      </c>
      <c r="B32" t="inlineStr">
        <is>
          <t>RENAULT_4_ICONIC_PLEIN_SUD</t>
        </is>
      </c>
      <c r="C32" t="inlineStr">
        <is>
          <t>EQ_CARPLAY</t>
        </is>
      </c>
      <c r="D32" t="inlineStr">
        <is>
          <t>STANDARD</t>
        </is>
      </c>
      <c r="E32" t="inlineStr">
        <is>
          <t>SRC_RENAULT_NO_R4_PRICELIST</t>
        </is>
      </c>
      <c r="F32" t="inlineStr">
        <is>
          <t>MEDIUM</t>
        </is>
      </c>
    </row>
    <row r="33">
      <c r="A33" t="inlineStr">
        <is>
          <t>EQ_000032</t>
        </is>
      </c>
      <c r="B33" t="inlineStr">
        <is>
          <t>SKODA_ELROQ_ESSENCE_60</t>
        </is>
      </c>
      <c r="C33" t="inlineStr">
        <is>
          <t>EQ_CARPLAY</t>
        </is>
      </c>
      <c r="D33" t="inlineStr">
        <is>
          <t>STANDARD</t>
        </is>
      </c>
      <c r="E33" t="inlineStr">
        <is>
          <t>SRC_SKODA_NO_ELROQ_PRICELIST</t>
        </is>
      </c>
      <c r="F33" t="inlineStr">
        <is>
          <t>MEDIUM</t>
        </is>
      </c>
    </row>
    <row r="34">
      <c r="A34" t="inlineStr">
        <is>
          <t>EQ_000033</t>
        </is>
      </c>
      <c r="B34" t="inlineStr">
        <is>
          <t>SKODA_ELROQ_SELECTION_60</t>
        </is>
      </c>
      <c r="C34" t="inlineStr">
        <is>
          <t>EQ_CARPLAY</t>
        </is>
      </c>
      <c r="D34" t="inlineStr">
        <is>
          <t>STANDARD</t>
        </is>
      </c>
      <c r="E34" t="inlineStr">
        <is>
          <t>SRC_SKODA_NO_ELROQ_PRICELIST</t>
        </is>
      </c>
      <c r="F34" t="inlineStr">
        <is>
          <t>MEDIUM</t>
        </is>
      </c>
    </row>
    <row r="35">
      <c r="A35" t="inlineStr">
        <is>
          <t>EQ_000034</t>
        </is>
      </c>
      <c r="B35" t="inlineStr">
        <is>
          <t>SKODA_ELROQ_SELECTION_85X</t>
        </is>
      </c>
      <c r="C35" t="inlineStr">
        <is>
          <t>EQ_CARPLAY</t>
        </is>
      </c>
      <c r="D35" t="inlineStr">
        <is>
          <t>STANDARD</t>
        </is>
      </c>
      <c r="E35" t="inlineStr">
        <is>
          <t>SRC_SKODA_NO_ELROQ_PRICELIST</t>
        </is>
      </c>
      <c r="F35" t="inlineStr">
        <is>
          <t>MEDIUM</t>
        </is>
      </c>
    </row>
    <row r="36">
      <c r="A36" t="inlineStr">
        <is>
          <t>EQ_000035</t>
        </is>
      </c>
      <c r="B36" t="inlineStr">
        <is>
          <t>SKODA_ELROQ_RS</t>
        </is>
      </c>
      <c r="C36" t="inlineStr">
        <is>
          <t>EQ_CARPLAY</t>
        </is>
      </c>
      <c r="D36" t="inlineStr">
        <is>
          <t>STANDARD</t>
        </is>
      </c>
      <c r="E36" t="inlineStr">
        <is>
          <t>SRC_SKODA_NO_ELROQ_PRICELIST</t>
        </is>
      </c>
      <c r="F36" t="inlineStr">
        <is>
          <t>MEDIUM</t>
        </is>
      </c>
    </row>
    <row r="37">
      <c r="A37" t="inlineStr">
        <is>
          <t>EQ_000036</t>
        </is>
      </c>
      <c r="B37" t="inlineStr">
        <is>
          <t>VOLVO_EX30_P5</t>
        </is>
      </c>
      <c r="C37" t="inlineStr">
        <is>
          <t>EQ_CARPLAY</t>
        </is>
      </c>
      <c r="D37" t="inlineStr">
        <is>
          <t>STANDARD</t>
        </is>
      </c>
      <c r="E37" t="inlineStr">
        <is>
          <t>SRC_WHATCAR_EX30_2026</t>
        </is>
      </c>
      <c r="F37" t="inlineStr">
        <is>
          <t>MEDIUM</t>
        </is>
      </c>
    </row>
    <row r="38">
      <c r="A38" t="inlineStr">
        <is>
          <t>EQ_000037</t>
        </is>
      </c>
      <c r="B38" t="inlineStr">
        <is>
          <t>VOLVO_EX30_P5_LONG_RANGE</t>
        </is>
      </c>
      <c r="C38" t="inlineStr">
        <is>
          <t>EQ_CARPLAY</t>
        </is>
      </c>
      <c r="D38" t="inlineStr">
        <is>
          <t>STANDARD</t>
        </is>
      </c>
      <c r="E38" t="inlineStr">
        <is>
          <t>SRC_WHATCAR_EX30_2026</t>
        </is>
      </c>
      <c r="F38" t="inlineStr">
        <is>
          <t>MEDIUM</t>
        </is>
      </c>
    </row>
    <row r="39">
      <c r="A39" t="inlineStr">
        <is>
          <t>EQ_000038</t>
        </is>
      </c>
      <c r="B39" t="inlineStr">
        <is>
          <t>VOLVO_EX30_P8_AWD</t>
        </is>
      </c>
      <c r="C39" t="inlineStr">
        <is>
          <t>EQ_CARPLAY</t>
        </is>
      </c>
      <c r="D39" t="inlineStr">
        <is>
          <t>STANDARD</t>
        </is>
      </c>
      <c r="E39" t="inlineStr">
        <is>
          <t>SRC_WHATCAR_EX30_2026</t>
        </is>
      </c>
      <c r="F39" t="inlineStr">
        <is>
          <t>HIGH</t>
        </is>
      </c>
    </row>
    <row r="40">
      <c r="A40" t="inlineStr">
        <is>
          <t>EQ_000039</t>
        </is>
      </c>
      <c r="B40" t="inlineStr">
        <is>
          <t>KIA_EV2_FWD_LONG_RANGE_GT_LINE</t>
        </is>
      </c>
      <c r="C40" t="inlineStr">
        <is>
          <t>EQ_CARPLAY</t>
        </is>
      </c>
      <c r="D40" t="inlineStr">
        <is>
          <t>STANDARD</t>
        </is>
      </c>
      <c r="E40" t="inlineStr">
        <is>
          <t>SRC_BOS_KIA_EV2_QUOTE</t>
        </is>
      </c>
      <c r="F40" t="inlineStr">
        <is>
          <t>MEDIUM</t>
        </is>
      </c>
    </row>
    <row r="41">
      <c r="A41" t="inlineStr">
        <is>
          <t>EQ_000040</t>
        </is>
      </c>
      <c r="B41" t="inlineStr">
        <is>
          <t>KIA_EV2_FWD_LONG_RANGE_GT_LINE</t>
        </is>
      </c>
      <c r="C41" t="inlineStr">
        <is>
          <t>EQ_360</t>
        </is>
      </c>
      <c r="D41" t="inlineStr">
        <is>
          <t>STANDARD</t>
        </is>
      </c>
      <c r="E41" t="inlineStr">
        <is>
          <t>SRC_BOS_KIA_EV2_QUOTE</t>
        </is>
      </c>
      <c r="F41" t="inlineStr">
        <is>
          <t>MEDIUM</t>
        </is>
      </c>
    </row>
    <row r="42">
      <c r="A42" t="inlineStr">
        <is>
          <t>EQ_000041</t>
        </is>
      </c>
      <c r="B42" t="inlineStr">
        <is>
          <t>KIA_EV2_FWD_LONG_RANGE_GT_LINE</t>
        </is>
      </c>
      <c r="C42" t="inlineStr">
        <is>
          <t>EQ_REAR_CAMERA</t>
        </is>
      </c>
      <c r="D42" t="inlineStr">
        <is>
          <t>STANDARD</t>
        </is>
      </c>
      <c r="E42" t="inlineStr">
        <is>
          <t>SRC_BOS_KIA_EV2_QUOTE</t>
        </is>
      </c>
      <c r="F42" t="inlineStr">
        <is>
          <t>MEDIUM</t>
        </is>
      </c>
    </row>
    <row r="43">
      <c r="A43" t="inlineStr">
        <is>
          <t>EQ_000042</t>
        </is>
      </c>
      <c r="B43" t="inlineStr">
        <is>
          <t>KIA_EV2_FWD_LONG_RANGE_GT_LINE</t>
        </is>
      </c>
      <c r="C43" t="inlineStr">
        <is>
          <t>EQ_OTA</t>
        </is>
      </c>
      <c r="D43" t="inlineStr">
        <is>
          <t>STANDARD</t>
        </is>
      </c>
      <c r="E43" t="inlineStr">
        <is>
          <t>SRC_BOS_KIA_EV2_QUOTE</t>
        </is>
      </c>
      <c r="F43" t="inlineStr">
        <is>
          <t>MEDIUM</t>
        </is>
      </c>
    </row>
    <row r="44">
      <c r="A44" t="inlineStr">
        <is>
          <t>EQ_000043</t>
        </is>
      </c>
      <c r="B44" t="inlineStr">
        <is>
          <t>KIA_EV2_FWD_LONG_RANGE_GT_LINE</t>
        </is>
      </c>
      <c r="C44" t="inlineStr">
        <is>
          <t>EQ_ACC</t>
        </is>
      </c>
      <c r="D44" t="inlineStr">
        <is>
          <t>STANDARD</t>
        </is>
      </c>
      <c r="E44" t="inlineStr">
        <is>
          <t>SRC_BOS_KIA_EV2_QUOTE</t>
        </is>
      </c>
      <c r="F44" t="inlineStr">
        <is>
          <t>MEDIUM</t>
        </is>
      </c>
    </row>
    <row r="45">
      <c r="A45" t="inlineStr">
        <is>
          <t>EQ_000044</t>
        </is>
      </c>
      <c r="B45" t="inlineStr">
        <is>
          <t>KIA_EV2_FWD_LONG_RANGE_GT_LINE</t>
        </is>
      </c>
      <c r="C45" t="inlineStr">
        <is>
          <t>EQ_LANE_CENTER</t>
        </is>
      </c>
      <c r="D45" t="inlineStr">
        <is>
          <t>STANDARD</t>
        </is>
      </c>
      <c r="E45" t="inlineStr">
        <is>
          <t>SRC_BOS_KIA_EV2_QUOTE</t>
        </is>
      </c>
      <c r="F45" t="inlineStr">
        <is>
          <t>MEDIUM</t>
        </is>
      </c>
    </row>
    <row r="46">
      <c r="A46" t="inlineStr">
        <is>
          <t>EQ_000045</t>
        </is>
      </c>
      <c r="B46" t="inlineStr">
        <is>
          <t>KIA_EV2_FWD_LONG_RANGE_GT_LINE</t>
        </is>
      </c>
      <c r="C46" t="inlineStr">
        <is>
          <t>EQ_DIGITAL_KEY</t>
        </is>
      </c>
      <c r="D46" t="inlineStr">
        <is>
          <t>STANDARD</t>
        </is>
      </c>
      <c r="E46" t="inlineStr">
        <is>
          <t>SRC_BOS_KIA_EV2_QUOTE</t>
        </is>
      </c>
      <c r="F46" t="inlineStr">
        <is>
          <t>MEDIUM</t>
        </is>
      </c>
    </row>
    <row r="47">
      <c r="A47" t="inlineStr">
        <is>
          <t>EQ_000046</t>
        </is>
      </c>
      <c r="B47" t="inlineStr">
        <is>
          <t>KIA_EV2_FWD_LONG_RANGE_GT_LINE</t>
        </is>
      </c>
      <c r="C47" t="inlineStr">
        <is>
          <t>EQ_HEATPUMP</t>
        </is>
      </c>
      <c r="D47" t="inlineStr">
        <is>
          <t>STANDARD</t>
        </is>
      </c>
      <c r="E47" t="inlineStr">
        <is>
          <t>SRC_BOS_KIA_EV2_QUOTE</t>
        </is>
      </c>
      <c r="F47" t="inlineStr">
        <is>
          <t>MEDIUM</t>
        </is>
      </c>
    </row>
    <row r="48">
      <c r="A48" t="inlineStr">
        <is>
          <t>EQ_000047</t>
        </is>
      </c>
      <c r="B48" t="inlineStr">
        <is>
          <t>KIA_EV2_FWD_LONG_RANGE_GT_LINE</t>
        </is>
      </c>
      <c r="C48" t="inlineStr">
        <is>
          <t>EQ_WIRELESS_CHARGE</t>
        </is>
      </c>
      <c r="D48" t="inlineStr">
        <is>
          <t>STANDARD</t>
        </is>
      </c>
      <c r="E48" t="inlineStr">
        <is>
          <t>SRC_BOS_KIA_EV2_QUOTE</t>
        </is>
      </c>
      <c r="F48" t="inlineStr">
        <is>
          <t>MEDIUM</t>
        </is>
      </c>
    </row>
    <row r="49">
      <c r="A49" t="inlineStr">
        <is>
          <t>EQ_000048</t>
        </is>
      </c>
      <c r="B49" t="inlineStr">
        <is>
          <t>KIA_EV2_FWD_LONG_RANGE_GT_LINE</t>
        </is>
      </c>
      <c r="C49" t="inlineStr">
        <is>
          <t>EQ_AUDIO</t>
        </is>
      </c>
      <c r="D49" t="inlineStr">
        <is>
          <t>STANDARD</t>
        </is>
      </c>
      <c r="E49" t="inlineStr">
        <is>
          <t>SRC_BOS_KIA_EV2_QUOTE</t>
        </is>
      </c>
      <c r="F49" t="inlineStr">
        <is>
          <t>MEDIUM</t>
        </is>
      </c>
    </row>
    <row r="50">
      <c r="A50" t="inlineStr">
        <is>
          <t>EQ_000049</t>
        </is>
      </c>
      <c r="B50" t="inlineStr">
        <is>
          <t>KIA_EV2_FWD_LONG_RANGE_GT_LINE</t>
        </is>
      </c>
      <c r="C50" t="inlineStr">
        <is>
          <t>EQ_V2L</t>
        </is>
      </c>
      <c r="D50" t="inlineStr">
        <is>
          <t>STANDARD</t>
        </is>
      </c>
      <c r="E50" t="inlineStr">
        <is>
          <t>SRC_BOS_KIA_EV2_QUOTE</t>
        </is>
      </c>
      <c r="F50" t="inlineStr">
        <is>
          <t>MEDIUM</t>
        </is>
      </c>
    </row>
    <row r="51">
      <c r="A51" t="inlineStr">
        <is>
          <t>EQ_000050</t>
        </is>
      </c>
      <c r="B51" t="inlineStr">
        <is>
          <t>KIA_EV2_FWD_LONG_RANGE_GT_LINE</t>
        </is>
      </c>
      <c r="C51" t="inlineStr">
        <is>
          <t>EQ_VENT_SEATS</t>
        </is>
      </c>
      <c r="D51" t="inlineStr">
        <is>
          <t>STANDARD</t>
        </is>
      </c>
      <c r="E51" t="inlineStr">
        <is>
          <t>SRC_BOS_KIA_EV2_QUOTE</t>
        </is>
      </c>
      <c r="F51" t="inlineStr">
        <is>
          <t>MEDIUM</t>
        </is>
      </c>
    </row>
    <row r="52">
      <c r="A52" t="inlineStr">
        <is>
          <t>EQ_000051</t>
        </is>
      </c>
      <c r="B52" t="inlineStr">
        <is>
          <t>KIA_EV2_FWD_LONG_RANGE_GT_LINE</t>
        </is>
      </c>
      <c r="C52" t="inlineStr">
        <is>
          <t>EQ_AMBIENT</t>
        </is>
      </c>
      <c r="D52" t="inlineStr">
        <is>
          <t>STANDARD</t>
        </is>
      </c>
      <c r="E52" t="inlineStr">
        <is>
          <t>SRC_BOS_KIA_EV2_QUOTE</t>
        </is>
      </c>
      <c r="F52" t="inlineStr">
        <is>
          <t>MEDIUM</t>
        </is>
      </c>
    </row>
    <row r="53">
      <c r="A53" t="inlineStr">
        <is>
          <t>EQ_000052</t>
        </is>
      </c>
      <c r="B53" t="inlineStr">
        <is>
          <t>KIA_EV2_FWD_LONG_RANGE_GT_LINE</t>
        </is>
      </c>
      <c r="C53" t="inlineStr">
        <is>
          <t>EQ_APP</t>
        </is>
      </c>
      <c r="D53" t="inlineStr">
        <is>
          <t>STANDARD</t>
        </is>
      </c>
      <c r="E53" t="inlineStr">
        <is>
          <t>SRC_BOS_KIA_EV2_QUOTE</t>
        </is>
      </c>
      <c r="F53" t="inlineStr">
        <is>
          <t>MEDIUM</t>
        </is>
      </c>
    </row>
    <row r="54">
      <c r="A54" t="inlineStr">
        <is>
          <t>EQ_000053</t>
        </is>
      </c>
      <c r="B54" t="inlineStr">
        <is>
          <t>TESLA_MODEL_3_LONG_RANGE_RWD</t>
        </is>
      </c>
      <c r="C54" t="inlineStr">
        <is>
          <t>EQ_ACC</t>
        </is>
      </c>
      <c r="D54" t="inlineStr">
        <is>
          <t>STANDARD</t>
        </is>
      </c>
      <c r="E54" t="inlineStr">
        <is>
          <t>SRC_TESLA_NO_MODEL3_DESIGN</t>
        </is>
      </c>
      <c r="F54" t="inlineStr">
        <is>
          <t>HIGH</t>
        </is>
      </c>
    </row>
    <row r="55">
      <c r="A55" t="inlineStr">
        <is>
          <t>EQ_000054</t>
        </is>
      </c>
      <c r="B55" t="inlineStr">
        <is>
          <t>TESLA_MODEL_3_LONG_RANGE_RWD</t>
        </is>
      </c>
      <c r="C55" t="inlineStr">
        <is>
          <t>EQ_LANE_CENTER</t>
        </is>
      </c>
      <c r="D55" t="inlineStr">
        <is>
          <t>OPTIONAL</t>
        </is>
      </c>
      <c r="E55" t="inlineStr">
        <is>
          <t>SRC_TESLA_NO_MODEL3_DESIGN</t>
        </is>
      </c>
      <c r="F55" t="inlineStr">
        <is>
          <t>HIGH</t>
        </is>
      </c>
    </row>
    <row r="56">
      <c r="A56" t="inlineStr">
        <is>
          <t>EQ_000055</t>
        </is>
      </c>
      <c r="B56" t="inlineStr">
        <is>
          <t>TESLA_MODEL_3_LONG_RANGE_RWD</t>
        </is>
      </c>
      <c r="C56" t="inlineStr">
        <is>
          <t>EQ_REAR_CAMERA</t>
        </is>
      </c>
      <c r="D56" t="inlineStr">
        <is>
          <t>STANDARD</t>
        </is>
      </c>
      <c r="E56" t="inlineStr">
        <is>
          <t>SRC_TESLA_OWNERSMANUAL_MODEL3_NO</t>
        </is>
      </c>
      <c r="F56" t="inlineStr">
        <is>
          <t>HIGH</t>
        </is>
      </c>
    </row>
    <row r="57">
      <c r="A57" t="inlineStr">
        <is>
          <t>EQ_000056</t>
        </is>
      </c>
      <c r="B57" t="inlineStr">
        <is>
          <t>TESLA_MODEL_3_LONG_RANGE_RWD</t>
        </is>
      </c>
      <c r="C57" t="inlineStr">
        <is>
          <t>EQ_360</t>
        </is>
      </c>
      <c r="D57" t="inlineStr">
        <is>
          <t>UNAVAILABLE</t>
        </is>
      </c>
      <c r="E57" t="inlineStr">
        <is>
          <t>SRC_TESLA_OWNERSMANUAL_MODEL3_NO</t>
        </is>
      </c>
      <c r="F57" t="inlineStr">
        <is>
          <t>HIGH</t>
        </is>
      </c>
    </row>
    <row r="58">
      <c r="A58" t="inlineStr">
        <is>
          <t>EQ_000057</t>
        </is>
      </c>
      <c r="B58" t="inlineStr">
        <is>
          <t>TESLA_MODEL_3_LONG_RANGE_RWD</t>
        </is>
      </c>
      <c r="C58" t="inlineStr">
        <is>
          <t>EQ_OTA</t>
        </is>
      </c>
      <c r="D58" t="inlineStr">
        <is>
          <t>STANDARD</t>
        </is>
      </c>
      <c r="E58" t="inlineStr">
        <is>
          <t>SRC_ELECTREK_TESLA_AUTOPILOT_PAYWALL</t>
        </is>
      </c>
      <c r="F58" t="inlineStr">
        <is>
          <t>HIGH</t>
        </is>
      </c>
    </row>
    <row r="59">
      <c r="A59" t="inlineStr">
        <is>
          <t>EQ_000058</t>
        </is>
      </c>
      <c r="B59" t="inlineStr">
        <is>
          <t>RENAULT_4_TECHNO</t>
        </is>
      </c>
      <c r="C59" t="inlineStr">
        <is>
          <t>EQ_OTA</t>
        </is>
      </c>
      <c r="D59" t="inlineStr">
        <is>
          <t>STANDARD</t>
        </is>
      </c>
      <c r="E59" t="inlineStr">
        <is>
          <t>SRC_RENAULT_GROUP_FOTA</t>
        </is>
      </c>
      <c r="F59" t="inlineStr">
        <is>
          <t>HIGH</t>
        </is>
      </c>
    </row>
    <row r="60">
      <c r="A60" t="inlineStr">
        <is>
          <t>EQ_000059</t>
        </is>
      </c>
      <c r="B60" t="inlineStr">
        <is>
          <t>SKODA_ELROQ_SELECTION_60</t>
        </is>
      </c>
      <c r="C60" t="inlineStr">
        <is>
          <t>EQ_OTA</t>
        </is>
      </c>
      <c r="D60" t="inlineStr">
        <is>
          <t>OPTIONAL</t>
        </is>
      </c>
      <c r="E60" t="inlineStr">
        <is>
          <t>SRC_CAREXPERT_ELROQ_60SELECT</t>
        </is>
      </c>
      <c r="F60" t="inlineStr">
        <is>
          <t>MEDIUM</t>
        </is>
      </c>
    </row>
    <row r="61">
      <c r="A61" t="inlineStr">
        <is>
          <t>EQ_000060</t>
        </is>
      </c>
      <c r="B61" t="inlineStr">
        <is>
          <t>SKODA_ELROQ_SELECTION_60</t>
        </is>
      </c>
      <c r="C61" t="inlineStr">
        <is>
          <t>EQ_360</t>
        </is>
      </c>
      <c r="D61" t="inlineStr">
        <is>
          <t>UNAVAILABLE</t>
        </is>
      </c>
      <c r="E61" t="inlineStr">
        <is>
          <t>SRC_CAREXPERT_ELROQ_60SELECT</t>
        </is>
      </c>
      <c r="F61" t="inlineStr">
        <is>
          <t>HIGH</t>
        </is>
      </c>
    </row>
    <row r="62">
      <c r="A62" t="inlineStr">
        <is>
          <t>EQ_000061</t>
        </is>
      </c>
      <c r="B62" t="inlineStr">
        <is>
          <t>VOLVO_EX30_P8_AWD</t>
        </is>
      </c>
      <c r="C62" t="inlineStr">
        <is>
          <t>EQ_OTA</t>
        </is>
      </c>
      <c r="D62" t="inlineStr">
        <is>
          <t>STANDARD</t>
        </is>
      </c>
      <c r="E62" t="inlineStr">
        <is>
          <t>SRC_WARDSAUTO_VOLVO_OTA</t>
        </is>
      </c>
      <c r="F62" t="inlineStr">
        <is>
          <t>HIGH</t>
        </is>
      </c>
    </row>
    <row r="63">
      <c r="A63" t="inlineStr">
        <is>
          <t>EQ_000062</t>
        </is>
      </c>
      <c r="B63" t="inlineStr">
        <is>
          <t>VOLVO_EX30_P8_AWD</t>
        </is>
      </c>
      <c r="C63" t="inlineStr">
        <is>
          <t>EQ_360</t>
        </is>
      </c>
      <c r="D63" t="inlineStr">
        <is>
          <t>UNAVAILABLE</t>
        </is>
      </c>
      <c r="E63" t="inlineStr">
        <is>
          <t>SRC_ELBIL_VOLVO_EX30_TRIM</t>
        </is>
      </c>
      <c r="F63" t="inlineStr">
        <is>
          <t>HIGH</t>
        </is>
      </c>
    </row>
  </sheetData>
  <autoFilter ref="A1:F1"/>
  <dataValidations count="2">
    <dataValidation sqref="D2:D1048576" showDropDown="0" showInputMessage="0" showErrorMessage="1" allowBlank="1" type="list">
      <formula1>Enum_Availability</formula1>
    </dataValidation>
    <dataValidation sqref="F2:F1048576" showDropDown="0" showInputMessage="0" showErrorMessage="1" allowBlank="1" type="list">
      <formula1>Enum_Confidence</formula1>
    </dataValidation>
  </dataValidations>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F21"/>
  <sheetViews>
    <sheetView showGridLines="1" workbookViewId="0">
      <pane ySplit="1" topLeftCell="A2" activePane="bottomLeft" state="frozen"/>
      <selection pane="bottomLeft" activeCell="A2" sqref="A2"/>
    </sheetView>
  </sheetViews>
  <sheetFormatPr baseColWidth="8" defaultRowHeight="15"/>
  <cols>
    <col width="28" customWidth="1" min="1" max="1"/>
    <col width="24" customWidth="1" min="2" max="2"/>
    <col width="32" customWidth="1" min="3" max="3"/>
    <col width="60" customWidth="1" min="4" max="4"/>
    <col width="14" customWidth="1" min="5" max="5"/>
    <col width="60" customWidth="1" min="6" max="6"/>
  </cols>
  <sheetData>
    <row r="1" ht="22" customHeight="1">
      <c r="A1" s="1" t="inlineStr">
        <is>
          <t>EquipmentDefinitionID</t>
        </is>
      </c>
      <c r="B1" s="1" t="inlineStr">
        <is>
          <t>Category</t>
        </is>
      </c>
      <c r="C1" s="1" t="inlineStr">
        <is>
          <t>Name</t>
        </is>
      </c>
      <c r="D1" s="1" t="inlineStr">
        <is>
          <t>Description</t>
        </is>
      </c>
      <c r="E1" s="1" t="inlineStr">
        <is>
          <t>Weighted</t>
        </is>
      </c>
      <c r="F1" s="1" t="inlineStr">
        <is>
          <t>Notes</t>
        </is>
      </c>
    </row>
    <row r="2">
      <c r="A2" t="inlineStr">
        <is>
          <t>EQ_ACC</t>
        </is>
      </c>
      <c r="B2" t="inlineStr">
        <is>
          <t>Core tech</t>
        </is>
      </c>
      <c r="C2" t="inlineStr">
        <is>
          <t>Adaptive cruise control</t>
        </is>
      </c>
      <c r="E2" t="inlineStr">
        <is>
          <t>TRUE</t>
        </is>
      </c>
      <c r="F2" t="inlineStr">
        <is>
          <t>Må-krav, men kvalitet scores separat.</t>
        </is>
      </c>
    </row>
    <row r="3">
      <c r="A3" t="inlineStr">
        <is>
          <t>EQ_REAR_CAMERA</t>
        </is>
      </c>
      <c r="B3" t="inlineStr">
        <is>
          <t>Core tech</t>
        </is>
      </c>
      <c r="C3" t="inlineStr">
        <is>
          <t>Ryggekamera</t>
        </is>
      </c>
      <c r="E3" t="inlineStr">
        <is>
          <t>TRUE</t>
        </is>
      </c>
      <c r="F3" t="inlineStr">
        <is>
          <t>Minimumskrav for parkering.</t>
        </is>
      </c>
    </row>
    <row r="4">
      <c r="A4" t="inlineStr">
        <is>
          <t>EQ_360</t>
        </is>
      </c>
      <c r="B4" t="inlineStr">
        <is>
          <t>Core tech</t>
        </is>
      </c>
      <c r="C4" t="inlineStr">
        <is>
          <t>360-kamera</t>
        </is>
      </c>
      <c r="E4" t="inlineStr">
        <is>
          <t>TRUE</t>
        </is>
      </c>
      <c r="F4" t="inlineStr">
        <is>
          <t>Høy praktisk verdi i garasje/parkering.</t>
        </is>
      </c>
    </row>
    <row r="5">
      <c r="A5" t="inlineStr">
        <is>
          <t>EQ_CARPLAY</t>
        </is>
      </c>
      <c r="B5" t="inlineStr">
        <is>
          <t>Core tech</t>
        </is>
      </c>
      <c r="C5" t="inlineStr">
        <is>
          <t>Apple CarPlay</t>
        </is>
      </c>
      <c r="E5" t="inlineStr">
        <is>
          <t>TRUE</t>
        </is>
      </c>
      <c r="F5" t="inlineStr">
        <is>
          <t>Viktig mobilintegrasjon.</t>
        </is>
      </c>
    </row>
    <row r="6">
      <c r="A6" t="inlineStr">
        <is>
          <t>EQ_OTA</t>
        </is>
      </c>
      <c r="B6" t="inlineStr">
        <is>
          <t>Core tech</t>
        </is>
      </c>
      <c r="C6" t="inlineStr">
        <is>
          <t>OTA-oppdateringer</t>
        </is>
      </c>
      <c r="E6" t="inlineStr">
        <is>
          <t>TRUE</t>
        </is>
      </c>
      <c r="F6" t="inlineStr">
        <is>
          <t>Viktig for teknologisk aldring.</t>
        </is>
      </c>
    </row>
    <row r="7">
      <c r="A7" t="inlineStr">
        <is>
          <t>EQ_NAV_CHARGE</t>
        </is>
      </c>
      <c r="B7" t="inlineStr">
        <is>
          <t>Core tech</t>
        </is>
      </c>
      <c r="C7" t="inlineStr">
        <is>
          <t>Ladeplanlegging i navigasjon</t>
        </is>
      </c>
      <c r="E7" t="inlineStr">
        <is>
          <t>TRUE</t>
        </is>
      </c>
      <c r="F7" t="inlineStr">
        <is>
          <t>Vurder kvalitet og integrasjon.</t>
        </is>
      </c>
    </row>
    <row r="8">
      <c r="A8" t="inlineStr">
        <is>
          <t>EQ_MATRIX</t>
        </is>
      </c>
      <c r="B8" t="inlineStr">
        <is>
          <t>Safety/comfort</t>
        </is>
      </c>
      <c r="C8" t="inlineStr">
        <is>
          <t>Matrix/adaptive LED</t>
        </is>
      </c>
      <c r="E8" t="inlineStr">
        <is>
          <t>TRUE</t>
        </is>
      </c>
      <c r="F8" t="inlineStr">
        <is>
          <t>Kan gi livskvalitet, særlig vinter/mørke.</t>
        </is>
      </c>
    </row>
    <row r="9">
      <c r="A9" t="inlineStr">
        <is>
          <t>EQ_HEATPUMP</t>
        </is>
      </c>
      <c r="B9" t="inlineStr">
        <is>
          <t>Efficiency</t>
        </is>
      </c>
      <c r="C9" t="inlineStr">
        <is>
          <t>Varmepumpe</t>
        </is>
      </c>
      <c r="E9" t="inlineStr">
        <is>
          <t>TRUE</t>
        </is>
      </c>
      <c r="F9" t="inlineStr">
        <is>
          <t>Viktig i nordisk klima.</t>
        </is>
      </c>
    </row>
    <row r="10">
      <c r="A10" t="inlineStr">
        <is>
          <t>EQ_LANE_CENTER</t>
        </is>
      </c>
      <c r="B10" t="inlineStr">
        <is>
          <t>Driver assist</t>
        </is>
      </c>
      <c r="C10" t="inlineStr">
        <is>
          <t>Lane centering</t>
        </is>
      </c>
      <c r="E10" t="inlineStr">
        <is>
          <t>TRUE</t>
        </is>
      </c>
      <c r="F10" t="inlineStr">
        <is>
          <t>Kvalitet viktigere enn navn.</t>
        </is>
      </c>
    </row>
    <row r="11">
      <c r="A11" t="inlineStr">
        <is>
          <t>EQ_APP</t>
        </is>
      </c>
      <c r="B11" t="inlineStr">
        <is>
          <t>Core tech</t>
        </is>
      </c>
      <c r="C11" t="inlineStr">
        <is>
          <t>Bil-app</t>
        </is>
      </c>
      <c r="E11" t="inlineStr">
        <is>
          <t>TRUE</t>
        </is>
      </c>
      <c r="F11" t="inlineStr">
        <is>
          <t>Forvarming, lading, status.</t>
        </is>
      </c>
    </row>
    <row r="12">
      <c r="A12" t="inlineStr">
        <is>
          <t>EQ_DIGITAL_KEY</t>
        </is>
      </c>
      <c r="B12" t="inlineStr">
        <is>
          <t>Convenience</t>
        </is>
      </c>
      <c r="C12" t="inlineStr">
        <is>
          <t>Digital nøkkel</t>
        </is>
      </c>
      <c r="E12" t="inlineStr">
        <is>
          <t>FALSE</t>
        </is>
      </c>
      <c r="F12" t="inlineStr">
        <is>
          <t>Registreres, lav vekt.</t>
        </is>
      </c>
    </row>
    <row r="13">
      <c r="A13" t="inlineStr">
        <is>
          <t>EQ_HUD</t>
        </is>
      </c>
      <c r="B13" t="inlineStr">
        <is>
          <t>Convenience</t>
        </is>
      </c>
      <c r="C13" t="inlineStr">
        <is>
          <t>Head-up display</t>
        </is>
      </c>
      <c r="E13" t="inlineStr">
        <is>
          <t>FALSE</t>
        </is>
      </c>
      <c r="F13" t="inlineStr">
        <is>
          <t>Kan være positivt, men ikke sentralt.</t>
        </is>
      </c>
    </row>
    <row r="14">
      <c r="A14" t="inlineStr">
        <is>
          <t>EQ_AUDIO</t>
        </is>
      </c>
      <c r="B14" t="inlineStr">
        <is>
          <t>Comfort</t>
        </is>
      </c>
      <c r="C14" t="inlineStr">
        <is>
          <t>Premium lyd</t>
        </is>
      </c>
      <c r="E14" t="inlineStr">
        <is>
          <t>FALSE</t>
        </is>
      </c>
      <c r="F14" t="inlineStr">
        <is>
          <t>Hyggelig, men ikke tungt vektet.</t>
        </is>
      </c>
    </row>
    <row r="15">
      <c r="A15" t="inlineStr">
        <is>
          <t>EQ_AMBIENT</t>
        </is>
      </c>
      <c r="B15" t="inlineStr">
        <is>
          <t>Comfort</t>
        </is>
      </c>
      <c r="C15" t="inlineStr">
        <is>
          <t>Ambientebelysning</t>
        </is>
      </c>
      <c r="E15" t="inlineStr">
        <is>
          <t>FALSE</t>
        </is>
      </c>
      <c r="F15" t="inlineStr">
        <is>
          <t>Listes i utstyr, lav/ingen vekt.</t>
        </is>
      </c>
    </row>
    <row r="16">
      <c r="A16" t="inlineStr">
        <is>
          <t>EQ_POWER_TAILGATE</t>
        </is>
      </c>
      <c r="B16" t="inlineStr">
        <is>
          <t>Practical</t>
        </is>
      </c>
      <c r="C16" t="inlineStr">
        <is>
          <t>Elektrisk bakluke</t>
        </is>
      </c>
      <c r="E16" t="inlineStr">
        <is>
          <t>FALSE</t>
        </is>
      </c>
      <c r="F16" t="inlineStr">
        <is>
          <t>Livskvalitet, ikke kjernekrav.</t>
        </is>
      </c>
    </row>
    <row r="17">
      <c r="A17" t="inlineStr">
        <is>
          <t>EQ_VENT_SEATS</t>
        </is>
      </c>
      <c r="B17" t="inlineStr">
        <is>
          <t>Comfort</t>
        </is>
      </c>
      <c r="C17" t="inlineStr">
        <is>
          <t>Ventilerte seter</t>
        </is>
      </c>
      <c r="E17" t="inlineStr">
        <is>
          <t>FALSE</t>
        </is>
      </c>
      <c r="F17" t="inlineStr">
        <is>
          <t>Registreres.</t>
        </is>
      </c>
    </row>
    <row r="18">
      <c r="A18" t="inlineStr">
        <is>
          <t>EQ_PANO</t>
        </is>
      </c>
      <c r="B18" t="inlineStr">
        <is>
          <t>Comfort</t>
        </is>
      </c>
      <c r="C18" t="inlineStr">
        <is>
          <t>Panoramatak</t>
        </is>
      </c>
      <c r="E18" t="inlineStr">
        <is>
          <t>FALSE</t>
        </is>
      </c>
      <c r="F18" t="inlineStr">
        <is>
          <t>Registreres, lav vekt.</t>
        </is>
      </c>
    </row>
    <row r="19">
      <c r="A19" t="inlineStr">
        <is>
          <t>EQ_V2L</t>
        </is>
      </c>
      <c r="B19" t="inlineStr">
        <is>
          <t>Utility</t>
        </is>
      </c>
      <c r="C19" t="inlineStr">
        <is>
          <t>Vehicle-to-Load</t>
        </is>
      </c>
      <c r="E19" t="inlineStr">
        <is>
          <t>FALSE</t>
        </is>
      </c>
      <c r="F19" t="inlineStr">
        <is>
          <t>Nyttig, men ikke sentralt.</t>
        </is>
      </c>
    </row>
    <row r="20">
      <c r="A20" t="inlineStr">
        <is>
          <t>EQ_TOWBAR</t>
        </is>
      </c>
      <c r="B20" t="inlineStr">
        <is>
          <t>Practical</t>
        </is>
      </c>
      <c r="C20" t="inlineStr">
        <is>
          <t>Hengerfeste</t>
        </is>
      </c>
      <c r="E20" t="inlineStr">
        <is>
          <t>FALSE</t>
        </is>
      </c>
      <c r="F20" t="inlineStr">
        <is>
          <t>Ikke kritisk basert på tidligere vurdering.</t>
        </is>
      </c>
    </row>
    <row r="21">
      <c r="A21" t="inlineStr">
        <is>
          <t>EQ_WIRELESS_CHARGE</t>
        </is>
      </c>
      <c r="B21" t="inlineStr">
        <is>
          <t>Convenience</t>
        </is>
      </c>
      <c r="C21" t="inlineStr">
        <is>
          <t>Trådløs mobillading</t>
        </is>
      </c>
      <c r="E21" t="inlineStr">
        <is>
          <t>FALSE</t>
        </is>
      </c>
      <c r="F21" t="inlineStr">
        <is>
          <t>Avhenger av implementasjon.</t>
        </is>
      </c>
    </row>
  </sheetData>
  <autoFilter ref="A1:F21"/>
  <dataValidations count="1">
    <dataValidation sqref="E2:E1048576" showDropDown="0" showInputMessage="0" showErrorMessage="1" allowBlank="1" type="list">
      <formula1>Validation_Boolean</formula1>
    </dataValidation>
  </dataValidations>
  <pageMargins left="0.7" right="0.7" top="0.75" bottom="0.75" header="0.3" footer="0.3"/>
</worksheet>
</file>

<file path=xl/worksheets/sheet8.xml><?xml version="1.0" encoding="utf-8"?>
<worksheet xmlns="http://schemas.openxmlformats.org/spreadsheetml/2006/main">
  <sheetPr>
    <outlinePr summaryBelow="1" summaryRight="1"/>
    <pageSetUpPr/>
  </sheetPr>
  <dimension ref="A1:I96"/>
  <sheetViews>
    <sheetView showGridLines="1" workbookViewId="0">
      <pane ySplit="1" topLeftCell="A2" activePane="bottomLeft" state="frozen"/>
      <selection pane="bottomLeft" activeCell="A2" sqref="A2"/>
    </sheetView>
  </sheetViews>
  <sheetFormatPr baseColWidth="8" defaultRowHeight="15"/>
  <cols>
    <col width="20" customWidth="1" min="1" max="1"/>
    <col width="22" customWidth="1" min="2" max="2"/>
    <col width="24" customWidth="1" min="3" max="3"/>
    <col width="24" customWidth="1" min="4" max="4"/>
    <col width="12" customWidth="1" min="5" max="5"/>
    <col width="16" customWidth="1" min="6" max="6"/>
    <col width="72" customWidth="1" min="7" max="7"/>
    <col width="20" customWidth="1" min="8" max="8"/>
    <col width="20" customWidth="1" min="9" max="9"/>
  </cols>
  <sheetData>
    <row r="1" ht="22" customHeight="1">
      <c r="A1" s="1" t="inlineStr">
        <is>
          <t>ReviewID</t>
        </is>
      </c>
      <c r="B1" s="1" t="inlineStr">
        <is>
          <t>VehicleID</t>
        </is>
      </c>
      <c r="C1" s="1" t="inlineStr">
        <is>
          <t>ConfigurationID</t>
        </is>
      </c>
      <c r="D1" s="1" t="inlineStr">
        <is>
          <t>Category</t>
        </is>
      </c>
      <c r="E1" s="1" t="inlineStr">
        <is>
          <t>Score</t>
        </is>
      </c>
      <c r="F1" s="1" t="inlineStr">
        <is>
          <t>Confidence</t>
        </is>
      </c>
      <c r="G1" s="1" t="inlineStr">
        <is>
          <t>Summary</t>
        </is>
      </c>
      <c r="H1" s="1" t="inlineStr">
        <is>
          <t>EvidenceID</t>
        </is>
      </c>
      <c r="I1" s="1" t="inlineStr">
        <is>
          <t>FrameworkVersion</t>
        </is>
      </c>
    </row>
    <row r="2">
      <c r="A2" t="inlineStr">
        <is>
          <t>REV_000001</t>
        </is>
      </c>
      <c r="C2" t="inlineStr">
        <is>
          <t>TESLA_MODEL_3_LONG_RANGE_RWD</t>
        </is>
      </c>
      <c r="D2" t="inlineStr">
        <is>
          <t>Kjøreopplevelse</t>
        </is>
      </c>
      <c r="E2" t="n">
        <v>4</v>
      </c>
      <c r="F2" t="inlineStr">
        <is>
          <t>HIGH</t>
        </is>
      </c>
      <c r="G2" t="inlineStr">
        <is>
          <t>To uavhengige profesjonelle tester (Motor.no, Cars.com) bekrefter betydelig redusert kupestoy i den oppgraderte Model 3-plattformen sammenlignet med tidligere arsmodeller; dekkstoy fremheves som blant de beste i klassen. Testet pa Long Range AWD/Long Range, men deler karosseri og lydisolasjon med Long Range bakhjulsdrift. [Kriterium W001]</t>
        </is>
      </c>
      <c r="H2" t="inlineStr">
        <is>
          <t>EV_000001,EV_000002</t>
        </is>
      </c>
      <c r="I2" t="inlineStr">
        <is>
          <t>1.2</t>
        </is>
      </c>
    </row>
    <row r="3">
      <c r="A3" t="inlineStr">
        <is>
          <t>REV_000002</t>
        </is>
      </c>
      <c r="C3" t="inlineStr">
        <is>
          <t>TESLA_MODEL_3_LONG_RANGE_RWD</t>
        </is>
      </c>
      <c r="D3" t="inlineStr">
        <is>
          <t>Kjøreopplevelse</t>
        </is>
      </c>
      <c r="E3" t="n">
        <v>4</v>
      </c>
      <c r="F3" t="inlineStr">
        <is>
          <t>MEDIUM</t>
        </is>
      </c>
      <c r="G3" t="inlineStr">
        <is>
          <t>Motor.no gir 8/10 for komfort og beskriver fjaeringen som behagelig ved hoyere hastighet; Cars.com bekrefter at det ikke oppstar bra stot takket vaere frekvensavhengige dempere. Testet pa AWD/Long Range-varianter; RWD-spesifikk fjaeringskarakter er ikke uavhengig bekreftet. [Kriterium W002]</t>
        </is>
      </c>
      <c r="H3" t="inlineStr">
        <is>
          <t>EV_000003,EV_000004</t>
        </is>
      </c>
      <c r="I3" t="inlineStr">
        <is>
          <t>1.2</t>
        </is>
      </c>
    </row>
    <row r="4">
      <c r="A4" t="inlineStr">
        <is>
          <t>REV_000003</t>
        </is>
      </c>
      <c r="C4" t="inlineStr">
        <is>
          <t>TESLA_MODEL_3_LONG_RANGE_RWD</t>
        </is>
      </c>
      <c r="D4" t="inlineStr">
        <is>
          <t>Kjøreopplevelse</t>
        </is>
      </c>
      <c r="E4" t="n">
        <v>3</v>
      </c>
      <c r="F4" t="inlineStr">
        <is>
          <t>MEDIUM</t>
        </is>
      </c>
      <c r="G4" t="inlineStr">
        <is>
          <t>Motor.no rapporterer suveren sikt fremover, men darlig sikt bakover - sistnevnte er en reell praktisk ulempe ved manovrering. Kun en uavhengig kilde funnet. [Kriterium W003]</t>
        </is>
      </c>
      <c r="H4" t="inlineStr">
        <is>
          <t>EV_000006</t>
        </is>
      </c>
      <c r="I4" t="inlineStr">
        <is>
          <t>1.2</t>
        </is>
      </c>
    </row>
    <row r="5">
      <c r="A5" t="inlineStr">
        <is>
          <t>REV_000004</t>
        </is>
      </c>
      <c r="C5" t="inlineStr">
        <is>
          <t>TESLA_MODEL_3_LONG_RANGE_RWD</t>
        </is>
      </c>
      <c r="D5" t="inlineStr">
        <is>
          <t>Kjøreopplevelse</t>
        </is>
      </c>
      <c r="E5" t="n">
        <v>4</v>
      </c>
      <c r="F5" t="inlineStr">
        <is>
          <t>MEDIUM</t>
        </is>
      </c>
      <c r="G5" t="inlineStr">
        <is>
          <t>Motor.no beskriver direkte og relativt tung styrefolelse med umiddelbar respons, og gir 10/10 for kjoreegenskaper. Kun en uavhengig kilde funnet. [Kriterium W004]</t>
        </is>
      </c>
      <c r="H5" t="inlineStr">
        <is>
          <t>EV_000005</t>
        </is>
      </c>
      <c r="I5" t="inlineStr">
        <is>
          <t>1.2</t>
        </is>
      </c>
    </row>
    <row r="6">
      <c r="A6" t="inlineStr">
        <is>
          <t>REV_000005</t>
        </is>
      </c>
      <c r="C6" t="inlineStr">
        <is>
          <t>TESLA_MODEL_3_LONG_RANGE_RWD</t>
        </is>
      </c>
      <c r="D6" t="inlineStr">
        <is>
          <t>Teknologi</t>
        </is>
      </c>
      <c r="E6" t="n">
        <v>3</v>
      </c>
      <c r="F6" t="inlineStr">
        <is>
          <t>MEDIUM</t>
        </is>
      </c>
      <c r="G6" t="inlineStr">
        <is>
          <t>Cars.com dokumenterer konkrete brukssvakheter: bereringsbaserte blinklysknapper som til tider ikke reagerte, og at telefonnokkelen av og til ikke registrerte foreren. Skjermavhengig betjening omtales som et bevisst, men diskutabelt designvalg. Kun en uavhengig kilde funnet. [Kriterium W005]</t>
        </is>
      </c>
      <c r="H6" t="inlineStr">
        <is>
          <t>EV_000007</t>
        </is>
      </c>
      <c r="I6" t="inlineStr">
        <is>
          <t>1.2</t>
        </is>
      </c>
    </row>
    <row r="7">
      <c r="A7" t="inlineStr">
        <is>
          <t>REV_000006</t>
        </is>
      </c>
      <c r="C7" t="inlineStr">
        <is>
          <t>TESLA_MODEL_3_LONG_RANGE_RWD</t>
        </is>
      </c>
      <c r="D7" t="inlineStr">
        <is>
          <t>Teknologi</t>
        </is>
      </c>
      <c r="E7" t="n">
        <v>1</v>
      </c>
      <c r="F7" t="inlineStr">
        <is>
          <t>MEDIUM</t>
        </is>
      </c>
      <c r="G7" t="inlineStr">
        <is>
          <t>MacRumors bekrefter at Apple CarPlay per undersokelsestidspunkt (juli 2026) fortsatt ikke stottes pa noen Tesla-modell, inkludert Model 3. Tesla har varslet tradlos CarPlay "i lopet av kommende maneder" (kunngjort november 2025), men uten bekreftet lanseringsdato. [Kriterium W007]</t>
        </is>
      </c>
      <c r="H7" t="inlineStr">
        <is>
          <t>EV_000008</t>
        </is>
      </c>
      <c r="I7" t="inlineStr">
        <is>
          <t>1.2</t>
        </is>
      </c>
    </row>
    <row r="8">
      <c r="A8" t="inlineStr">
        <is>
          <t>REV_000007</t>
        </is>
      </c>
      <c r="C8" t="inlineStr">
        <is>
          <t>TESLA_MODEL_3_LONG_RANGE_RWD</t>
        </is>
      </c>
      <c r="D8" t="inlineStr">
        <is>
          <t>Rekkevidde/lading</t>
        </is>
      </c>
      <c r="E8" t="n">
        <v>4</v>
      </c>
      <c r="F8" t="inlineStr">
        <is>
          <t>MEDIUM</t>
        </is>
      </c>
      <c r="G8" t="inlineStr">
        <is>
          <t>Offisiell spesifikasjon viser 250 kW DC-hurtiglading (opptil 282 km pa 15 minutter) og 13,6 kWh/100km forbruk for denne konfigurasjonen - godt over minimumsbehovet gitt lav estimert arlig kjorelengde (~8000 km/ar), men ladehastighet er uansett lavt vektet i denne kriteriemodellen. [Kriterium W020]</t>
        </is>
      </c>
      <c r="H8" t="inlineStr">
        <is>
          <t>EV_000009,EV_000010</t>
        </is>
      </c>
      <c r="I8" t="inlineStr">
        <is>
          <t>1.2</t>
        </is>
      </c>
    </row>
    <row r="9">
      <c r="A9" t="inlineStr">
        <is>
          <t>REV_000008</t>
        </is>
      </c>
      <c r="C9" t="inlineStr">
        <is>
          <t>RENAULT_4_TECHNO</t>
        </is>
      </c>
      <c r="D9" t="inlineStr">
        <is>
          <t>Kjøreopplevelse</t>
        </is>
      </c>
      <c r="E9" t="n">
        <v>4</v>
      </c>
      <c r="F9" t="inlineStr">
        <is>
          <t>MEDIUM</t>
        </is>
      </c>
      <c r="G9" t="inlineStr">
        <is>
          <t>RAC Drive rapporterer at kupeen er "impressively quiet" med lite vind- og veistoy selv over lange avstander. Kun en uavhengig kilde funnet; Motor.no kommenterte ikke stoyniva eksplisitt. [Kriterium W001]</t>
        </is>
      </c>
      <c r="H9" t="inlineStr">
        <is>
          <t>EV_000011</t>
        </is>
      </c>
      <c r="I9" t="inlineStr">
        <is>
          <t>1.4</t>
        </is>
      </c>
    </row>
    <row r="10">
      <c r="A10" t="inlineStr">
        <is>
          <t>REV_000009</t>
        </is>
      </c>
      <c r="C10" t="inlineStr">
        <is>
          <t>RENAULT_4_TECHNO</t>
        </is>
      </c>
      <c r="D10" t="inlineStr">
        <is>
          <t>Kjøreopplevelse</t>
        </is>
      </c>
      <c r="E10" t="n">
        <v>3</v>
      </c>
      <c r="F10" t="inlineStr">
        <is>
          <t>LOW</t>
        </is>
      </c>
      <c r="G10" t="inlineStr">
        <is>
          <t>Motoriserende funn: Motor.no rapporterer at bilen "tramper urolig rundt pa ujevn vei" med ubehagelig humpete kjoring pa harde skjoter, mens RAC Drive pa samme drivlinje (150 Comfort Range) rapporterer at fjaeringen "smothers potholes and speed bumps quietly." De to profesjonelle kildene motsier hverandre direkte om komfort - dokumentert som uenighet, ikke lost ved a velge en foretrukket verdi (jf. rammeverkets prinsipp om a dokumentere uenighet mellom autoritative kilder). [Kriterium W002]</t>
        </is>
      </c>
      <c r="H10" t="inlineStr">
        <is>
          <t>EV_000012,EV_000013</t>
        </is>
      </c>
      <c r="I10" t="inlineStr">
        <is>
          <t>1.4</t>
        </is>
      </c>
    </row>
    <row r="11">
      <c r="A11" t="inlineStr">
        <is>
          <t>REV_000010</t>
        </is>
      </c>
      <c r="C11" t="inlineStr">
        <is>
          <t>RENAULT_4_TECHNO</t>
        </is>
      </c>
      <c r="D11" t="inlineStr">
        <is>
          <t>Kjøreopplevelse</t>
        </is>
      </c>
      <c r="E11" t="n">
        <v>3</v>
      </c>
      <c r="F11" t="inlineStr">
        <is>
          <t>MEDIUM</t>
        </is>
      </c>
      <c r="G11" t="inlineStr">
        <is>
          <t>Motor.no rapporterer at en 180cm passasjer sa vidt far plass bak en like hoy forer i baksetet, og at pedalplassering er trang - en reell praktisk ulempe. Samtidig gir hoyere sittestilling bedre oversikt over omgivelsene. Blandet funn fra en uavhengig kilde. [Kriterium W003]</t>
        </is>
      </c>
      <c r="H11" t="inlineStr">
        <is>
          <t>EV_000014</t>
        </is>
      </c>
      <c r="I11" t="inlineStr">
        <is>
          <t>1.4</t>
        </is>
      </c>
    </row>
    <row r="12">
      <c r="A12" t="inlineStr">
        <is>
          <t>REV_000011</t>
        </is>
      </c>
      <c r="C12" t="inlineStr">
        <is>
          <t>RENAULT_4_TECHNO</t>
        </is>
      </c>
      <c r="D12" t="inlineStr">
        <is>
          <t>Kjøreopplevelse</t>
        </is>
      </c>
      <c r="E12" t="n">
        <v>4</v>
      </c>
      <c r="F12" t="inlineStr">
        <is>
          <t>MEDIUM</t>
        </is>
      </c>
      <c r="G12" t="inlineStr">
        <is>
          <t>RAC Drive beskriver styringen som "accurate and well weighted, making it easy to place into a corner." Kun en uavhengig kilde funnet. [Kriterium W004]</t>
        </is>
      </c>
      <c r="H12" t="inlineStr">
        <is>
          <t>EV_000015</t>
        </is>
      </c>
      <c r="I12" t="inlineStr">
        <is>
          <t>1.4</t>
        </is>
      </c>
    </row>
    <row r="13">
      <c r="A13" t="inlineStr">
        <is>
          <t>REV_000012</t>
        </is>
      </c>
      <c r="C13" t="inlineStr">
        <is>
          <t>RENAULT_4_TECHNO</t>
        </is>
      </c>
      <c r="D13" t="inlineStr">
        <is>
          <t>Teknologi</t>
        </is>
      </c>
      <c r="E13" t="n">
        <v>4</v>
      </c>
      <c r="F13" t="inlineStr">
        <is>
          <t>MEDIUM</t>
        </is>
      </c>
      <c r="G13" t="inlineStr">
        <is>
          <t>Motor.no beskriver Google-baserte infotainmentsystemet som "blant de bedre," med stemmestyring og ruteplanlegging inkludert automatisk forvarming av batteriet som fungerer "stralende." Kun en uavhengig kilde funnet. [Kriterium W005]</t>
        </is>
      </c>
      <c r="H13" t="inlineStr">
        <is>
          <t>EV_000016</t>
        </is>
      </c>
      <c r="I13" t="inlineStr">
        <is>
          <t>1.4</t>
        </is>
      </c>
    </row>
    <row r="14">
      <c r="A14" t="inlineStr">
        <is>
          <t>REV_000013</t>
        </is>
      </c>
      <c r="C14" t="inlineStr">
        <is>
          <t>RENAULT_4_TECHNO</t>
        </is>
      </c>
      <c r="D14" t="inlineStr">
        <is>
          <t>Teknologi</t>
        </is>
      </c>
      <c r="E14" t="n">
        <v>5</v>
      </c>
      <c r="F14" t="inlineStr">
        <is>
          <t>HIGH</t>
        </is>
      </c>
      <c r="G14" t="inlineStr">
        <is>
          <t>Apple CarPlay er standard pa alle versjoner av Renault 4, bekreftet bade av offisiell Renault-spesifikasjon og uavhengig av RAC Drive ("comes on all models"). Motsatt funn av Tesla Model 3 Long Range RWD, som mangler CarPlay-stotte. [Kriterium W007]</t>
        </is>
      </c>
      <c r="H14" t="inlineStr">
        <is>
          <t>EV_000017</t>
        </is>
      </c>
      <c r="I14" t="inlineStr">
        <is>
          <t>1.4</t>
        </is>
      </c>
    </row>
    <row r="15">
      <c r="A15" t="inlineStr">
        <is>
          <t>REV_000014</t>
        </is>
      </c>
      <c r="C15" t="inlineStr">
        <is>
          <t>RENAULT_4_TECHNO</t>
        </is>
      </c>
      <c r="D15" t="inlineStr">
        <is>
          <t>Rekkevidde/lading</t>
        </is>
      </c>
      <c r="E15" t="n">
        <v>4</v>
      </c>
      <c r="F15" t="inlineStr">
        <is>
          <t>MEDIUM</t>
        </is>
      </c>
      <c r="G15" t="inlineStr">
        <is>
          <t>Offisiell prisliste viser 100 kW DC-hurtiglading (15-80% pa ca. 30 minutter) og 15,5 kWh/100km forbruk for Techno (52 kWh Comfort Range) - solid ladeeffekt for segmentet, godt over minimumsbehovet gitt lav estimert arlig kjorelengde. [Kriterium W020]</t>
        </is>
      </c>
      <c r="H15" t="inlineStr">
        <is>
          <t>EV_000018,EV_000019</t>
        </is>
      </c>
      <c r="I15" t="inlineStr">
        <is>
          <t>1.4</t>
        </is>
      </c>
    </row>
    <row r="16">
      <c r="A16" t="inlineStr">
        <is>
          <t>REV_000015</t>
        </is>
      </c>
      <c r="C16" t="inlineStr">
        <is>
          <t>SKODA_ELROQ_SELECTION_60</t>
        </is>
      </c>
      <c r="D16" t="inlineStr">
        <is>
          <t>Kjøreopplevelse</t>
        </is>
      </c>
      <c r="E16" t="n">
        <v>3</v>
      </c>
      <c r="F16" t="inlineStr">
        <is>
          <t>LOW</t>
        </is>
      </c>
      <c r="G16" t="inlineStr">
        <is>
          <t>Motor.no rapporterer at hjulstoy er "en familiesvakhet for bilene pa MEB-plattformen" og at Elroq hadde mest hjulstoy av fem sammenlignede biler. What Car? rapporterer motsatt at Elroq var "fractionally quieter" enn konkurrentene (EV3, S5, Scenic) ved 70mph. Direkte motstridende funn fra to profesjonelle kilder - dokumentert som uenighet. [Kriterium W001]</t>
        </is>
      </c>
      <c r="H16" t="inlineStr">
        <is>
          <t>EV_000020,EV_000021</t>
        </is>
      </c>
      <c r="I16" t="inlineStr">
        <is>
          <t>1.4</t>
        </is>
      </c>
    </row>
    <row r="17">
      <c r="A17" t="inlineStr">
        <is>
          <t>REV_000016</t>
        </is>
      </c>
      <c r="C17" t="inlineStr">
        <is>
          <t>SKODA_ELROQ_SELECTION_60</t>
        </is>
      </c>
      <c r="D17" t="inlineStr">
        <is>
          <t>Kjøreopplevelse</t>
        </is>
      </c>
      <c r="E17" t="n">
        <v>4</v>
      </c>
      <c r="F17" t="inlineStr">
        <is>
          <t>MEDIUM</t>
        </is>
      </c>
      <c r="G17" t="inlineStr">
        <is>
          <t>Motor.no beskriver fjaeringen som hastighetsavhengig (stiv i lav fart, fast og fin i hoy fart) - noytralt til svakt positivt funn. What Car? er klart positiv: fjaeringen "absorbs imperfections in the road surface extremely well and delivers a controlled ride at all speeds." [Kriterium W002]</t>
        </is>
      </c>
      <c r="H17" t="inlineStr">
        <is>
          <t>EV_000022,EV_000023</t>
        </is>
      </c>
      <c r="I17" t="inlineStr">
        <is>
          <t>1.4</t>
        </is>
      </c>
    </row>
    <row r="18">
      <c r="A18" t="inlineStr">
        <is>
          <t>REV_000017</t>
        </is>
      </c>
      <c r="C18" t="inlineStr">
        <is>
          <t>SKODA_ELROQ_SELECTION_60</t>
        </is>
      </c>
      <c r="D18" t="inlineStr">
        <is>
          <t>Kjøreopplevelse</t>
        </is>
      </c>
      <c r="E18" t="n">
        <v>4</v>
      </c>
      <c r="F18" t="inlineStr">
        <is>
          <t>MEDIUM</t>
        </is>
      </c>
      <c r="G18" t="inlineStr">
        <is>
          <t>RAC Drive rapporterer god sikt fremover, men at det lille bakvinduet begrenser sikten bakover noe - som hos mange konkurrenter. Kun en uavhengig kilde funnet. [Kriterium W003]</t>
        </is>
      </c>
      <c r="H18" t="inlineStr">
        <is>
          <t>EV_000024</t>
        </is>
      </c>
      <c r="I18" t="inlineStr">
        <is>
          <t>1.4</t>
        </is>
      </c>
    </row>
    <row r="19">
      <c r="A19" t="inlineStr">
        <is>
          <t>REV_000018</t>
        </is>
      </c>
      <c r="C19" t="inlineStr">
        <is>
          <t>SKODA_ELROQ_SELECTION_60</t>
        </is>
      </c>
      <c r="D19" t="inlineStr">
        <is>
          <t>Kjøreopplevelse</t>
        </is>
      </c>
      <c r="E19" t="n">
        <v>4</v>
      </c>
      <c r="F19" t="inlineStr">
        <is>
          <t>MEDIUM</t>
        </is>
      </c>
      <c r="G19" t="inlineStr">
        <is>
          <t>What Car? beskriver styringen som "well-weighted and precise" med en hjelpsom trang svingradius. Kun en uavhengig kilde funnet. [Kriterium W004]</t>
        </is>
      </c>
      <c r="H19" t="inlineStr">
        <is>
          <t>EV_000025</t>
        </is>
      </c>
      <c r="I19" t="inlineStr">
        <is>
          <t>1.4</t>
        </is>
      </c>
    </row>
    <row r="20">
      <c r="A20" t="inlineStr">
        <is>
          <t>REV_000019</t>
        </is>
      </c>
      <c r="C20" t="inlineStr">
        <is>
          <t>SKODA_ELROQ_SELECTION_60</t>
        </is>
      </c>
      <c r="D20" t="inlineStr">
        <is>
          <t>Teknologi</t>
        </is>
      </c>
      <c r="E20" t="n">
        <v>4</v>
      </c>
      <c r="F20" t="inlineStr">
        <is>
          <t>HIGH</t>
        </is>
      </c>
      <c r="G20" t="inlineStr">
        <is>
          <t>Motor.no fremhever betjeningen (spesielt rattbetjening) som "kanskje best av alle" med god miks av analoge og digitale funksjoner. What Car? bekrefter at systemet "responds quickly enough and is much easier to operate than" Mini Countryman Electric, men at EV3/Scenic er enda bedre. To uavhengige kilder er enige om at infotainment er solid. [Kriterium W005]</t>
        </is>
      </c>
      <c r="H20" t="inlineStr">
        <is>
          <t>EV_000026</t>
        </is>
      </c>
      <c r="I20" t="inlineStr">
        <is>
          <t>1.4</t>
        </is>
      </c>
    </row>
    <row r="21">
      <c r="A21" t="inlineStr">
        <is>
          <t>REV_000020</t>
        </is>
      </c>
      <c r="C21" t="inlineStr">
        <is>
          <t>SKODA_ELROQ_SELECTION_60</t>
        </is>
      </c>
      <c r="D21" t="inlineStr">
        <is>
          <t>Teknologi</t>
        </is>
      </c>
      <c r="E21" t="n">
        <v>5</v>
      </c>
      <c r="F21" t="inlineStr">
        <is>
          <t>HIGH</t>
        </is>
      </c>
      <c r="G21" t="inlineStr">
        <is>
          <t>Apple CarPlay er standard pa alle versjoner av Skoda Elroq, bekreftet bade av What Car? og offisiell Skoda-spesifikasjon (SmartLink). Samme positive funn som Renault 4; motsatt funn av Tesla Model 3 Long Range RWD. [Kriterium W007]</t>
        </is>
      </c>
      <c r="H21" t="inlineStr">
        <is>
          <t>EV_000027</t>
        </is>
      </c>
      <c r="I21" t="inlineStr">
        <is>
          <t>1.4</t>
        </is>
      </c>
    </row>
    <row r="22">
      <c r="A22" t="inlineStr">
        <is>
          <t>REV_000021</t>
        </is>
      </c>
      <c r="C22" t="inlineStr">
        <is>
          <t>SKODA_ELROQ_SELECTION_60</t>
        </is>
      </c>
      <c r="D22" t="inlineStr">
        <is>
          <t>Rekkevidde/lading</t>
        </is>
      </c>
      <c r="E22" t="n">
        <v>4</v>
      </c>
      <c r="F22" t="inlineStr">
        <is>
          <t>MEDIUM</t>
        </is>
      </c>
      <c r="G22" t="inlineStr">
        <is>
          <t>Offisiell prisliste viser 105 kW DC-hurtiglading (10-80% pa ca. 26 minutter) og 15,3 kWh/100km forbruk for Selection 60 - solid ladeeffekt for segmentet. [Kriterium W020]</t>
        </is>
      </c>
      <c r="H22" t="inlineStr">
        <is>
          <t>EV_000028,EV_000029</t>
        </is>
      </c>
      <c r="I22" t="inlineStr">
        <is>
          <t>1.4</t>
        </is>
      </c>
    </row>
    <row r="23">
      <c r="A23" t="inlineStr">
        <is>
          <t>REV_000022</t>
        </is>
      </c>
      <c r="C23" t="inlineStr">
        <is>
          <t>VOLVO_EX30_P8_AWD</t>
        </is>
      </c>
      <c r="D23" t="inlineStr">
        <is>
          <t>Kjøreopplevelse</t>
        </is>
      </c>
      <c r="E23" t="n">
        <v>4</v>
      </c>
      <c r="F23" t="inlineStr">
        <is>
          <t>HIGH</t>
        </is>
      </c>
      <c r="G23" t="inlineStr">
        <is>
          <t>Motor.no rapporterer lite hjulstoy pa piggfrie vinterdekk; What Car? beskriver bilen som "fairly hushed" ved hoy fart med kun litt vind-/veistoy. To uavhengige kilder er enige. [Kriterium W001]</t>
        </is>
      </c>
      <c r="H23" t="inlineStr">
        <is>
          <t>EV_000030,EV_000031</t>
        </is>
      </c>
      <c r="I23" t="inlineStr">
        <is>
          <t>1.4</t>
        </is>
      </c>
    </row>
    <row r="24">
      <c r="A24" t="inlineStr">
        <is>
          <t>REV_000023</t>
        </is>
      </c>
      <c r="C24" t="inlineStr">
        <is>
          <t>VOLVO_EX30_P8_AWD</t>
        </is>
      </c>
      <c r="D24" t="inlineStr">
        <is>
          <t>Kjøreopplevelse</t>
        </is>
      </c>
      <c r="E24" t="n">
        <v>4</v>
      </c>
      <c r="F24" t="inlineStr">
        <is>
          <t>MEDIUM</t>
        </is>
      </c>
      <c r="G24" t="inlineStr">
        <is>
          <t>Motor.no beskriver fjaeringen som svaert stiv over skarpe ujevnheter, men behagelig i fart. What Car? vurderer balansen mellom komfort og kjoreegenskaper som "almost spot-on." Begge kilder peker i samme retning (godt, med en viss stivhet over skarpe support). [Kriterium W002]</t>
        </is>
      </c>
      <c r="H24" t="inlineStr">
        <is>
          <t>EV_000032,EV_000033</t>
        </is>
      </c>
      <c r="I24" t="inlineStr">
        <is>
          <t>1.4</t>
        </is>
      </c>
    </row>
    <row r="25">
      <c r="A25" t="inlineStr">
        <is>
          <t>REV_000024</t>
        </is>
      </c>
      <c r="C25" t="inlineStr">
        <is>
          <t>VOLVO_EX30_P8_AWD</t>
        </is>
      </c>
      <c r="D25" t="inlineStr">
        <is>
          <t>Kjøreopplevelse</t>
        </is>
      </c>
      <c r="E25" t="n">
        <v>2</v>
      </c>
      <c r="F25" t="inlineStr">
        <is>
          <t>MEDIUM</t>
        </is>
      </c>
      <c r="G25" t="inlineStr">
        <is>
          <t>What Car? rapporterer at EX30 er vanskeligere a se ut av enn konkurrenter (Kona Electric, #1, #3), med rutestolper som blokkerer sikten i kryss og rundkjoringer. Kun en uavhengig kilde funnet, men et klart negativt funn. [Kriterium W003]</t>
        </is>
      </c>
      <c r="H25" t="inlineStr">
        <is>
          <t>EV_000034</t>
        </is>
      </c>
      <c r="I25" t="inlineStr">
        <is>
          <t>1.4</t>
        </is>
      </c>
    </row>
    <row r="26">
      <c r="A26" t="inlineStr">
        <is>
          <t>REV_000025</t>
        </is>
      </c>
      <c r="C26" t="inlineStr">
        <is>
          <t>VOLVO_EX30_P8_AWD</t>
        </is>
      </c>
      <c r="D26" t="inlineStr">
        <is>
          <t>Kjøreopplevelse</t>
        </is>
      </c>
      <c r="E26" t="n">
        <v>4</v>
      </c>
      <c r="F26" t="inlineStr">
        <is>
          <t>MEDIUM</t>
        </is>
      </c>
      <c r="G26" t="inlineStr">
        <is>
          <t>What Car? beskriver styringen som "reasonably accurate," gir trygg plassering av bilen, men noe lett selv i tyngste modus. Motor.no sin kritikk gjaldt fysisk rattbetjening/knapper, ikke styrefolelsen i seg selv - holdt atskilt fra denne vurderingen. [Kriterium W004]</t>
        </is>
      </c>
      <c r="H26" t="inlineStr">
        <is>
          <t>EV_000035</t>
        </is>
      </c>
      <c r="I26" t="inlineStr">
        <is>
          <t>1.4</t>
        </is>
      </c>
    </row>
    <row r="27">
      <c r="A27" t="inlineStr">
        <is>
          <t>REV_000026</t>
        </is>
      </c>
      <c r="C27" t="inlineStr">
        <is>
          <t>VOLVO_EX30_P8_AWD</t>
        </is>
      </c>
      <c r="D27" t="inlineStr">
        <is>
          <t>Teknologi</t>
        </is>
      </c>
      <c r="E27" t="n">
        <v>4</v>
      </c>
      <c r="F27" t="inlineStr">
        <is>
          <t>HIGH</t>
        </is>
      </c>
      <c r="G27" t="inlineStr">
        <is>
          <t>Motor.no: Google-baserte systemet "fungerer bra." What Car?: systemet er "fundamentally excellent" og responsivt. Begge kilder enige om solid infotainment, uavhengig av at forerassistenter (egen kriterium, ikke denne) ble kritisert som lunefulle om vinteren. [Kriterium W005]</t>
        </is>
      </c>
      <c r="H27" t="inlineStr">
        <is>
          <t>EV_000036</t>
        </is>
      </c>
      <c r="I27" t="inlineStr">
        <is>
          <t>1.4</t>
        </is>
      </c>
    </row>
    <row r="28">
      <c r="A28" t="inlineStr">
        <is>
          <t>REV_000027</t>
        </is>
      </c>
      <c r="C28" t="inlineStr">
        <is>
          <t>VOLVO_EX30_P8_AWD</t>
        </is>
      </c>
      <c r="D28" t="inlineStr">
        <is>
          <t>Teknologi</t>
        </is>
      </c>
      <c r="E28" t="n">
        <v>5</v>
      </c>
      <c r="F28" t="inlineStr">
        <is>
          <t>MEDIUM</t>
        </is>
      </c>
      <c r="G28" t="inlineStr">
        <is>
          <t>What Car? bekrefter at "Wireless Android Auto and Apple CarPlay are also included" pa Volvo EX30. Samme positive funn som Renault 4 og Skoda Elroq; motsatt funn av Tesla Model 3 Long Range RWD. [Kriterium W007]</t>
        </is>
      </c>
      <c r="H28" t="inlineStr">
        <is>
          <t>EV_000037</t>
        </is>
      </c>
      <c r="I28" t="inlineStr">
        <is>
          <t>1.4</t>
        </is>
      </c>
    </row>
    <row r="29">
      <c r="A29" t="inlineStr">
        <is>
          <t>REV_000028</t>
        </is>
      </c>
      <c r="C29" t="inlineStr">
        <is>
          <t>VOLVO_EX30_P8_AWD</t>
        </is>
      </c>
      <c r="D29" t="inlineStr">
        <is>
          <t>Rekkevidde/lading</t>
        </is>
      </c>
      <c r="E29" t="n">
        <v>4</v>
      </c>
      <c r="F29" t="inlineStr">
        <is>
          <t>MEDIUM</t>
        </is>
      </c>
      <c r="G29" t="inlineStr">
        <is>
          <t>Offisiell spesifikasjon viser 175 kW DC-hurtiglading (10-80% pa ca. 27 minutter) og 17,5 kWh/100km forbruk for P8 AWD.</t>
        </is>
      </c>
      <c r="H29" t="inlineStr">
        <is>
          <t>EV_000038,EV_000039</t>
        </is>
      </c>
      <c r="I29" t="inlineStr">
        <is>
          <t>1.4</t>
        </is>
      </c>
    </row>
    <row r="30">
      <c r="A30" t="inlineStr">
        <is>
          <t>REV_000029</t>
        </is>
      </c>
      <c r="C30" t="inlineStr">
        <is>
          <t>KIA_EV2_FWD_LONG_RANGE_GT_LINE</t>
        </is>
      </c>
      <c r="D30" t="inlineStr">
        <is>
          <t>Kjøreopplevelse</t>
        </is>
      </c>
      <c r="E30" t="n">
        <v>4</v>
      </c>
      <c r="F30" t="inlineStr">
        <is>
          <t>MEDIUM</t>
        </is>
      </c>
      <c r="G30" t="inlineStr">
        <is>
          <t>What Car? rapporterer lite motorstoy, lite dekkstoy pa motorvei og lite fjaeringsstoy i by. Kun en uavhengig kilde funnet. [Kriterium W001]</t>
        </is>
      </c>
      <c r="H30" t="inlineStr">
        <is>
          <t>EV_000040</t>
        </is>
      </c>
      <c r="I30" t="inlineStr">
        <is>
          <t>1.4</t>
        </is>
      </c>
    </row>
    <row r="31">
      <c r="A31" t="inlineStr">
        <is>
          <t>REV_000030</t>
        </is>
      </c>
      <c r="C31" t="inlineStr">
        <is>
          <t>KIA_EV2_FWD_LONG_RANGE_GT_LINE</t>
        </is>
      </c>
      <c r="D31" t="inlineStr">
        <is>
          <t>Kjøreopplevelse</t>
        </is>
      </c>
      <c r="E31" t="n">
        <v>3</v>
      </c>
      <c r="F31" t="inlineStr">
        <is>
          <t>LOW</t>
        </is>
      </c>
      <c r="G31" t="inlineStr">
        <is>
          <t>Motor.no rapporterer at bilen rister over brostein og oppleves spretten i hoyere hastighet pa Standard Range-varianten, med dempere beskrevet som stive og "ikke spesielt sofistikerte." What Car? rapporterer motsatt at fjaeringen er relativt myk og glatter ut humper, om enn med krengning i svinger. Direkte motstridende funn - dokumentert som uenighet, ikke lost. [Kriterium W002]</t>
        </is>
      </c>
      <c r="H31" t="inlineStr">
        <is>
          <t>EV_000041,EV_000042</t>
        </is>
      </c>
      <c r="I31" t="inlineStr">
        <is>
          <t>1.4</t>
        </is>
      </c>
    </row>
    <row r="32">
      <c r="A32" t="inlineStr">
        <is>
          <t>REV_000031</t>
        </is>
      </c>
      <c r="C32" t="inlineStr">
        <is>
          <t>KIA_EV2_FWD_LONG_RANGE_GT_LINE</t>
        </is>
      </c>
      <c r="D32" t="inlineStr">
        <is>
          <t>Kjøreopplevelse</t>
        </is>
      </c>
      <c r="E32" t="n">
        <v>4</v>
      </c>
      <c r="F32" t="inlineStr">
        <is>
          <t>HIGH</t>
        </is>
      </c>
      <c r="G32" t="inlineStr">
        <is>
          <t>Motor.no og What Car? er begge enige om god sikt: firkantet form med store glassflater og oppreiste stolper gir god oversikt i alle retninger. To uavhengige kilder enige. [Kriterium W003]</t>
        </is>
      </c>
      <c r="H32" t="inlineStr">
        <is>
          <t>EV_000043</t>
        </is>
      </c>
      <c r="I32" t="inlineStr">
        <is>
          <t>1.4</t>
        </is>
      </c>
    </row>
    <row r="33">
      <c r="A33" t="inlineStr">
        <is>
          <t>REV_000032</t>
        </is>
      </c>
      <c r="C33" t="inlineStr">
        <is>
          <t>KIA_EV2_FWD_LONG_RANGE_GT_LINE</t>
        </is>
      </c>
      <c r="D33" t="inlineStr">
        <is>
          <t>Kjøreopplevelse</t>
        </is>
      </c>
      <c r="E33" t="n">
        <v>2</v>
      </c>
      <c r="F33" t="inlineStr">
        <is>
          <t>MEDIUM</t>
        </is>
      </c>
      <c r="G33" t="inlineStr">
        <is>
          <t>What Car? beskriver styringen som "a bit vague," satt opp for enkelhet fremfor styrefolelse eller engasjement. Kun en uavhengig kilde funnet, men et klart negativt funn. [Kriterium W004]</t>
        </is>
      </c>
      <c r="H33" t="inlineStr">
        <is>
          <t>EV_000044</t>
        </is>
      </c>
      <c r="I33" t="inlineStr">
        <is>
          <t>1.4</t>
        </is>
      </c>
    </row>
    <row r="34">
      <c r="A34" t="inlineStr">
        <is>
          <t>REV_000033</t>
        </is>
      </c>
      <c r="C34" t="inlineStr">
        <is>
          <t>KIA_EV2_FWD_LONG_RANGE_GT_LINE</t>
        </is>
      </c>
      <c r="D34" t="inlineStr">
        <is>
          <t>Teknologi</t>
        </is>
      </c>
      <c r="E34" t="n">
        <v>4</v>
      </c>
      <c r="F34" t="inlineStr">
        <is>
          <t>MEDIUM</t>
        </is>
      </c>
      <c r="G34" t="inlineStr">
        <is>
          <t>RAC Drive: skjermen er "responsive... easy to understand... has all the latest features," men matcher ikke Renaults visuelle polish. Beholder fysiske knapper for temperatur/vifte/setevarme/volum. Kun en uavhengig kilde funnet. [Kriterium W005]</t>
        </is>
      </c>
      <c r="H34" t="inlineStr">
        <is>
          <t>EV_000045</t>
        </is>
      </c>
      <c r="I34" t="inlineStr">
        <is>
          <t>1.4</t>
        </is>
      </c>
    </row>
    <row r="35">
      <c r="A35" t="inlineStr">
        <is>
          <t>REV_000034</t>
        </is>
      </c>
      <c r="C35" t="inlineStr">
        <is>
          <t>KIA_EV2_FWD_LONG_RANGE_GT_LINE</t>
        </is>
      </c>
      <c r="D35" t="inlineStr">
        <is>
          <t>Teknologi</t>
        </is>
      </c>
      <c r="E35" t="n">
        <v>5</v>
      </c>
      <c r="F35" t="inlineStr">
        <is>
          <t>HIGH</t>
        </is>
      </c>
      <c r="G35" t="inlineStr">
        <is>
          <t>What Car? bekrefter at "Apple CarPlay and Android Auto are standard on all versions." Samme positive funn som Renault 4, Skoda Elroq og Volvo EX30; motsatt funn av Tesla Model 3 Long Range RWD. [Kriterium W007]</t>
        </is>
      </c>
      <c r="H35" t="inlineStr">
        <is>
          <t>EV_000046</t>
        </is>
      </c>
      <c r="I35" t="inlineStr">
        <is>
          <t>1.4</t>
        </is>
      </c>
    </row>
    <row r="36">
      <c r="A36" t="inlineStr">
        <is>
          <t>REV_000035</t>
        </is>
      </c>
      <c r="C36" t="inlineStr">
        <is>
          <t>KIA_EV2_FWD_LONG_RANGE_GT_LINE</t>
        </is>
      </c>
      <c r="D36" t="inlineStr">
        <is>
          <t>Rekkevidde/lading</t>
        </is>
      </c>
      <c r="E36" t="n">
        <v>3</v>
      </c>
      <c r="F36" t="inlineStr">
        <is>
          <t>LOW</t>
        </is>
      </c>
      <c r="G36" t="inlineStr">
        <is>
          <t>Offisiell konfigurator viser 11 kW AC-lading og 15,2 kWh/100km forbruk for denne konfigurasjonen. DC-hurtigladeeffekt var ikke oppgitt pa kildesiden, noe som begrenser vurderingen av reell ladeegenskap sammenlignet med de andre bilene. [Kriterium W020]</t>
        </is>
      </c>
      <c r="H36" t="inlineStr">
        <is>
          <t>EV_000047</t>
        </is>
      </c>
      <c r="I36" t="inlineStr">
        <is>
          <t>1.4</t>
        </is>
      </c>
    </row>
    <row r="37">
      <c r="A37" t="inlineStr">
        <is>
          <t>REV_000036</t>
        </is>
      </c>
      <c r="C37" t="inlineStr">
        <is>
          <t>TESLA_MODEL_3_LONG_RANGE_RWD</t>
        </is>
      </c>
      <c r="D37" t="inlineStr">
        <is>
          <t>Økonomi</t>
        </is>
      </c>
      <c r="E37" t="n">
        <v>5</v>
      </c>
      <c r="F37" t="inlineStr">
        <is>
          <t>MEDIUM</t>
        </is>
      </c>
      <c r="G37" t="inlineStr">
        <is>
          <t>Beste pris per kilometer rekkevidde av alle fem (ca. 534-580 kr/km avhengig av felgvalg, mot 837-1042 kr/km for de andre), kombinert med raskest DC-lading (250 kW) og lavest forbruk (13,6 kWh/100km). Merprisen sammenlignet med Renault forsvares tydelig av vesentlig bedre rekkevidde/lading/effektivitet. [Kriterium W017]</t>
        </is>
      </c>
      <c r="H37" t="inlineStr">
        <is>
          <t>EV_000048</t>
        </is>
      </c>
      <c r="I37" t="inlineStr">
        <is>
          <t>1.4</t>
        </is>
      </c>
    </row>
    <row r="38">
      <c r="A38" t="inlineStr">
        <is>
          <t>REV_000037</t>
        </is>
      </c>
      <c r="C38" t="inlineStr">
        <is>
          <t>RENAULT_4_TECHNO</t>
        </is>
      </c>
      <c r="D38" t="inlineStr">
        <is>
          <t>Økonomi</t>
        </is>
      </c>
      <c r="E38" t="n">
        <v>3</v>
      </c>
      <c r="F38" t="inlineStr">
        <is>
          <t>MEDIUM</t>
        </is>
      </c>
      <c r="G38" t="inlineStr">
        <is>
          <t>Lavest totalpris av de fem (364 900 kr), men ogsa kortest rekkevidde og tregest DC-lading utenom sammenligningen med Tesla. Grei, men ikke fremragende, verdi for pengene - billig inngangsbillett, men leverer ikke uforholdsmessig mye rekkevidde/lading for prisen sammenlignet med Skoda rett over. [Kriterium W017]</t>
        </is>
      </c>
      <c r="H38" t="inlineStr">
        <is>
          <t>EV_000049</t>
        </is>
      </c>
      <c r="I38" t="inlineStr">
        <is>
          <t>1.4</t>
        </is>
      </c>
    </row>
    <row r="39">
      <c r="A39" t="inlineStr">
        <is>
          <t>REV_000038</t>
        </is>
      </c>
      <c r="C39" t="inlineStr">
        <is>
          <t>SKODA_ELROQ_SELECTION_60</t>
        </is>
      </c>
      <c r="D39" t="inlineStr">
        <is>
          <t>Økonomi</t>
        </is>
      </c>
      <c r="E39" t="n">
        <v>4</v>
      </c>
      <c r="F39" t="inlineStr">
        <is>
          <t>MEDIUM</t>
        </is>
      </c>
      <c r="G39" t="inlineStr">
        <is>
          <t>Kun ca. 10 000 kr dyrere enn Renault 4 Techno, men gir 50 km mer rekkevidde og marginalt raskere lading - beste rekkevidde-per-krone av ikke-Tesla-alternativene. Merprisen forsvares tydelig av det den gir tilbake. [Kriterium W017]</t>
        </is>
      </c>
      <c r="H39" t="inlineStr">
        <is>
          <t>EV_000050</t>
        </is>
      </c>
      <c r="I39" t="inlineStr">
        <is>
          <t>1.4</t>
        </is>
      </c>
    </row>
    <row r="40">
      <c r="A40" t="inlineStr">
        <is>
          <t>REV_000039</t>
        </is>
      </c>
      <c r="C40" t="inlineStr">
        <is>
          <t>VOLVO_EX30_P8_AWD</t>
        </is>
      </c>
      <c r="D40" t="inlineStr">
        <is>
          <t>Økonomi</t>
        </is>
      </c>
      <c r="E40" t="n">
        <v>2</v>
      </c>
      <c r="F40" t="inlineStr">
        <is>
          <t>MEDIUM</t>
        </is>
      </c>
      <c r="G40" t="inlineStr">
        <is>
          <t>Dyrest av de fem (468 900 kr) og samtidig minst effektiv (17,5 kWh/100km, hoyest forbruk i utvalget) uten tilsvarende mer rekkevidde. Merprisen gar hovedsakelig til firehjulsdrift og ytelse (0-100 pa 3,6 sek), som rammeverket eksplisitt ekskluderer som en meningsfull faktor for langsiktig eierskap. Svakest verdi for pengene av de fem. [Kriterium W017]</t>
        </is>
      </c>
      <c r="H40" t="inlineStr">
        <is>
          <t>EV_000051</t>
        </is>
      </c>
      <c r="I40" t="inlineStr">
        <is>
          <t>1.4</t>
        </is>
      </c>
    </row>
    <row r="41">
      <c r="A41" t="inlineStr">
        <is>
          <t>REV_000040</t>
        </is>
      </c>
      <c r="C41" t="inlineStr">
        <is>
          <t>KIA_EV2_FWD_LONG_RANGE_GT_LINE</t>
        </is>
      </c>
      <c r="D41" t="inlineStr">
        <is>
          <t>Økonomi</t>
        </is>
      </c>
      <c r="E41" t="n">
        <v>4</v>
      </c>
      <c r="F41" t="inlineStr">
        <is>
          <t>MEDIUM</t>
        </is>
      </c>
      <c r="G41" t="inlineStr">
        <is>
          <t>Grunnprisen for selve GT Line-trimmen (346 417 kr) er faktisk lavest av alle fem, for nest-best rekkevidde (453 km) og det mest omfattende standardutstyret registrert i dette datasettet. Totalprisen i det spesifikke tilbudet (423 340 kr) reflekterer kjoperens egne tilvalg (4-seter, vinterhjul) og er ikke representativt for trimmens egen verdi. Vurdert pa grunnprisen: sterk verdi for pengene. [Kriterium W017]</t>
        </is>
      </c>
      <c r="H41" t="inlineStr">
        <is>
          <t>EV_000052</t>
        </is>
      </c>
      <c r="I41" t="inlineStr">
        <is>
          <t>1.4</t>
        </is>
      </c>
    </row>
    <row r="42">
      <c r="A42" t="inlineStr">
        <is>
          <t>REV_000041</t>
        </is>
      </c>
      <c r="C42" t="inlineStr">
        <is>
          <t>TESLA_MODEL_3_LONG_RANGE_RWD</t>
        </is>
      </c>
      <c r="D42" t="inlineStr">
        <is>
          <t>Garasje</t>
        </is>
      </c>
      <c r="E42" t="n">
        <v>1</v>
      </c>
      <c r="F42" t="inlineStr">
        <is>
          <t>MEDIUM</t>
        </is>
      </c>
      <c r="G42" t="inlineStr">
        <is>
          <t>Lengde 4720mm OVERSKRIDER 4500mm-grensen med 220mm. Denne konfigurasjonen oppfyller ikke engang minstekravet (M002), langt mindre gir den margin utover det. Laveste mulige score, og et symptom pa at denne konfigurasjonen ikke skulle vaert vektet evaluert i utgangspunktet (se DecisionLog DEC_M002_VIOLATION). [Kriterium W019]</t>
        </is>
      </c>
      <c r="H42" t="inlineStr">
        <is>
          <t>EV_000053</t>
        </is>
      </c>
      <c r="I42" t="inlineStr">
        <is>
          <t>1.4</t>
        </is>
      </c>
    </row>
    <row r="43">
      <c r="A43" t="inlineStr">
        <is>
          <t>REV_000042</t>
        </is>
      </c>
      <c r="C43" t="inlineStr">
        <is>
          <t>RENAULT_4_TECHNO</t>
        </is>
      </c>
      <c r="D43" t="inlineStr">
        <is>
          <t>Garasje</t>
        </is>
      </c>
      <c r="E43" t="n">
        <v>4</v>
      </c>
      <c r="F43" t="inlineStr">
        <is>
          <t>MEDIUM</t>
        </is>
      </c>
      <c r="G43" t="inlineStr">
        <is>
          <t>Lengde 4140mm gir 360mm margin under 4500mm-grensen - en komfortabel margin, i tradisjonens andre halvdel av utvalget. [Kriterium W019]</t>
        </is>
      </c>
      <c r="H43" t="inlineStr">
        <is>
          <t>EV_000054</t>
        </is>
      </c>
      <c r="I43" t="inlineStr">
        <is>
          <t>1.4</t>
        </is>
      </c>
    </row>
    <row r="44">
      <c r="A44" t="inlineStr">
        <is>
          <t>REV_000043</t>
        </is>
      </c>
      <c r="C44" t="inlineStr">
        <is>
          <t>SKODA_ELROQ_SELECTION_60</t>
        </is>
      </c>
      <c r="D44" t="inlineStr">
        <is>
          <t>Garasje</t>
        </is>
      </c>
      <c r="E44" t="n">
        <v>2</v>
      </c>
      <c r="F44" t="inlineStr">
        <is>
          <t>MEDIUM</t>
        </is>
      </c>
      <c r="G44" t="inlineStr">
        <is>
          <t>Lengde 4488mm gir kun 12mm margin under 4500mm-grensen - den klart minste marginen i utvalget, og i praksis neglisjerbar. [Kriterium W019]</t>
        </is>
      </c>
      <c r="H44" t="inlineStr">
        <is>
          <t>EV_000055</t>
        </is>
      </c>
      <c r="I44" t="inlineStr">
        <is>
          <t>1.4</t>
        </is>
      </c>
    </row>
    <row r="45">
      <c r="A45" t="inlineStr">
        <is>
          <t>REV_000044</t>
        </is>
      </c>
      <c r="C45" t="inlineStr">
        <is>
          <t>VOLVO_EX30_P8_AWD</t>
        </is>
      </c>
      <c r="D45" t="inlineStr">
        <is>
          <t>Garasje</t>
        </is>
      </c>
      <c r="E45" t="n">
        <v>4</v>
      </c>
      <c r="F45" t="inlineStr">
        <is>
          <t>MEDIUM</t>
        </is>
      </c>
      <c r="G45" t="inlineStr">
        <is>
          <t>Lengde 4233mm gir 267mm margin under 4500mm-grensen - komfortabel margin. [Kriterium W019]</t>
        </is>
      </c>
      <c r="H45" t="inlineStr">
        <is>
          <t>EV_000056</t>
        </is>
      </c>
      <c r="I45" t="inlineStr">
        <is>
          <t>1.4</t>
        </is>
      </c>
    </row>
    <row r="46">
      <c r="A46" t="inlineStr">
        <is>
          <t>REV_000045</t>
        </is>
      </c>
      <c r="C46" t="inlineStr">
        <is>
          <t>KIA_EV2_FWD_LONG_RANGE_GT_LINE</t>
        </is>
      </c>
      <c r="D46" t="inlineStr">
        <is>
          <t>Garasje</t>
        </is>
      </c>
      <c r="E46" t="n">
        <v>5</v>
      </c>
      <c r="F46" t="inlineStr">
        <is>
          <t>MEDIUM</t>
        </is>
      </c>
      <c r="G46" t="inlineStr">
        <is>
          <t>Lengde 4065mm gir 435mm margin under 4500mm-grensen - storst margin av alle fem, og eneste konfigurasjon med over 400mm margin. [Kriterium W019]</t>
        </is>
      </c>
      <c r="H46" t="inlineStr">
        <is>
          <t>EV_000057</t>
        </is>
      </c>
      <c r="I46" t="inlineStr">
        <is>
          <t>1.4</t>
        </is>
      </c>
    </row>
    <row r="47">
      <c r="A47" t="inlineStr">
        <is>
          <t>REV_000046</t>
        </is>
      </c>
      <c r="C47" t="inlineStr">
        <is>
          <t>VOLVO_EX30_P8_AWD</t>
        </is>
      </c>
      <c r="D47" t="inlineStr">
        <is>
          <t>Teknologi</t>
        </is>
      </c>
      <c r="E47" t="n">
        <v>3</v>
      </c>
      <c r="F47" t="inlineStr">
        <is>
          <t>HIGH</t>
        </is>
      </c>
      <c r="G47" t="inlineStr">
        <is>
          <t>Motor.no: ACC beskrives som "lunefull på norske vinterveier" - å justere hastighet/intervall "viste seg i praksis umulig" under vinterkjøring. Isolert praktisk svakhet ved førerassistanse i norske vinterforhold under spesifikke forhold, ikke en total systemsvikt. [Kriterium W008]</t>
        </is>
      </c>
      <c r="H47" t="inlineStr">
        <is>
          <t>EV_000036</t>
        </is>
      </c>
      <c r="I47" t="inlineStr">
        <is>
          <t>1.4</t>
        </is>
      </c>
    </row>
    <row r="48">
      <c r="A48" t="inlineStr">
        <is>
          <t>REV_000047</t>
        </is>
      </c>
      <c r="C48" t="inlineStr">
        <is>
          <t>TESLA_MODEL_3_LONG_RANGE_RWD</t>
        </is>
      </c>
      <c r="D48" t="inlineStr">
        <is>
          <t>Teknologi</t>
        </is>
      </c>
      <c r="E48" t="n">
        <v>3</v>
      </c>
      <c r="F48" t="inlineStr">
        <is>
          <t>MEDIUM</t>
        </is>
      </c>
      <c r="G48" t="inlineStr">
        <is>
          <t>Tesla leverer hyppige og reelle OTA-oppdateringer, men et dokumentert og nå Norge-bekreftet mønster av å flytte tidligere inkluderte førerassistanse-funksjoner (Autostyring) bak et betalt abonnement svekker forutsigbarheten for et 8-10-års eierskap. Sterk oppdateringsmotor, men fremtidssikringen er ikke garantert gratis. [Kriterium W006]</t>
        </is>
      </c>
      <c r="H48" t="inlineStr">
        <is>
          <t>EV_000058,EV_000059</t>
        </is>
      </c>
      <c r="I48" t="inlineStr">
        <is>
          <t>1.4</t>
        </is>
      </c>
    </row>
    <row r="49">
      <c r="A49" t="inlineStr">
        <is>
          <t>REV_000048</t>
        </is>
      </c>
      <c r="C49" t="inlineStr">
        <is>
          <t>TESLA_MODEL_3_LONG_RANGE_RWD</t>
        </is>
      </c>
      <c r="D49" t="inlineStr">
        <is>
          <t>Teknologi</t>
        </is>
      </c>
      <c r="E49" t="n">
        <v>3</v>
      </c>
      <c r="F49" t="inlineStr">
        <is>
          <t>LOW</t>
        </is>
      </c>
      <c r="G49" t="inlineStr">
        <is>
          <t>Ingen uavhengig norsk/nordisk test av standard Autopilot/TACC sin kvalitet på vinterforhold ble funnet - kun generisk produsentadvarsel og sprikende anekdotiske brukerrapporter. Score satt nøytralt grunnet reell kunnskapsmangel, ikke grunnet bekreftet gjennomsnittlig ytelse; bør revurderes hvis en dedikert test dukker opp. [Kriterium W008]</t>
        </is>
      </c>
      <c r="H49" t="inlineStr">
        <is>
          <t>EV_000060,EV_000061</t>
        </is>
      </c>
      <c r="I49" t="inlineStr">
        <is>
          <t>1.4</t>
        </is>
      </c>
    </row>
    <row r="50">
      <c r="A50" t="inlineStr">
        <is>
          <t>REV_000049</t>
        </is>
      </c>
      <c r="C50" t="inlineStr">
        <is>
          <t>TESLA_MODEL_3_LONG_RANGE_RWD</t>
        </is>
      </c>
      <c r="D50" t="inlineStr">
        <is>
          <t>Teknologi</t>
        </is>
      </c>
      <c r="E50" t="n">
        <v>2</v>
      </c>
      <c r="F50" t="inlineStr">
        <is>
          <t>HIGH</t>
        </is>
      </c>
      <c r="G50" t="inlineStr">
        <is>
          <t>Tesla sin egen brukermanual bekrefter kun ryggekamera og sidekameraer - ingen sammenstilt 360-graders visning. Fungerende grunnleggende parkeringskamera, men mangler den spesifikke 360-verdien kriteriet fremhever. [Kriterium W009]</t>
        </is>
      </c>
      <c r="H50" t="inlineStr">
        <is>
          <t>EV_000062</t>
        </is>
      </c>
      <c r="I50" t="inlineStr">
        <is>
          <t>1.4</t>
        </is>
      </c>
    </row>
    <row r="51">
      <c r="A51" t="inlineStr">
        <is>
          <t>REV_000050</t>
        </is>
      </c>
      <c r="C51" t="inlineStr">
        <is>
          <t>RENAULT_4_TECHNO</t>
        </is>
      </c>
      <c r="D51" t="inlineStr">
        <is>
          <t>Teknologi</t>
        </is>
      </c>
      <c r="E51" t="n">
        <v>4</v>
      </c>
      <c r="F51" t="inlineStr">
        <is>
          <t>HIGH</t>
        </is>
      </c>
      <c r="G51" t="inlineStr">
        <is>
          <t>Renault leverer bekreftet FOTA-kapasitet og har allerede sendt en reell, datert oppdatering (Google Gemini AI, juni 2026) uten verkstedbesok. Ingen tegn til betalingsmur eller fjerning av funksjoner, i motsetning til enkelte konkurrenter. [Kriterium W006]</t>
        </is>
      </c>
      <c r="H51" t="inlineStr">
        <is>
          <t>EV_000063,EV_000064</t>
        </is>
      </c>
      <c r="I51" t="inlineStr">
        <is>
          <t>1.4</t>
        </is>
      </c>
    </row>
    <row r="52">
      <c r="A52" t="inlineStr">
        <is>
          <t>REV_000051</t>
        </is>
      </c>
      <c r="C52" t="inlineStr">
        <is>
          <t>RENAULT_4_TECHNO</t>
        </is>
      </c>
      <c r="D52" t="inlineStr">
        <is>
          <t>Teknologi</t>
        </is>
      </c>
      <c r="E52" t="n">
        <v>4</v>
      </c>
      <c r="F52" t="inlineStr">
        <is>
          <t>MEDIUM</t>
        </is>
      </c>
      <c r="G52" t="inlineStr">
        <is>
          <t>elbil.no sin norske test gir en positiv, direkte vurdering av adaptiv cruise control - 'fungerer overraskende greit pa motorvei.' Kort omtale fremfor en dyptgaende vinterspesifikk test, men et reelt norsk testverdikt. [Kriterium W008]</t>
        </is>
      </c>
      <c r="H52" t="inlineStr">
        <is>
          <t>EV_000065</t>
        </is>
      </c>
      <c r="I52" t="inlineStr">
        <is>
          <t>1.4</t>
        </is>
      </c>
    </row>
    <row r="53">
      <c r="A53" t="inlineStr">
        <is>
          <t>REV_000052</t>
        </is>
      </c>
      <c r="C53" t="inlineStr">
        <is>
          <t>RENAULT_4_TECHNO</t>
        </is>
      </c>
      <c r="D53" t="inlineStr">
        <is>
          <t>Teknologi</t>
        </is>
      </c>
      <c r="E53" t="n">
        <v>2</v>
      </c>
      <c r="F53" t="inlineStr">
        <is>
          <t>HIGH</t>
        </is>
      </c>
      <c r="G53" t="inlineStr">
        <is>
          <t>Techno-trimmet far kun ryggekamera og parkeringssensorer foran - 360-graders kamera og automatisk parkering er reservert Iconic-varianten (+20 000 kr). Fungerende grunnutstyr, men mangler den spesifikke 360-verdien kriteriet fremhever. [Kriterium W009]</t>
        </is>
      </c>
      <c r="H53" t="inlineStr">
        <is>
          <t>EV_000066</t>
        </is>
      </c>
      <c r="I53" t="inlineStr">
        <is>
          <t>1.4</t>
        </is>
      </c>
    </row>
    <row r="54">
      <c r="A54" t="inlineStr">
        <is>
          <t>REV_000053</t>
        </is>
      </c>
      <c r="C54" t="inlineStr">
        <is>
          <t>SKODA_ELROQ_SELECTION_60</t>
        </is>
      </c>
      <c r="D54" t="inlineStr">
        <is>
          <t>Teknologi</t>
        </is>
      </c>
      <c r="E54" t="n">
        <v>3</v>
      </c>
      <c r="F54" t="inlineStr">
        <is>
          <t>MEDIUM</t>
        </is>
      </c>
      <c r="G54" t="inlineStr">
        <is>
          <t>MEB/CARIAD-plattformen støtter OTA og har modnet betydelig siden tidlige ID.3/ID.4-problemer, men Connected Services (som OTA inngår i) er ikke standard på denne trimmen ifølge en eksportmarked-gjennomgang - ikke Norge-spesifikk kilde. [Kriterium W006]</t>
        </is>
      </c>
      <c r="H54" t="inlineStr">
        <is>
          <t>EV_000067</t>
        </is>
      </c>
      <c r="I54" t="inlineStr">
        <is>
          <t>1.4</t>
        </is>
      </c>
    </row>
    <row r="55">
      <c r="A55" t="inlineStr">
        <is>
          <t>REV_000054</t>
        </is>
      </c>
      <c r="C55" t="inlineStr">
        <is>
          <t>SKODA_ELROQ_SELECTION_60</t>
        </is>
      </c>
      <c r="D55" t="inlineStr">
        <is>
          <t>Teknologi</t>
        </is>
      </c>
      <c r="E55" t="n">
        <v>4</v>
      </c>
      <c r="F55" t="inlineStr">
        <is>
          <t>MEDIUM</t>
        </is>
      </c>
      <c r="G55" t="inlineStr">
        <is>
          <t>Gjennomgående positiv omtale av Travel Assist/adaptiv cruise control i flere uavhengige europeiske tester ('highly competent', bedre finjustert enn Mercedes Distronic Plus), understøttet av en generell positiv norsk omtale (elbil.no). Ingen dedikert vinterspesifikk test funnet. [Kriterium W008]</t>
        </is>
      </c>
      <c r="H55" t="inlineStr">
        <is>
          <t>EV_000068,EV_000069</t>
        </is>
      </c>
      <c r="I55" t="inlineStr">
        <is>
          <t>1.4</t>
        </is>
      </c>
    </row>
    <row r="56">
      <c r="A56" t="inlineStr">
        <is>
          <t>REV_000055</t>
        </is>
      </c>
      <c r="C56" t="inlineStr">
        <is>
          <t>SKODA_ELROQ_SELECTION_60</t>
        </is>
      </c>
      <c r="D56" t="inlineStr">
        <is>
          <t>Teknologi</t>
        </is>
      </c>
      <c r="E56" t="n">
        <v>2</v>
      </c>
      <c r="F56" t="inlineStr">
        <is>
          <t>HIGH</t>
        </is>
      </c>
      <c r="G56" t="inlineStr">
        <is>
          <t>Selection 60 får kun ryggekamera som standard - 360-graders Area View er reservert høyere trimmer/pakker. Fungerende grunnutstyr, men mangler den spesifikke 360-verdien kriteriet fremhever, i tråd med Tesla og Renault sin vurdering. [Kriterium W009]</t>
        </is>
      </c>
      <c r="H56" t="inlineStr">
        <is>
          <t>EV_000070</t>
        </is>
      </c>
      <c r="I56" t="inlineStr">
        <is>
          <t>1.4</t>
        </is>
      </c>
    </row>
    <row r="57">
      <c r="A57" t="inlineStr">
        <is>
          <t>REV_000056</t>
        </is>
      </c>
      <c r="C57" t="inlineStr">
        <is>
          <t>VOLVO_EX30_P8_AWD</t>
        </is>
      </c>
      <c r="D57" t="inlineStr">
        <is>
          <t>Teknologi</t>
        </is>
      </c>
      <c r="E57" t="n">
        <v>3</v>
      </c>
      <c r="F57" t="inlineStr">
        <is>
          <t>MEDIUM</t>
        </is>
      </c>
      <c r="G57" t="inlineStr">
        <is>
          <t>Volvo har levert en reelt substansiell OTA-oppdatering (største i selskapets historie, ~2,5 mill. biler) og planlegger Gemini-AI via fremtidig OTA - men EX30 lanserte med alvorlige programvarefeil (sorte skjermer, nøkkelfri-svikt, rapportert strømtap) alvorlig nok til å utløse forbrukerrettighetsreturer i Storbritannia, og det tok omtrent et år å rette dette via OTA. Reell leveringsevne, men reell kvalitetsrisiko ved lansering. [Kriterium W006]</t>
        </is>
      </c>
      <c r="H57" t="inlineStr">
        <is>
          <t>EV_000071,EV_000072</t>
        </is>
      </c>
      <c r="I57" t="inlineStr">
        <is>
          <t>1.4</t>
        </is>
      </c>
    </row>
    <row r="58">
      <c r="A58" t="inlineStr">
        <is>
          <t>REV_000057</t>
        </is>
      </c>
      <c r="C58" t="inlineStr">
        <is>
          <t>VOLVO_EX30_P8_AWD</t>
        </is>
      </c>
      <c r="D58" t="inlineStr">
        <is>
          <t>Teknologi</t>
        </is>
      </c>
      <c r="E58" t="n">
        <v>2</v>
      </c>
      <c r="F58" t="inlineStr">
        <is>
          <t>HIGH</t>
        </is>
      </c>
      <c r="G58" t="inlineStr">
        <is>
          <t>Denne konfigurasjonen (Twin Performance AWD, 468 900 kr) er Plus-utstyrsnivå, ikke Ultra - 360-graders kamera og automatisk parkeringsassistent er forbeholdt Ultra (ca. 505 900 kr for samme drivlinje). Mangler den spesifikke 360-verdien kriteriet fremhever, i tråd med Tesla, Renault og Skoda sin vurdering. [Kriterium W009]</t>
        </is>
      </c>
      <c r="H58" t="inlineStr">
        <is>
          <t>EV_000073</t>
        </is>
      </c>
      <c r="I58" t="inlineStr">
        <is>
          <t>1.4</t>
        </is>
      </c>
    </row>
    <row r="59">
      <c r="A59" t="inlineStr">
        <is>
          <t>REV_000058</t>
        </is>
      </c>
      <c r="C59" t="inlineStr">
        <is>
          <t>KIA_EV2_FWD_LONG_RANGE_GT_LINE</t>
        </is>
      </c>
      <c r="D59" t="inlineStr">
        <is>
          <t>Teknologi</t>
        </is>
      </c>
      <c r="E59" t="n">
        <v>4</v>
      </c>
      <c r="F59" t="inlineStr">
        <is>
          <t>MEDIUM</t>
        </is>
      </c>
      <c r="G59" t="inlineStr">
        <is>
          <t>Plattformen (delt ccNC-infotainment med EV3/EV6/EV9) har en bekreftet historikk med substansielle, funksjonsutvidende OTA-oppdateringer, men EV2 var ikke inkludert i den sist bekreftede utrullingen (februar 2026) og har ingen egen OTA-historikk ennå - bilen er rett og slett for ny. Sterk plattformevidens, men ikke bilspesifikt bevist. [Kriterium W006]</t>
        </is>
      </c>
      <c r="H59" t="inlineStr">
        <is>
          <t>EV_000074,EV_000075,EV_000076</t>
        </is>
      </c>
      <c r="I59" t="inlineStr">
        <is>
          <t>1.4</t>
        </is>
      </c>
    </row>
    <row r="60">
      <c r="A60" t="inlineStr">
        <is>
          <t>REV_000059</t>
        </is>
      </c>
      <c r="C60" t="inlineStr">
        <is>
          <t>KIA_EV2_FWD_LONG_RANGE_GT_LINE</t>
        </is>
      </c>
      <c r="D60" t="inlineStr">
        <is>
          <t>Teknologi</t>
        </is>
      </c>
      <c r="E60" t="n">
        <v>4</v>
      </c>
      <c r="F60" t="inlineStr">
        <is>
          <t>HIGH</t>
        </is>
      </c>
      <c r="G60" t="inlineStr">
        <is>
          <t>Euro NCAP ga søstermodellen EV3 'Very Good' for assistert kjøring med 'Excellent' styringsassistanse, og en dansk EV2-spesifikk test bekrefter at automatisk vognbaneskift 'fungerer rigtig godt'. En mindre innvending om at systemet holder for hardt i rattet svekker ikke det overordnede positive bildet. [Kriterium W008]</t>
        </is>
      </c>
      <c r="H60" t="inlineStr">
        <is>
          <t>EV_000077,EV_000078,EV_000079</t>
        </is>
      </c>
      <c r="I60" t="inlineStr">
        <is>
          <t>1.4</t>
        </is>
      </c>
    </row>
    <row r="61">
      <c r="A61" t="inlineStr">
        <is>
          <t>REV_000060</t>
        </is>
      </c>
      <c r="C61" t="inlineStr">
        <is>
          <t>KIA_EV2_FWD_LONG_RANGE_GT_LINE</t>
        </is>
      </c>
      <c r="D61" t="inlineStr">
        <is>
          <t>Teknologi</t>
        </is>
      </c>
      <c r="E61" t="n">
        <v>5</v>
      </c>
      <c r="F61" t="inlineStr">
        <is>
          <t>MEDIUM</t>
        </is>
      </c>
      <c r="G61" t="inlineStr">
        <is>
          <t>360-graders kamera er bekreftet standardutstyr for nettopp denne konfigurasjonen via forhandlertilbud (Bertel O. Steen). Første av de fem konfigurasjonene som faktisk har denne funksjonen som kriteriet er bygget rundt. [Kriterium W009]</t>
        </is>
      </c>
      <c r="H61" t="inlineStr">
        <is>
          <t>EV_000080</t>
        </is>
      </c>
      <c r="I61" t="inlineStr">
        <is>
          <t>1.4</t>
        </is>
      </c>
    </row>
    <row r="62">
      <c r="A62" t="inlineStr">
        <is>
          <t>REV_000061</t>
        </is>
      </c>
      <c r="C62" t="inlineStr">
        <is>
          <t>TESLA_MODEL_3_LONG_RANGE_RWD</t>
        </is>
      </c>
      <c r="D62" t="inlineStr">
        <is>
          <t>Langtidseierskap</t>
        </is>
      </c>
      <c r="E62" t="n">
        <v>5</v>
      </c>
      <c r="F62" t="inlineStr">
        <is>
          <t>HIGH</t>
        </is>
      </c>
      <c r="G62" t="inlineStr">
        <is>
          <t>Model 3 har vært Norges mest solgte bilmodell i flere år (2020 og 2021, med over 12 000 solgte i 2021 alene), og over 60 000 eksemplarer ruller på norske skilter i dag - den desidert lengste og mest dokumenterte sporhistorikken av de fem konfigurasjonene. Både produsent og modell fremstår som lavest mulig risiko i denne sammenligningen. [Kriterium W014]</t>
        </is>
      </c>
      <c r="H62" t="inlineStr">
        <is>
          <t>EV_000081</t>
        </is>
      </c>
      <c r="I62" t="inlineStr">
        <is>
          <t>1.4</t>
        </is>
      </c>
    </row>
    <row r="63">
      <c r="A63" t="inlineStr">
        <is>
          <t>REV_000062</t>
        </is>
      </c>
      <c r="C63" t="inlineStr">
        <is>
          <t>TESLA_MODEL_3_LONG_RANGE_RWD</t>
        </is>
      </c>
      <c r="D63" t="inlineStr">
        <is>
          <t>Langtidseierskap</t>
        </is>
      </c>
      <c r="E63" t="n">
        <v>3</v>
      </c>
      <c r="F63" t="inlineStr">
        <is>
          <t>MEDIUM</t>
        </is>
      </c>
      <c r="G63" t="inlineStr">
        <is>
          <t>Tesla tilbyr 4 års/80 000 km generell nybilgaranti - kortest av de fem konfigurasjonene - samt 8 års batterigaranti (minst 70 % kapasitet) og 12 års rustgaranti uten kilometergrense. Serviceapparatet er også strukturelt annerledes enn de øvrige: færre faste servicesentre (Bærum og Oslo), supplert med mobil service fremfor et tradisjonelt forhandlernett. Solide batterivilkår, men svakest generell garanti og et tynnere fysisk serviceapparat enn konkurrentene. [Kriterium W015]</t>
        </is>
      </c>
      <c r="H63" t="inlineStr">
        <is>
          <t>EV_000082</t>
        </is>
      </c>
      <c r="I63" t="inlineStr">
        <is>
          <t>1.4</t>
        </is>
      </c>
    </row>
    <row r="64">
      <c r="A64" t="inlineStr">
        <is>
          <t>REV_000063</t>
        </is>
      </c>
      <c r="C64" t="inlineStr">
        <is>
          <t>RENAULT_4_TECHNO</t>
        </is>
      </c>
      <c r="D64" t="inlineStr">
        <is>
          <t>Langtidseierskap</t>
        </is>
      </c>
      <c r="E64" t="n">
        <v>3</v>
      </c>
      <c r="F64" t="inlineStr">
        <is>
          <t>MEDIUM</t>
        </is>
      </c>
      <c r="G64" t="inlineStr">
        <is>
          <t>Renault 4 E-Tech er tilgjengelig i Norge fra høsten 2025 - under ett år på markedet ved vurderingstidspunktet, og en helt ny plattform (AmpR Small) uten egen lang sporhistorikk. Produsenten selv er langt fra ny (over 125 år i bilbransjen, lang nordisk tilstedeværelse), men den konkrete konfigurasjonens ferskhet tilsier en forsiktig middels vurdering. [Kriterium W014]</t>
        </is>
      </c>
      <c r="H64" t="inlineStr">
        <is>
          <t>EV_000083</t>
        </is>
      </c>
      <c r="I64" t="inlineStr">
        <is>
          <t>1.4</t>
        </is>
      </c>
    </row>
    <row r="65">
      <c r="A65" t="inlineStr">
        <is>
          <t>REV_000064</t>
        </is>
      </c>
      <c r="C65" t="inlineStr">
        <is>
          <t>RENAULT_4_TECHNO</t>
        </is>
      </c>
      <c r="D65" t="inlineStr">
        <is>
          <t>Langtidseierskap</t>
        </is>
      </c>
      <c r="E65" t="n">
        <v>4</v>
      </c>
      <c r="F65" t="inlineStr">
        <is>
          <t>MEDIUM</t>
        </is>
      </c>
      <c r="G65" t="inlineStr">
        <is>
          <t>Renault innførte fra mai 2025 5 års/150 000 km generell garanti på alle nye elbiler, i tillegg til 8 års/160 000 km batterigaranti (minst 70 % SOH). Vilkårene ble bekreftet via dansk Renault-kilde (samme paneuropeiske elbilpolitikk gjelder trolig Norge, men ikke direkte bekreftet på en norsk side) - solid garanti kombinert med et langt etablert forhandler- og serviceapparat i Norge. [Kriterium W015]</t>
        </is>
      </c>
      <c r="H65" t="inlineStr">
        <is>
          <t>EV_000084</t>
        </is>
      </c>
      <c r="I65" t="inlineStr">
        <is>
          <t>1.4</t>
        </is>
      </c>
    </row>
    <row r="66">
      <c r="A66" t="inlineStr">
        <is>
          <t>REV_000065</t>
        </is>
      </c>
      <c r="C66" t="inlineStr">
        <is>
          <t>SKODA_ELROQ_SELECTION_60</t>
        </is>
      </c>
      <c r="D66" t="inlineStr">
        <is>
          <t>Langtidseierskap</t>
        </is>
      </c>
      <c r="E66" t="n">
        <v>4</v>
      </c>
      <c r="F66" t="inlineStr">
        <is>
          <t>MEDIUM</t>
        </is>
      </c>
      <c r="G66" t="inlineStr">
        <is>
          <t>Elroq gikk i produksjon januar 2025 med leveranser fra tidlig 2025 - rundt halvannet år på markedet. Viktigere: den er den andre Skoda-modellen bygget på Volkswagen-konsernets MEB-plattform, som også deler arkitektur med Enyaq, ID.3, ID.4/ID.5 og Audi Q4 e-tron - en plattform med flere års reell driftserfaring på tvers av merker. Modenheten i den delte plattformen veier tyngre enn Elroqs egen korte modellhistorikk. [Kriterium W014]</t>
        </is>
      </c>
      <c r="H66" t="inlineStr">
        <is>
          <t>EV_000085</t>
        </is>
      </c>
      <c r="I66" t="inlineStr">
        <is>
          <t>1.4</t>
        </is>
      </c>
    </row>
    <row r="67">
      <c r="A67" t="inlineStr">
        <is>
          <t>REV_000066</t>
        </is>
      </c>
      <c r="C67" t="inlineStr">
        <is>
          <t>SKODA_ELROQ_SELECTION_60</t>
        </is>
      </c>
      <c r="D67" t="inlineStr">
        <is>
          <t>Langtidseierskap</t>
        </is>
      </c>
      <c r="E67" t="n">
        <v>4</v>
      </c>
      <c r="F67" t="inlineStr">
        <is>
          <t>HIGH</t>
        </is>
      </c>
      <c r="G67" t="inlineStr">
        <is>
          <t>Skoda-Norge (importert av Harald A. Møller AS) tilbyr 5 års/100 000 km generell nybilgaranti samt 8 års/160 000 km batterigaranti (minst 70 % kapasitet) på alle nye elbiler. Kortere kilometergrense enn Renault og Kia, men fortsatt god margin for en familiebil med begrenset årlig kjørelengde (jf. W018), og et langt etablert, landsdekkende forhandlernett via Møller-apparatet. [Kriterium W015]</t>
        </is>
      </c>
      <c r="H67" t="inlineStr">
        <is>
          <t>EV_000086</t>
        </is>
      </c>
      <c r="I67" t="inlineStr">
        <is>
          <t>1.4</t>
        </is>
      </c>
    </row>
    <row r="68">
      <c r="A68" t="inlineStr">
        <is>
          <t>REV_000067</t>
        </is>
      </c>
      <c r="C68" t="inlineStr">
        <is>
          <t>VOLVO_EX30_P8_AWD</t>
        </is>
      </c>
      <c r="D68" t="inlineStr">
        <is>
          <t>Langtidseierskap</t>
        </is>
      </c>
      <c r="E68" t="n">
        <v>3</v>
      </c>
      <c r="F68" t="inlineStr">
        <is>
          <t>MEDIUM</t>
        </is>
      </c>
      <c r="G68" t="inlineStr">
        <is>
          <t>EX30 har vært på det norske markedet i rundt to-tre år - lengre enn Renault 4, Elroq og EV2 - og Volvo er en veletablert produsent med lang nordisk historie. Men modellen lanserte med alvorlige programvarefeil (sorte skjermer, feil på nøkkelfri adgang, rapportert strømtap) alvorlige nok til å utløse forbrukerrettighetsreturer i Storbritannia, og det tok Volvo omtrent et år å rette dette via OTA. En reell, dokumentert kvalitetshendelse tidlig i modellens levetid trekker ned til tross for lengre markedstilstedeværelse enn de tre nyeste konfigurasjonene. [Kriterium W014]</t>
        </is>
      </c>
      <c r="H68" t="inlineStr">
        <is>
          <t>EV_000071,EV_000072</t>
        </is>
      </c>
      <c r="I68" t="inlineStr">
        <is>
          <t>1.4</t>
        </is>
      </c>
    </row>
    <row r="69">
      <c r="A69" t="inlineStr">
        <is>
          <t>REV_000068</t>
        </is>
      </c>
      <c r="C69" t="inlineStr">
        <is>
          <t>VOLVO_EX30_P8_AWD</t>
        </is>
      </c>
      <c r="D69" t="inlineStr">
        <is>
          <t>Langtidseierskap</t>
        </is>
      </c>
      <c r="E69" t="n">
        <v>4</v>
      </c>
      <c r="F69" t="inlineStr">
        <is>
          <t>HIGH</t>
        </is>
      </c>
      <c r="G69" t="inlineStr">
        <is>
          <t>Volvo tilbyr 5 års/100 000 km generell nybilgaranti samt 8 års/160 000 km batterigaranti (minst 70 % kapasitet) - identiske vilkår med Skoda. Volvo har et av de lengst etablerte forhandler- og serviceapparatene i Norge av de fem merkene. Solid, men ikke ledende, garanti sammenlignet med Kia. [Kriterium W015]</t>
        </is>
      </c>
      <c r="H69" t="inlineStr">
        <is>
          <t>EV_000087</t>
        </is>
      </c>
      <c r="I69" t="inlineStr">
        <is>
          <t>1.4</t>
        </is>
      </c>
    </row>
    <row r="70">
      <c r="A70" t="inlineStr">
        <is>
          <t>REV_000069</t>
        </is>
      </c>
      <c r="C70" t="inlineStr">
        <is>
          <t>KIA_EV2_FWD_LONG_RANGE_GT_LINE</t>
        </is>
      </c>
      <c r="D70" t="inlineStr">
        <is>
          <t>Langtidseierskap</t>
        </is>
      </c>
      <c r="E70" t="n">
        <v>2</v>
      </c>
      <c r="F70" t="inlineStr">
        <is>
          <t>HIGH</t>
        </is>
      </c>
      <c r="G70" t="inlineStr">
        <is>
          <t>EV2 GT Line er den klart ferskeste av de fem konfigurasjonene: Kias egen pressemelding bekrefter at produksjon for alle batterialternativer kom i gang 25. juni 2026, og salget av EV2 startet formelt først 2. juli 2026 - bokstavelig talt dager før denne vurderingen. Det finnes ingen reell norsk eller nordisk eierhistorikk å vurdere ennå. Kia som produsent har solid generell renommé og lang historie, og plattformen deler programvarearv med EV3/EV6/EV9 (jf. W006-vurderingen), men kriteriets eksplisitte krav om konservativ vurdering ved kort nordisk historikk tilsier en lav score her. [Kriterium W014]</t>
        </is>
      </c>
      <c r="H70" t="inlineStr">
        <is>
          <t>EV_000088</t>
        </is>
      </c>
      <c r="I70" t="inlineStr">
        <is>
          <t>1.4</t>
        </is>
      </c>
    </row>
    <row r="71">
      <c r="A71" t="inlineStr">
        <is>
          <t>REV_000070</t>
        </is>
      </c>
      <c r="C71" t="inlineStr">
        <is>
          <t>KIA_EV2_FWD_LONG_RANGE_GT_LINE</t>
        </is>
      </c>
      <c r="D71" t="inlineStr">
        <is>
          <t>Langtidseierskap</t>
        </is>
      </c>
      <c r="E71" t="n">
        <v>5</v>
      </c>
      <c r="F71" t="inlineStr">
        <is>
          <t>HIGH</t>
        </is>
      </c>
      <c r="G71" t="inlineStr">
        <is>
          <t>Kia tilbyr 7 års/150 000 km generell nybilgaranti som dekker både bil og elbilbatteri (fra modellår 2026 utvidet til 8 år/160 000 km) - lengst av de fem konfigurasjonene, og garantien overføres til neste eier, noe som også styrker bruktverdien. Kombinert med et etablert, landsdekkende forhandlernett i Norge gir dette den klart sterkeste vurderingen på dette kriteriet, til tross for at EV2 selv er en helt ny modell (jf. W014). [Kriterium W015]</t>
        </is>
      </c>
      <c r="H71" t="inlineStr">
        <is>
          <t>EV_000089</t>
        </is>
      </c>
      <c r="I71" t="inlineStr">
        <is>
          <t>1.4</t>
        </is>
      </c>
    </row>
    <row r="72">
      <c r="A72" t="inlineStr">
        <is>
          <t>REV_000071</t>
        </is>
      </c>
      <c r="C72" t="inlineStr">
        <is>
          <t>TESLA_MODEL_3_LONG_RANGE_RWD</t>
        </is>
      </c>
      <c r="D72" t="inlineStr">
        <is>
          <t>Langtidseierskap</t>
        </is>
      </c>
      <c r="E72" t="n">
        <v>5</v>
      </c>
      <c r="F72" t="inlineStr">
        <is>
          <t>HIGH</t>
        </is>
      </c>
      <c r="G72" t="inlineStr">
        <is>
          <t>Model 3 har den desidert lengste og mest kontinuerlig dokumenterte vinterhistorikken av de fem konfigurasjonene: testet av NAF/Motor hvert år siden 2020, med jevnt sterke og forbedrede resultater (521-548 km faktisk kjørt over ulike vintertester, WLTP økt fra 560 til 614 km). Et reelt, flerårig "over tid"-bevis for nordisk klimaegnethet. [Kriterium W016]</t>
        </is>
      </c>
      <c r="H72" t="inlineStr">
        <is>
          <t>EV_000090</t>
        </is>
      </c>
      <c r="I72" t="inlineStr">
        <is>
          <t>1.4</t>
        </is>
      </c>
    </row>
    <row r="73">
      <c r="A73" t="inlineStr">
        <is>
          <t>REV_000072</t>
        </is>
      </c>
      <c r="C73" t="inlineStr">
        <is>
          <t>RENAULT_4_TECHNO</t>
        </is>
      </c>
      <c r="D73" t="inlineStr">
        <is>
          <t>Langtidseierskap</t>
        </is>
      </c>
      <c r="E73" t="n">
        <v>2</v>
      </c>
      <c r="F73" t="inlineStr">
        <is>
          <t>MEDIUM</t>
        </is>
      </c>
      <c r="G73" t="inlineStr">
        <is>
          <t>Renault 4 E-Tech bygger på en helt ny plattform (AmpR Small, jf. W014) uten egen vinterhistorikk. Den eneste tilgjengelige "over tid"-dokumentasjonen for merket er forgjengeren Zoe, som har en reell, dokumentert historikk med varmepumpe-/varmeelementsvikt og rekkeviddetap på opptil 40 % i kulde - riktignok bedret i senere generasjoner. Uten egen modellspesifikk vinterdata og med en historisk blandet merkebakgrunn på nettopp dette punktet, gir dette den svakeste vurderingen av de fem. [Kriterium W016]</t>
        </is>
      </c>
      <c r="H73" t="inlineStr">
        <is>
          <t>EV_000091</t>
        </is>
      </c>
      <c r="I73" t="inlineStr">
        <is>
          <t>1.4</t>
        </is>
      </c>
    </row>
    <row r="74">
      <c r="A74" t="inlineStr">
        <is>
          <t>REV_000073</t>
        </is>
      </c>
      <c r="C74" t="inlineStr">
        <is>
          <t>SKODA_ELROQ_SELECTION_60</t>
        </is>
      </c>
      <c r="D74" t="inlineStr">
        <is>
          <t>Langtidseierskap</t>
        </is>
      </c>
      <c r="E74" t="n">
        <v>4</v>
      </c>
      <c r="F74" t="inlineStr">
        <is>
          <t>MEDIUM</t>
        </is>
      </c>
      <c r="G74" t="inlineStr">
        <is>
          <t>Elroq Selection 60 selv mangler egen flerårig vinterhistorikk, men MEB-plattformen den deler med VW ID.4 og Skoda Enyaq har vært testet av NAF/Motor siden januar 2022 med gjennomgående sterke resultater (kun 11-15 % under WLTP, blant de beste i feltet). Plattformens dokumenterte, flerårige nordiske vintermodenhet veier tungt selv om Elroq-modellen selv er ferskere. [Kriterium W016]</t>
        </is>
      </c>
      <c r="H74" t="inlineStr">
        <is>
          <t>EV_000092</t>
        </is>
      </c>
      <c r="I74" t="inlineStr">
        <is>
          <t>1.4</t>
        </is>
      </c>
    </row>
    <row r="75">
      <c r="A75" t="inlineStr">
        <is>
          <t>REV_000074</t>
        </is>
      </c>
      <c r="C75" t="inlineStr">
        <is>
          <t>VOLVO_EX30_P8_AWD</t>
        </is>
      </c>
      <c r="D75" t="inlineStr">
        <is>
          <t>Langtidseierskap</t>
        </is>
      </c>
      <c r="E75" t="n">
        <v>4</v>
      </c>
      <c r="F75" t="inlineStr">
        <is>
          <t>MEDIUM</t>
        </is>
      </c>
      <c r="G75" t="inlineStr">
        <is>
          <t>EX30 Twin Performance (samme drivlinje som P8 AWD) har ett solid, uavhengig vintertestresultat: elbil.no anslo omtrent 75 % av WLTP-rekkevidden beholdt ned mot -20°C. Dette er reell, modellspesifikk evidens, men fra kun én vintersesong - kortere dokumentert historikk enn både Tesla og MEB-plattformen, om enn understøttet av Volvos lange generelle tilstedeværelse i det nordiske markedet. [Kriterium W016]</t>
        </is>
      </c>
      <c r="H75" t="inlineStr">
        <is>
          <t>EV_000093</t>
        </is>
      </c>
      <c r="I75" t="inlineStr">
        <is>
          <t>1.4</t>
        </is>
      </c>
    </row>
    <row r="76">
      <c r="A76" t="inlineStr">
        <is>
          <t>REV_000075</t>
        </is>
      </c>
      <c r="C76" t="inlineStr">
        <is>
          <t>KIA_EV2_FWD_LONG_RANGE_GT_LINE</t>
        </is>
      </c>
      <c r="D76" t="inlineStr">
        <is>
          <t>Langtidseierskap</t>
        </is>
      </c>
      <c r="E76" t="n">
        <v>4</v>
      </c>
      <c r="F76" t="inlineStr">
        <is>
          <t>MEDIUM</t>
        </is>
      </c>
      <c r="G76" t="inlineStr">
        <is>
          <t>EV2 GT Line selv har ingen driftshistorikk (jf. W014), men to uavhengige datapunkter trekker vurderingen opp: (1) en lang, positiv merkehistorikk for varmepumpeassistert kuldeytelse på søskenmodellene e-Niro og EV6, og (2) et faktisk NAF-verifisert vintertestresultat for en EV2-prototyp med samme 61 kWh-batteri (310,6 km i temperaturer ned mot -31°C, kun 24,8 % under WLTP, samt sterk hurtigladeytelse i ekstrem kulde). Sistnevnte er reell modellspesifikk evidens, om enn fra en prototyp og ikke en levert kundebil, og det trekker vurderingen tydelig over det rene merke-fallbacket. [Kriterium W016]</t>
        </is>
      </c>
      <c r="H76" t="inlineStr">
        <is>
          <t>EV_000094,EV_000095</t>
        </is>
      </c>
      <c r="I76" t="inlineStr">
        <is>
          <t>1.4</t>
        </is>
      </c>
    </row>
    <row r="77">
      <c r="A77" t="inlineStr">
        <is>
          <t>REV_000076</t>
        </is>
      </c>
      <c r="C77" t="inlineStr">
        <is>
          <t>TESLA_MODEL_3_LONG_RANGE_RWD</t>
        </is>
      </c>
      <c r="D77" t="inlineStr">
        <is>
          <t>Opplevd kvalitet</t>
        </is>
      </c>
      <c r="E77" t="n">
        <v>4</v>
      </c>
      <c r="F77" t="inlineStr">
        <is>
          <t>HIGH</t>
        </is>
      </c>
      <c r="G77" t="inlineStr">
        <is>
          <t>Highland-oppdateringen (2024+) hevet materialkvaliteten tydelig: imitasjonstre er byttet ut med mykere plast/gummi, strukturerte flater, veganskinn og aluminium på midtkonsollen. Flere uavhengige anmeldere bekrefter at 'tilpasning og finish er umiskjennelig forbedret' sammenlignet med tidligere generasjoner - et reelt løft bort fra B-segment-følelsen kriteriet advarer mot. [Kriterium W010]</t>
        </is>
      </c>
      <c r="H77" t="inlineStr">
        <is>
          <t>EV_000096</t>
        </is>
      </c>
      <c r="I77" t="inlineStr">
        <is>
          <t>1.4</t>
        </is>
      </c>
    </row>
    <row r="78">
      <c r="A78" t="inlineStr">
        <is>
          <t>REV_000077</t>
        </is>
      </c>
      <c r="C78" t="inlineStr">
        <is>
          <t>TESLA_MODEL_3_LONG_RANGE_RWD</t>
        </is>
      </c>
      <c r="D78" t="inlineStr">
        <is>
          <t>Opplevd kvalitet</t>
        </is>
      </c>
      <c r="E78" t="n">
        <v>2</v>
      </c>
      <c r="F78" t="inlineStr">
        <is>
          <t>MEDIUM</t>
        </is>
      </c>
      <c r="G78" t="inlineStr">
        <is>
          <t>Byggekvaliteten er dokumentert uforutsigbar fra bil til bil - 'noen eiere får knirkefrie biler, andre en lang feilliste ved levering.' Knirk/rangling er den vanligste klagen, og Consumer Reports vurderer 2025-modellens generelle pålitelighet under gjennomsnittet, med konkrete svakheter i karosseri-maskinvare (vinduer, dører, låser). Dette er nettopp det motsatte av det 'solide og rolige inntrykket over tid' kriteriet etterspør. [Kriterium W011]</t>
        </is>
      </c>
      <c r="H78" t="inlineStr">
        <is>
          <t>EV_000097</t>
        </is>
      </c>
      <c r="I78" t="inlineStr">
        <is>
          <t>1.4</t>
        </is>
      </c>
    </row>
    <row r="79">
      <c r="A79" t="inlineStr">
        <is>
          <t>REV_000078</t>
        </is>
      </c>
      <c r="C79" t="inlineStr">
        <is>
          <t>TESLA_MODEL_3_LONG_RANGE_RWD</t>
        </is>
      </c>
      <c r="D79" t="inlineStr">
        <is>
          <t>Opplevd kvalitet</t>
        </is>
      </c>
      <c r="E79" t="n">
        <v>4</v>
      </c>
      <c r="F79" t="inlineStr">
        <is>
          <t>MEDIUM</t>
        </is>
      </c>
      <c r="G79" t="inlineStr">
        <is>
          <t>Førermiljøet er bygget rundt én sentral skjerm uten tradisjonelt instrumentpanel - en bevisst, omdiskutert designretning, men Highland-oppdateringens hevede materialkvalitet og helhetlige kupédesign gir en sitteopplevelse som er et tydelig steg opp fra et budsjettpreget referansepunkt som Kia Rio (som selv har gode, men grunnleggende og plastpregede omgivelser, jf. uavhengige Rio-anmeldelser). Den skjermsentrerte tilnærmingen trekker ned isolert sett, men helhetsinntrykket er klart hevet. [Kriterium W012]</t>
        </is>
      </c>
      <c r="H79" t="inlineStr">
        <is>
          <t>EV_000098</t>
        </is>
      </c>
      <c r="I79" t="inlineStr">
        <is>
          <t>1.4</t>
        </is>
      </c>
    </row>
    <row r="80">
      <c r="A80" t="inlineStr">
        <is>
          <t>REV_000079</t>
        </is>
      </c>
      <c r="C80" t="inlineStr">
        <is>
          <t>TESLA_MODEL_3_LONG_RANGE_RWD</t>
        </is>
      </c>
      <c r="D80" t="inlineStr">
        <is>
          <t>Opplevd kvalitet</t>
        </is>
      </c>
      <c r="E80" t="n">
        <v>2</v>
      </c>
      <c r="F80" t="inlineStr">
        <is>
          <t>HIGH</t>
        </is>
      </c>
      <c r="G80" t="inlineStr">
        <is>
          <t>Highland-oppdateringen fjernet den fysiske blinklysspaken til fordel for trykkfølsomme rattknapper - en endring Edmunds sin langtidstest omtalte som reelt utrygg, ikke bare uvant, på grunn av små aktiveringsflater uten taktil differensiering. Girvelgeren flyttet samtidig til skjermen. Samme løsning gjaldt norske/europeiske biler helt frem til en betalt ettermonteringsløsning ble tilgjengelig (fra ca. oktober 2025) - ikke inkludert som standard. Et konkret, dokumentert eksempel på betjening som oppleves lite gjennomtenkt. [Kriterium W013]</t>
        </is>
      </c>
      <c r="H80" t="inlineStr">
        <is>
          <t>EV_000099</t>
        </is>
      </c>
      <c r="I80" t="inlineStr">
        <is>
          <t>1.4</t>
        </is>
      </c>
    </row>
    <row r="81">
      <c r="A81" t="inlineStr">
        <is>
          <t>REV_000080</t>
        </is>
      </c>
      <c r="C81" t="inlineStr">
        <is>
          <t>RENAULT_4_TECHNO</t>
        </is>
      </c>
      <c r="D81" t="inlineStr">
        <is>
          <t>Opplevd kvalitet</t>
        </is>
      </c>
      <c r="E81" t="n">
        <v>4</v>
      </c>
      <c r="F81" t="inlineStr">
        <is>
          <t>MEDIUM</t>
        </is>
      </c>
      <c r="G81" t="inlineStr">
        <is>
          <t>Til tross for å være et av de rimeligste alternativene i klassen, oppleves interiøret ikke billig: harde plastdetaljer er godt gjemt, og stoffinnslag (inkludert quiltet tekstil med gul stikking) løfter det opplevde inntrykket betydelig - 'kun vesentlig dyrere konkurrenter oppleves mer luksuriøse innvendig.' Et solid resultat som tydelig unngår B-segment-fellen kriteriet advarer mot. [Kriterium W010]</t>
        </is>
      </c>
      <c r="H81" t="inlineStr">
        <is>
          <t>EV_000100</t>
        </is>
      </c>
      <c r="I81" t="inlineStr">
        <is>
          <t>1.4</t>
        </is>
      </c>
    </row>
    <row r="82">
      <c r="A82" t="inlineStr">
        <is>
          <t>REV_000081</t>
        </is>
      </c>
      <c r="C82" t="inlineStr">
        <is>
          <t>RENAULT_4_TECHNO</t>
        </is>
      </c>
      <c r="D82" t="inlineStr">
        <is>
          <t>Opplevd kvalitet</t>
        </is>
      </c>
      <c r="E82" t="n">
        <v>2</v>
      </c>
      <c r="F82" t="inlineStr">
        <is>
          <t>MEDIUM</t>
        </is>
      </c>
      <c r="G82" t="inlineStr">
        <is>
          <t>Dokumenterte tidlige svakheter trekker ned: knirk fra dashbordpaneler innen 10 000 km, fløytelyd fra klimaanleggets viftemotor rundt 5 000 km, mulig svikt i den motoriserte ladeportluken, og rapporter om for tidlig utladning av 12V-batteriet på enkelte tidlige 2024-eksemplarer. Bilen er for ny til at et fullstendig langtidsbilde finnes, men de tidlige signalene peker bort fra et 'solid og rolig inntrykk over tid.' [Kriterium W011]</t>
        </is>
      </c>
      <c r="H82" t="inlineStr">
        <is>
          <t>EV_000101</t>
        </is>
      </c>
      <c r="I82" t="inlineStr">
        <is>
          <t>1.4</t>
        </is>
      </c>
    </row>
    <row r="83">
      <c r="A83" t="inlineStr">
        <is>
          <t>REV_000082</t>
        </is>
      </c>
      <c r="C83" t="inlineStr">
        <is>
          <t>RENAULT_4_TECHNO</t>
        </is>
      </c>
      <c r="D83" t="inlineStr">
        <is>
          <t>Opplevd kvalitet</t>
        </is>
      </c>
      <c r="E83" t="n">
        <v>4</v>
      </c>
      <c r="F83" t="inlineStr">
        <is>
          <t>MEDIUM</t>
        </is>
      </c>
      <c r="G83" t="inlineStr">
        <is>
          <t>Kjørestillingen er utmerket med god plass og støttende seter, og infotainmentskjermen er godt plassert og lett å nå. Førermiljøet fremstår moderne og gjennomarbeidet - et tydelig steg opp fra et budsjettreferansepunkt som Kia Rio, selv om det ikke når det mer kommanderende inntrykket enn en Kia EV3. [Kriterium W012]</t>
        </is>
      </c>
      <c r="H83" t="inlineStr">
        <is>
          <t>EV_000102</t>
        </is>
      </c>
      <c r="I83" t="inlineStr">
        <is>
          <t>1.4</t>
        </is>
      </c>
    </row>
    <row r="84">
      <c r="A84" t="inlineStr">
        <is>
          <t>REV_000083</t>
        </is>
      </c>
      <c r="C84" t="inlineStr">
        <is>
          <t>RENAULT_4_TECHNO</t>
        </is>
      </c>
      <c r="D84" t="inlineStr">
        <is>
          <t>Opplevd kvalitet</t>
        </is>
      </c>
      <c r="E84" t="n">
        <v>3</v>
      </c>
      <c r="F84" t="inlineStr">
        <is>
          <t>MEDIUM</t>
        </is>
      </c>
      <c r="G84" t="inlineStr">
        <is>
          <t>Blandet resultat. De fysiske klimaknappene er et konkret eksempel på gjennomtenkt betjening ('fantastisk enkle å bruke,' mindre distraherende enn en skjermløsning). Men rattstammen er overfylt med blinklysspak, skjult volumkontroll, viskerspak og girvelgerspak samlet på ett sted, kombinert med en separat elektronisk parkeringsbrems - en løsning anmeldere finner lite brukervennlig, med rapporterte tilfeller av upålitelig girskift. Ett klart pluss og ett klart minus gir en middels vurdering. [Kriterium W013]</t>
        </is>
      </c>
      <c r="H84" t="inlineStr">
        <is>
          <t>EV_000103</t>
        </is>
      </c>
      <c r="I84" t="inlineStr">
        <is>
          <t>1.4</t>
        </is>
      </c>
    </row>
    <row r="85">
      <c r="A85" t="inlineStr">
        <is>
          <t>REV_000084</t>
        </is>
      </c>
      <c r="C85" t="inlineStr">
        <is>
          <t>SKODA_ELROQ_SELECTION_60</t>
        </is>
      </c>
      <c r="D85" t="inlineStr">
        <is>
          <t>Opplevd kvalitet</t>
        </is>
      </c>
      <c r="E85" t="n">
        <v>4</v>
      </c>
      <c r="F85" t="inlineStr">
        <is>
          <t>MEDIUM</t>
        </is>
      </c>
      <c r="G85" t="inlineStr">
        <is>
          <t>Øvre kupé har 'førsteklasses' materialer med tett, myk-svampet følelse, og det distinkte stoffbetrekket (78 % resirkulert plast) gir et positivt særpreg. Lenger ned på dashbordet og i baksetet er plasten merkbart billigere - et konsentrert, ikke gjennomgående B-segment-kompromiss som trekker ned fra toppscore, men fortsatt et klart løft fra et rendyrket budsjettinteriør. [Kriterium W010]</t>
        </is>
      </c>
      <c r="H85" t="inlineStr">
        <is>
          <t>EV_000104</t>
        </is>
      </c>
      <c r="I85" t="inlineStr">
        <is>
          <t>1.4</t>
        </is>
      </c>
    </row>
    <row r="86">
      <c r="A86" t="inlineStr">
        <is>
          <t>REV_000085</t>
        </is>
      </c>
      <c r="C86" t="inlineStr">
        <is>
          <t>SKODA_ELROQ_SELECTION_60</t>
        </is>
      </c>
      <c r="D86" t="inlineStr">
        <is>
          <t>Opplevd kvalitet</t>
        </is>
      </c>
      <c r="E86" t="n">
        <v>4</v>
      </c>
      <c r="F86" t="inlineStr">
        <is>
          <t>HIGH</t>
        </is>
      </c>
      <c r="G86" t="inlineStr">
        <is>
          <t>Langtidstestere rapporterer ingen knirk eller rangling etter over 4000 miles, med fôrede dørlommer som et bevisst designgrep mot rangling - et solid resultat for et "rolig inntrykk over tid." Et isolert elektrisk vindusbryterproblem og en rapportert 29 % mindre-feil-andel på søskenmodellen Enyaq er små, men reelle signaler om at ikke alt er feilfritt, og holder vurderingen fra toppscore. [Kriterium W011]</t>
        </is>
      </c>
      <c r="H86" t="inlineStr">
        <is>
          <t>EV_000105</t>
        </is>
      </c>
      <c r="I86" t="inlineStr">
        <is>
          <t>1.4</t>
        </is>
      </c>
    </row>
    <row r="87">
      <c r="A87" t="inlineStr">
        <is>
          <t>REV_000086</t>
        </is>
      </c>
      <c r="C87" t="inlineStr">
        <is>
          <t>SKODA_ELROQ_SELECTION_60</t>
        </is>
      </c>
      <c r="D87" t="inlineStr">
        <is>
          <t>Opplevd kvalitet</t>
        </is>
      </c>
      <c r="E87" t="n">
        <v>4</v>
      </c>
      <c r="F87" t="inlineStr">
        <is>
          <t>MEDIUM</t>
        </is>
      </c>
      <c r="G87" t="inlineStr">
        <is>
          <t>Forholdet mellom sete, pedaler og ratt er 'spot on,' med en utmerket kjørestilling for både kortere og høyere sjåfører - et tydelig steg opp fra et budsjettreferansepunkt som Kia Rio. Noe strammere sitteposisjon enn søskenmodellen Enyaq (høyere sjåførers kne kan berøre dashbordet), og laveste utstyrsnivå har manuelle seter - mindre innvendinger som ikke endrer helhetsinntrykket vesentlig. [Kriterium W012]</t>
        </is>
      </c>
      <c r="H87" t="inlineStr">
        <is>
          <t>EV_000106</t>
        </is>
      </c>
      <c r="I87" t="inlineStr">
        <is>
          <t>1.4</t>
        </is>
      </c>
    </row>
    <row r="88">
      <c r="A88" t="inlineStr">
        <is>
          <t>REV_000087</t>
        </is>
      </c>
      <c r="C88" t="inlineStr">
        <is>
          <t>SKODA_ELROQ_SELECTION_60</t>
        </is>
      </c>
      <c r="D88" t="inlineStr">
        <is>
          <t>Opplevd kvalitet</t>
        </is>
      </c>
      <c r="E88" t="n">
        <v>5</v>
      </c>
      <c r="F88" t="inlineStr">
        <is>
          <t>HIGH</t>
        </is>
      </c>
      <c r="G88" t="inlineStr">
        <is>
          <t>I motsetning til mange konkurrenter som gjemmer alt i skjermmenyer eller bruker haptiske/piano-sort-overflater, beholder Elroq dedikerte fysiske hurtigknapper for kjøremodus, kjøreassistenter, klimaanlegg og parkeringssensorer rett under luftventilene - 'alltid betryggende enkle å finne' med minimal distraksjon. Det klareste, mest gjennomtenkte eksempelet på fysisk betjening av de fem konfigurasjonene så langt. [Kriterium W013]</t>
        </is>
      </c>
      <c r="H88" t="inlineStr">
        <is>
          <t>EV_000107</t>
        </is>
      </c>
      <c r="I88" t="inlineStr">
        <is>
          <t>1.4</t>
        </is>
      </c>
    </row>
    <row r="89">
      <c r="A89" t="inlineStr">
        <is>
          <t>REV_000088</t>
        </is>
      </c>
      <c r="C89" t="inlineStr">
        <is>
          <t>VOLVO_EX30_P8_AWD</t>
        </is>
      </c>
      <c r="D89" t="inlineStr">
        <is>
          <t>Opplevd kvalitet</t>
        </is>
      </c>
      <c r="E89" t="n">
        <v>3</v>
      </c>
      <c r="F89" t="inlineStr">
        <is>
          <t>MEDIUM</t>
        </is>
      </c>
      <c r="G89" t="inlineStr">
        <is>
          <t>Hyppig berørte flater (ratt, øvre dashbord) oppleves kvalitetsmessig gode, men skrapete plast dukker opp lenger ned og på dørpaneler. Et av interiøralternativene (resirkulert 'Particle'-trim fra PVC-vindusrammer) er kreativt og særpreget, men beskrives også som hard og skjør plast - ikke en kvalitetsopplevelse i tradisjonell forstand. Et blandet resultat, verken et rendyrket B-segment-kompromiss eller en gjennomgående kvalitetsopplevelse. [Kriterium W010]</t>
        </is>
      </c>
      <c r="H89" t="inlineStr">
        <is>
          <t>EV_000108</t>
        </is>
      </c>
      <c r="I89" t="inlineStr">
        <is>
          <t>1.4</t>
        </is>
      </c>
    </row>
    <row r="90">
      <c r="A90" t="inlineStr">
        <is>
          <t>REV_000089</t>
        </is>
      </c>
      <c r="C90" t="inlineStr">
        <is>
          <t>VOLVO_EX30_P8_AWD</t>
        </is>
      </c>
      <c r="D90" t="inlineStr">
        <is>
          <t>Opplevd kvalitet</t>
        </is>
      </c>
      <c r="E90" t="n">
        <v>2</v>
      </c>
      <c r="F90" t="inlineStr">
        <is>
          <t>MEDIUM</t>
        </is>
      </c>
      <c r="G90" t="inlineStr">
        <is>
          <t>Spredte, 'ikke krisenivå'-rapporter om knirk, feiljustert bakluke og vindtetningsproblemer er typisk førsteårs-støy. Langt mer alvorlig: en global tilbakekalling av over 40 000 EX30-biler (sent 2025) for batterimoduler som kan overopphetes under lading forbi ca. 70 % - et konkret, dokumentert brudd på 'et solid og rolig inntrykk over tid.' Mekanisk pålitelighet ellers vurderes som grei, men umoden. [Kriterium W011]</t>
        </is>
      </c>
      <c r="H90" t="inlineStr">
        <is>
          <t>EV_000109</t>
        </is>
      </c>
      <c r="I90" t="inlineStr">
        <is>
          <t>1.4</t>
        </is>
      </c>
    </row>
    <row r="91">
      <c r="A91" t="inlineStr">
        <is>
          <t>REV_000090</t>
        </is>
      </c>
      <c r="C91" t="inlineStr">
        <is>
          <t>VOLVO_EX30_P8_AWD</t>
        </is>
      </c>
      <c r="D91" t="inlineStr">
        <is>
          <t>Opplevd kvalitet</t>
        </is>
      </c>
      <c r="E91" t="n">
        <v>3</v>
      </c>
      <c r="F91" t="inlineStr">
        <is>
          <t>MEDIUM</t>
        </is>
      </c>
      <c r="G91" t="inlineStr">
        <is>
          <t>Setene og kjørestillingen får gjennomgående ros og er et tydelig steg opp fra et budsjettreferansepunkt som Kia Rio. Men fraværet av et tradisjonelt instrumentpanel eller head-up-display - all kjøreinformasjon samlet på sideskjermen - trekker blikket vekk fra veien og oppleves som en reell miljømessig svakhet ved førerplassen, ikke bare en smakssak. Et sete-/posisjonsmessig pluss veies opp mot et informasjonsplassering-minus. [Kriterium W012]</t>
        </is>
      </c>
      <c r="H91" t="inlineStr">
        <is>
          <t>EV_000110</t>
        </is>
      </c>
      <c r="I91" t="inlineStr">
        <is>
          <t>1.4</t>
        </is>
      </c>
    </row>
    <row r="92">
      <c r="A92" t="inlineStr">
        <is>
          <t>REV_000091</t>
        </is>
      </c>
      <c r="C92" t="inlineStr">
        <is>
          <t>VOLVO_EX30_P8_AWD</t>
        </is>
      </c>
      <c r="D92" t="inlineStr">
        <is>
          <t>Opplevd kvalitet</t>
        </is>
      </c>
      <c r="E92" t="n">
        <v>1</v>
      </c>
      <c r="F92" t="inlineStr">
        <is>
          <t>HIGH</t>
        </is>
      </c>
      <c r="G92" t="inlineStr">
        <is>
          <t>Den minimalistiske tilnærmingen fjerner fysiske knapper for grunnleggende funksjoner de fleste biler har som standard: sidespeiljustering, temperatur, seteputevarme, bakre tåkelys, og til og med hanskerommet - alt krever skjermnavigering. Nesten samtlige anmeldelser peker på nettopp dette som bilens største enkeltsvakhet. Det mest gjennomgående dokumenterte, minst gjennomtenkte betjeningsopplegget av de fem konfigurasjonene. [Kriterium W013]</t>
        </is>
      </c>
      <c r="H92" t="inlineStr">
        <is>
          <t>EV_000111</t>
        </is>
      </c>
      <c r="I92" t="inlineStr">
        <is>
          <t>1.4</t>
        </is>
      </c>
    </row>
    <row r="93">
      <c r="A93" t="inlineStr">
        <is>
          <t>REV_000092</t>
        </is>
      </c>
      <c r="C93" t="inlineStr">
        <is>
          <t>KIA_EV2_FWD_LONG_RANGE_GT_LINE</t>
        </is>
      </c>
      <c r="D93" t="inlineStr">
        <is>
          <t>Opplevd kvalitet</t>
        </is>
      </c>
      <c r="E93" t="n">
        <v>4</v>
      </c>
      <c r="F93" t="inlineStr">
        <is>
          <t>HIGH</t>
        </is>
      </c>
      <c r="G93" t="inlineStr">
        <is>
          <t>Rikelig med hard plast er til stede, men alt oppleves 'godt sammenskrudd' og glatt fremfor billig. GT-Line-utstyrsnivået (denne konfigurasjonen) får resirkulerte stoffinnlegg på dashbord og dørpaneler for et mer oppgradert preg. Anmeldere er samstemte i at kvaliteten overgår forventningene til prisklassen - et klart løft bort fra B-segment-følelsen. [Kriterium W010]</t>
        </is>
      </c>
      <c r="H93" t="inlineStr">
        <is>
          <t>EV_000112</t>
        </is>
      </c>
      <c r="I93" t="inlineStr">
        <is>
          <t>1.4</t>
        </is>
      </c>
    </row>
    <row r="94">
      <c r="A94" t="inlineStr">
        <is>
          <t>REV_000093</t>
        </is>
      </c>
      <c r="C94" t="inlineStr">
        <is>
          <t>KIA_EV2_FWD_LONG_RANGE_GT_LINE</t>
        </is>
      </c>
      <c r="D94" t="inlineStr">
        <is>
          <t>Opplevd kvalitet</t>
        </is>
      </c>
      <c r="E94" t="n">
        <v>4</v>
      </c>
      <c r="F94" t="inlineStr">
        <is>
          <t>MEDIUM</t>
        </is>
      </c>
      <c r="G94" t="inlineStr">
        <is>
          <t>Ingen vesentlige rapporter om knirk eller kvalitetsproblemer i de tidlige anmeldelsene - byggekvalitet fremheves som en styrke sammenlignet med konkurrentene, med kun en mindre innvending om upraktiske koppholdere. Bilen er imidlertid så ny (salg startet 2. juli 2026) at dette er et førsteinntrykk, ikke et dokumentert langtidsresultat - 'solid og rolig inntrykk over tid' kan ennå ikke bekreftes med reell tid bak seg. [Kriterium W011]</t>
        </is>
      </c>
      <c r="H94" t="inlineStr">
        <is>
          <t>EV_000113</t>
        </is>
      </c>
      <c r="I94" t="inlineStr">
        <is>
          <t>1.4</t>
        </is>
      </c>
    </row>
    <row r="95">
      <c r="A95" t="inlineStr">
        <is>
          <t>REV_000094</t>
        </is>
      </c>
      <c r="C95" t="inlineStr">
        <is>
          <t>KIA_EV2_FWD_LONG_RANGE_GT_LINE</t>
        </is>
      </c>
      <c r="D95" t="inlineStr">
        <is>
          <t>Opplevd kvalitet</t>
        </is>
      </c>
      <c r="E95" t="n">
        <v>5</v>
      </c>
      <c r="F95" t="inlineStr">
        <is>
          <t>HIGH</t>
        </is>
      </c>
      <c r="G95" t="inlineStr">
        <is>
          <t>Høyere sitteposisjon enn typiske små elbiler, gode utsiktsforhold, og et helelektrisk justerbart førersete med korsryggstøtte (GT-Line-spesifikt) som stemmer godt overens med ratt og pedaler. Det mest helhetlig positive og trim-spesifikke resultatet for førermiljø av de fem konfigurasjonene - et tydelig, godt dokumentert steg opp fra et budsjettreferansepunkt som Kia Rio. [Kriterium W012]</t>
        </is>
      </c>
      <c r="H95" t="inlineStr">
        <is>
          <t>EV_000114</t>
        </is>
      </c>
      <c r="I95" t="inlineStr">
        <is>
          <t>1.4</t>
        </is>
      </c>
    </row>
    <row r="96">
      <c r="A96" t="inlineStr">
        <is>
          <t>REV_000095</t>
        </is>
      </c>
      <c r="C96" t="inlineStr">
        <is>
          <t>KIA_EV2_FWD_LONG_RANGE_GT_LINE</t>
        </is>
      </c>
      <c r="D96" t="inlineStr">
        <is>
          <t>Opplevd kvalitet</t>
        </is>
      </c>
      <c r="E96" t="n">
        <v>5</v>
      </c>
      <c r="F96" t="inlineStr">
        <is>
          <t>HIGH</t>
        </is>
      </c>
      <c r="G96" t="inlineStr">
        <is>
          <t>Kia har beholdt fysiske brytere for temperatur, viftehastighet, seteputevarme og volum, pluss snarveisknapper under skjermen - 'et virkelig nyttig sett med fysiske knapper og kontroller,' fremfor å presse alt inn i skjermmenyer slik enkelte rivaler gjør. Sammen med Skoda det klareste eksempelet på gjennomtenkt fysisk betjening av de fem konfigurasjonene. [Kriterium W013]</t>
        </is>
      </c>
      <c r="H96" t="inlineStr">
        <is>
          <t>EV_000115</t>
        </is>
      </c>
      <c r="I96" t="inlineStr">
        <is>
          <t>1.4</t>
        </is>
      </c>
    </row>
  </sheetData>
  <autoFilter ref="A1:I1"/>
  <dataValidations count="1">
    <dataValidation sqref="F2:F1048576" showDropDown="0" showInputMessage="0" showErrorMessage="1" allowBlank="1" type="list">
      <formula1>Enum_Confidence</formula1>
    </dataValidation>
  </dataValidations>
  <pageMargins left="0.7" right="0.7" top="0.75" bottom="0.75" header="0.3" footer="0.3"/>
</worksheet>
</file>

<file path=xl/worksheets/sheet9.xml><?xml version="1.0" encoding="utf-8"?>
<worksheet xmlns="http://schemas.openxmlformats.org/spreadsheetml/2006/main">
  <sheetPr>
    <outlinePr summaryBelow="1" summaryRight="1"/>
    <pageSetUpPr/>
  </sheetPr>
  <dimension ref="A1:H116"/>
  <sheetViews>
    <sheetView showGridLines="1" workbookViewId="0">
      <pane ySplit="1" topLeftCell="A2" activePane="bottomLeft" state="frozen"/>
      <selection pane="bottomLeft" activeCell="A2" sqref="A2"/>
    </sheetView>
  </sheetViews>
  <sheetFormatPr baseColWidth="8" defaultRowHeight="15"/>
  <cols>
    <col width="20" customWidth="1" min="1" max="1"/>
    <col width="24" customWidth="1" min="2" max="2"/>
    <col width="32" customWidth="1" min="3" max="3"/>
    <col width="90" customWidth="1" min="4" max="4"/>
    <col width="32" customWidth="1" min="5" max="5"/>
    <col width="16" customWidth="1" min="6" max="6"/>
  </cols>
  <sheetData>
    <row r="1" ht="22" customHeight="1">
      <c r="A1" s="1" t="inlineStr">
        <is>
          <t>EvidenceID</t>
        </is>
      </c>
      <c r="B1" s="1" t="inlineStr">
        <is>
          <t>VehicleID</t>
        </is>
      </c>
      <c r="C1" s="1" t="inlineStr">
        <is>
          <t>ConfigurationID</t>
        </is>
      </c>
      <c r="D1" s="1" t="inlineStr">
        <is>
          <t>Observation</t>
        </is>
      </c>
      <c r="E1" s="1" t="inlineStr">
        <is>
          <t>SourceID</t>
        </is>
      </c>
      <c r="F1" s="1" t="inlineStr">
        <is>
          <t>Confidence</t>
        </is>
      </c>
      <c r="G1" s="1" t="n"/>
      <c r="H1" s="1" t="n"/>
    </row>
    <row r="2">
      <c r="A2" t="inlineStr">
        <is>
          <t>EV_000001</t>
        </is>
      </c>
      <c r="B2" t="inlineStr">
        <is>
          <t>TESLA_MODEL_3</t>
        </is>
      </c>
      <c r="D2" t="inlineStr">
        <is>
          <t>Cabin/road noise (2024+ refresh): Motor.no: tire noise now among the best in class; noise level noticeably lower after the 2024 refresh (tested: Long Range AWD).</t>
        </is>
      </c>
      <c r="E2" t="inlineStr">
        <is>
          <t>SRC_MOTORNO_MODEL3_2024</t>
        </is>
      </c>
      <c r="F2" t="inlineStr">
        <is>
          <t>HIGH</t>
        </is>
      </c>
    </row>
    <row r="3">
      <c r="A3" t="inlineStr">
        <is>
          <t>EV_000002</t>
        </is>
      </c>
      <c r="B3" t="inlineStr">
        <is>
          <t>TESLA_MODEL_3</t>
        </is>
      </c>
      <c r="D3" t="inlineStr">
        <is>
          <t>Cabin/road noise (2024+ refresh): Cars.com: NVH reduced a claimed 20% vs. previous generation; thicker padding, insulation and new acoustic glass muffle the interior (tested: Long Range).</t>
        </is>
      </c>
      <c r="E3" t="inlineStr">
        <is>
          <t>SRC_CARSCOM_MODEL3_2024</t>
        </is>
      </c>
      <c r="F3" t="inlineStr">
        <is>
          <t>HIGH</t>
        </is>
      </c>
    </row>
    <row r="4">
      <c r="A4" t="inlineStr">
        <is>
          <t>EV_000003</t>
        </is>
      </c>
      <c r="B4" t="inlineStr">
        <is>
          <t>TESLA_MODEL_3</t>
        </is>
      </c>
      <c r="D4" t="inlineStr">
        <is>
          <t>Ride comfort/suspension: Motor.no: stiff at low speed, comfortable at higher speeds; scored 8/10 for comfort (tested: Long Range AWD).</t>
        </is>
      </c>
      <c r="E4" t="inlineStr">
        <is>
          <t>SRC_MOTORNO_MODEL3_2024</t>
        </is>
      </c>
      <c r="F4" t="inlineStr">
        <is>
          <t>MEDIUM</t>
        </is>
      </c>
    </row>
    <row r="5">
      <c r="A5" t="inlineStr">
        <is>
          <t>EV_000004</t>
        </is>
      </c>
      <c r="B5" t="inlineStr">
        <is>
          <t>TESLA_MODEL_3</t>
        </is>
      </c>
      <c r="D5" t="inlineStr">
        <is>
          <t>Ride comfort/suspension: Cars.com: frequency-dependent damper valves adapt to impacts; no jarring hits or unsettledness; tire impacts quieter and less intrusive (tested: Long Range).</t>
        </is>
      </c>
      <c r="E5" t="inlineStr">
        <is>
          <t>SRC_CARSCOM_MODEL3_2024</t>
        </is>
      </c>
      <c r="F5" t="inlineStr">
        <is>
          <t>MEDIUM</t>
        </is>
      </c>
    </row>
    <row r="6">
      <c r="A6" t="inlineStr">
        <is>
          <t>EV_000005</t>
        </is>
      </c>
      <c r="B6" t="inlineStr">
        <is>
          <t>TESLA_MODEL_3</t>
        </is>
      </c>
      <c r="D6" t="inlineStr">
        <is>
          <t>Steering precision: Motor.no: direct, somewhat heavy steering feel with immediate response to small inputs; awarded 10/10 for driving characteristics (tested: Long Range AWD).</t>
        </is>
      </c>
      <c r="E6" t="inlineStr">
        <is>
          <t>SRC_MOTORNO_MODEL3_2024</t>
        </is>
      </c>
      <c r="F6" t="inlineStr">
        <is>
          <t>MEDIUM</t>
        </is>
      </c>
    </row>
    <row r="7">
      <c r="A7" t="inlineStr">
        <is>
          <t>EV_000006</t>
        </is>
      </c>
      <c r="B7" t="inlineStr">
        <is>
          <t>TESLA_MODEL_3</t>
        </is>
      </c>
      <c r="D7" t="inlineStr">
        <is>
          <t>Forward/rear visibility: Motor.no: excellent forward visibility, poor rearward visibility (tested: Long Range AWD).</t>
        </is>
      </c>
      <c r="E7" t="inlineStr">
        <is>
          <t>SRC_MOTORNO_MODEL3_2024</t>
        </is>
      </c>
      <c r="F7" t="inlineStr">
        <is>
          <t>MEDIUM</t>
        </is>
      </c>
    </row>
    <row r="8">
      <c r="A8" t="inlineStr">
        <is>
          <t>EV_000007</t>
        </is>
      </c>
      <c r="B8" t="inlineStr">
        <is>
          <t>TESLA_MODEL_3</t>
        </is>
      </c>
      <c r="D8" t="inlineStr">
        <is>
          <t>Infotainment control scheme: Cars.com: touch-capacitive turn-signal controls "didn't engage at all" at times, reviewer "often hit the wrong turn direction"; phone key occasionally failed to recognize presence (tested: Long Range).</t>
        </is>
      </c>
      <c r="E8" t="inlineStr">
        <is>
          <t>SRC_CARSCOM_MODEL3_2024</t>
        </is>
      </c>
      <c r="F8" t="inlineStr">
        <is>
          <t>MEDIUM</t>
        </is>
      </c>
    </row>
    <row r="9">
      <c r="A9" t="inlineStr">
        <is>
          <t>EV_000008</t>
        </is>
      </c>
      <c r="B9" t="inlineStr">
        <is>
          <t>TESLA_MODEL_3</t>
        </is>
      </c>
      <c r="D9" t="inlineStr">
        <is>
          <t>Apple CarPlay availability: MacRumors (2025-11-16): CarPlay not currently supported on any Tesla model; Tesla plans standard wireless CarPlay 'in coming months' per Bloomberg's Mark Gurman, appearing as a window within Tesla's interface rather than replacing it.</t>
        </is>
      </c>
      <c r="E9" t="inlineStr">
        <is>
          <t>SRC_MACRUMORS_CARPLAY_2025</t>
        </is>
      </c>
      <c r="F9" t="inlineStr">
        <is>
          <t>MEDIUM</t>
        </is>
      </c>
    </row>
    <row r="10">
      <c r="A10" t="inlineStr">
        <is>
          <t>EV_000009</t>
        </is>
      </c>
      <c r="C10" t="inlineStr">
        <is>
          <t>TESLA_MODEL_3_LONG_RANGE_RWD</t>
        </is>
      </c>
      <c r="D10" t="inlineStr">
        <is>
          <t>DC fast-charging power: Official Tesla specification: Supercharging-Max rated at 250 kW, adding up to 282 km of range in 15 minutes for the Long Range bakhjulsdrift configuration.</t>
        </is>
      </c>
      <c r="E10" t="inlineStr">
        <is>
          <t>SRC_TESLA_NO_MODEL3_CONFIGURATOR</t>
        </is>
      </c>
      <c r="F10" t="inlineStr">
        <is>
          <t>MEDIUM</t>
        </is>
      </c>
    </row>
    <row r="11">
      <c r="A11" t="inlineStr">
        <is>
          <t>EV_000010</t>
        </is>
      </c>
      <c r="C11" t="inlineStr">
        <is>
          <t>TESLA_MODEL_3_LONG_RANGE_RWD</t>
        </is>
      </c>
      <c r="D11" t="inlineStr">
        <is>
          <t>Real-world energy consumption: Official Tesla specification: rated power consumption of 13.6 kWh/100km for Long Range bakhjulsdrift, CO2 efficiency class A.</t>
        </is>
      </c>
      <c r="E11" t="inlineStr">
        <is>
          <t>SRC_TESLA_NO_MODEL3_CONFIGURATOR</t>
        </is>
      </c>
      <c r="F11" t="inlineStr">
        <is>
          <t>MEDIUM</t>
        </is>
      </c>
    </row>
    <row r="12">
      <c r="A12" t="inlineStr">
        <is>
          <t>EV_000011</t>
        </is>
      </c>
      <c r="B12" t="inlineStr">
        <is>
          <t>RENAULT_4</t>
        </is>
      </c>
      <c r="D12" t="inlineStr">
        <is>
          <t>Cabin/road noise: RAC Drive: "impressively quiet... little wind or road noise", easy to travel long distances (tested: 150 Comfort Range).</t>
        </is>
      </c>
      <c r="E12" t="inlineStr">
        <is>
          <t>SRC_RAC_R4_2026</t>
        </is>
      </c>
      <c r="F12" t="inlineStr">
        <is>
          <t>MEDIUM</t>
        </is>
      </c>
    </row>
    <row r="13">
      <c r="A13" t="inlineStr">
        <is>
          <t>EV_000012</t>
        </is>
      </c>
      <c r="B13" t="inlineStr">
        <is>
          <t>RENAULT_4</t>
        </is>
      </c>
      <c r="D13" t="inlineStr">
        <is>
          <t>Ride comfort/suspension: Motor.no: "Bilen tramper urolig rundt pa ujevn vei, og harde skjoter gir ubehagelig humpete kjoring" - large 18" standard wheels place high demands on the suspension for a relaxed ride (tested: 150 Comfort Range).</t>
        </is>
      </c>
      <c r="E13" t="inlineStr">
        <is>
          <t>SRC_MOTORNO_R4_2025</t>
        </is>
      </c>
      <c r="F13" t="inlineStr">
        <is>
          <t>LOW</t>
        </is>
      </c>
    </row>
    <row r="14">
      <c r="A14" t="inlineStr">
        <is>
          <t>EV_000013</t>
        </is>
      </c>
      <c r="B14" t="inlineStr">
        <is>
          <t>RENAULT_4</t>
        </is>
      </c>
      <c r="D14" t="inlineStr">
        <is>
          <t>Ride comfort/suspension: RAC Drive: ride "smooths out with speed", suspension "smothers potholes and speed bumps quietly" - directly contradicts Motor.no's finding on the same 150 Comfort Range powertrain (tested: 150 Comfort Range).</t>
        </is>
      </c>
      <c r="E14" t="inlineStr">
        <is>
          <t>SRC_RAC_R4_2026</t>
        </is>
      </c>
      <c r="F14" t="inlineStr">
        <is>
          <t>LOW</t>
        </is>
      </c>
    </row>
    <row r="15">
      <c r="A15" t="inlineStr">
        <is>
          <t>EV_000014</t>
        </is>
      </c>
      <c r="B15" t="inlineStr">
        <is>
          <t>RENAULT_4</t>
        </is>
      </c>
      <c r="D15" t="inlineStr">
        <is>
          <t>Rear-seat space and visibility: Motor.no: a 180cm passenger only just fits behind an equally tall driver in the rear seats; higher seating position improves overview of surroundings, though pedal placement remains tight (tested: 150 Comfort Range).</t>
        </is>
      </c>
      <c r="E15" t="inlineStr">
        <is>
          <t>SRC_MOTORNO_R4_2025</t>
        </is>
      </c>
      <c r="F15" t="inlineStr">
        <is>
          <t>MEDIUM</t>
        </is>
      </c>
    </row>
    <row r="16">
      <c r="A16" t="inlineStr">
        <is>
          <t>EV_000015</t>
        </is>
      </c>
      <c r="B16" t="inlineStr">
        <is>
          <t>RENAULT_4</t>
        </is>
      </c>
      <c r="D16" t="inlineStr">
        <is>
          <t>Steering precision: RAC Drive: steering is "accurate and well weighted, making it easy to place into a corner" (tested: 150 Comfort Range).</t>
        </is>
      </c>
      <c r="E16" t="inlineStr">
        <is>
          <t>SRC_RAC_R4_2026</t>
        </is>
      </c>
      <c r="F16" t="inlineStr">
        <is>
          <t>MEDIUM</t>
        </is>
      </c>
    </row>
    <row r="17">
      <c r="A17" t="inlineStr">
        <is>
          <t>EV_000016</t>
        </is>
      </c>
      <c r="B17" t="inlineStr">
        <is>
          <t>RENAULT_4</t>
        </is>
      </c>
      <c r="D17" t="inlineStr">
        <is>
          <t>Infotainment/software quality: Motor.no: "Infotainmentsystemet fra Google er blant de bedre" - voice control and route planning with automatic battery preheating "fungerer stralende" (tested: 150 Comfort Range).</t>
        </is>
      </c>
      <c r="E17" t="inlineStr">
        <is>
          <t>SRC_MOTORNO_R4_2025</t>
        </is>
      </c>
      <c r="F17" t="inlineStr">
        <is>
          <t>MEDIUM</t>
        </is>
      </c>
    </row>
    <row r="18">
      <c r="A18" t="inlineStr">
        <is>
          <t>EV_000017</t>
        </is>
      </c>
      <c r="B18" t="inlineStr">
        <is>
          <t>RENAULT_4</t>
        </is>
      </c>
      <c r="D18" t="inlineStr">
        <is>
          <t>Apple CarPlay availability: Official Renault Norway specification lists wired/wireless smartphone mirroring with Android Auto and Apple CarPlay as standard; RAC Drive independently confirms "Android Auto and Apple CarPlay smartphone mirroring comes on all models."</t>
        </is>
      </c>
      <c r="E18" t="inlineStr">
        <is>
          <t>SRC_RENAULT_NO_R4_PAGE</t>
        </is>
      </c>
      <c r="F18" t="inlineStr">
        <is>
          <t>HIGH</t>
        </is>
      </c>
    </row>
    <row r="19">
      <c r="A19" t="inlineStr">
        <is>
          <t>EV_000018</t>
        </is>
      </c>
      <c r="C19" t="inlineStr">
        <is>
          <t>RENAULT_4_TECHNO</t>
        </is>
      </c>
      <c r="D19" t="inlineStr">
        <is>
          <t>DC fast-charging power: Official Renault Norway price list: DC fast charging up to 100 kW, 15-80% in approximately 30 minutes, for the 52 kWh Comfort Range battery fitted to Techno.</t>
        </is>
      </c>
      <c r="E19" t="inlineStr">
        <is>
          <t>SRC_RENAULT_NO_R4_PRICELIST</t>
        </is>
      </c>
      <c r="F19" t="inlineStr">
        <is>
          <t>MEDIUM</t>
        </is>
      </c>
    </row>
    <row r="20">
      <c r="A20" t="inlineStr">
        <is>
          <t>EV_000019</t>
        </is>
      </c>
      <c r="C20" t="inlineStr">
        <is>
          <t>RENAULT_4_TECHNO</t>
        </is>
      </c>
      <c r="D20" t="inlineStr">
        <is>
          <t>Real-world energy consumption: Official Renault Norway price list: rated consumption of 155 Wh/km (15.5 kWh/100km) for Techno (52 kWh Comfort Range).</t>
        </is>
      </c>
      <c r="E20" t="inlineStr">
        <is>
          <t>SRC_RENAULT_NO_R4_PRICELIST</t>
        </is>
      </c>
      <c r="F20" t="inlineStr">
        <is>
          <t>MEDIUM</t>
        </is>
      </c>
    </row>
    <row r="21">
      <c r="A21" t="inlineStr">
        <is>
          <t>EV_000020</t>
        </is>
      </c>
      <c r="B21" t="inlineStr">
        <is>
          <t>SKODA_ELROQ</t>
        </is>
      </c>
      <c r="D21" t="inlineStr">
        <is>
          <t>Cabin/road noise: Motor.no: "hjulstoyen - en familiesvakhet for bilene pa MEB-plattformen - som odelegger her"; Elroq had the most wheel noise of five compared cars (tested: Elroq 60 with Motor-pakke).</t>
        </is>
      </c>
      <c r="E21" t="inlineStr">
        <is>
          <t>SRC_MOTORNO_ELROQ_2025</t>
        </is>
      </c>
      <c r="F21" t="inlineStr">
        <is>
          <t>MEDIUM</t>
        </is>
      </c>
    </row>
    <row r="22">
      <c r="A22" t="inlineStr">
        <is>
          <t>EV_000021</t>
        </is>
      </c>
      <c r="B22" t="inlineStr">
        <is>
          <t>SKODA_ELROQ</t>
        </is>
      </c>
      <c r="D22" t="inlineStr">
        <is>
          <t>Cabin/road noise: What Car?: "fractionally quieter at 70mph than the EV3, S5 and Scenic. Road noise is minimal" - directly contradicts Motor.no's finding on wheel/road noise.</t>
        </is>
      </c>
      <c r="E22" t="inlineStr">
        <is>
          <t>SRC_WHATCAR_ELROQ_2026</t>
        </is>
      </c>
      <c r="F22" t="inlineStr">
        <is>
          <t>MEDIUM</t>
        </is>
      </c>
    </row>
    <row r="23">
      <c r="A23" t="inlineStr">
        <is>
          <t>EV_000022</t>
        </is>
      </c>
      <c r="B23" t="inlineStr">
        <is>
          <t>SKODA_ELROQ</t>
        </is>
      </c>
      <c r="D23" t="inlineStr">
        <is>
          <t>Ride comfort/suspension: Motor.no: "Fjaeringen er stiv i lavere fart, fast og fin i hoyere fart" (tested: Elroq 60 with Motor-pakke).</t>
        </is>
      </c>
      <c r="E23" t="inlineStr">
        <is>
          <t>SRC_MOTORNO_ELROQ_2025</t>
        </is>
      </c>
      <c r="F23" t="inlineStr">
        <is>
          <t>MEDIUM</t>
        </is>
      </c>
    </row>
    <row r="24">
      <c r="A24" t="inlineStr">
        <is>
          <t>EV_000023</t>
        </is>
      </c>
      <c r="B24" t="inlineStr">
        <is>
          <t>SKODA_ELROQ</t>
        </is>
      </c>
      <c r="D24" t="inlineStr">
        <is>
          <t>Ride comfort/suspension: What Car?: "standard suspension absorbs imperfections in the road surface extremely well and delivers a controlled ride at all speeds."</t>
        </is>
      </c>
      <c r="E24" t="inlineStr">
        <is>
          <t>SRC_WHATCAR_ELROQ_2026</t>
        </is>
      </c>
      <c r="F24" t="inlineStr">
        <is>
          <t>MEDIUM</t>
        </is>
      </c>
    </row>
    <row r="25">
      <c r="A25" t="inlineStr">
        <is>
          <t>EV_000024</t>
        </is>
      </c>
      <c r="B25" t="inlineStr">
        <is>
          <t>SKODA_ELROQ</t>
        </is>
      </c>
      <c r="D25" t="inlineStr">
        <is>
          <t>Outward visibility: RAC Drive: good forward visibility overall; "like many rivals the small rear window restricts your rear view a bit."</t>
        </is>
      </c>
      <c r="E25" t="inlineStr">
        <is>
          <t>SRC_RAC_ELROQ_2026</t>
        </is>
      </c>
      <c r="F25" t="inlineStr">
        <is>
          <t>MEDIUM</t>
        </is>
      </c>
    </row>
    <row r="26">
      <c r="A26" t="inlineStr">
        <is>
          <t>EV_000025</t>
        </is>
      </c>
      <c r="B26" t="inlineStr">
        <is>
          <t>SKODA_ELROQ</t>
        </is>
      </c>
      <c r="D26" t="inlineStr">
        <is>
          <t>Steering precision: What Car?: "steering is well-weighted and precise" with a "helpful tight turning circle."</t>
        </is>
      </c>
      <c r="E26" t="inlineStr">
        <is>
          <t>SRC_WHATCAR_ELROQ_2026</t>
        </is>
      </c>
      <c r="F26" t="inlineStr">
        <is>
          <t>MEDIUM</t>
        </is>
      </c>
    </row>
    <row r="27">
      <c r="A27" t="inlineStr">
        <is>
          <t>EV_000026</t>
        </is>
      </c>
      <c r="B27" t="inlineStr">
        <is>
          <t>SKODA_ELROQ</t>
        </is>
      </c>
      <c r="D27" t="inlineStr">
        <is>
          <t>Infotainment/software quality: Motor.no: "Betjeningen - ikke minst den pa rattet - er kanskje best av alle," praising a "fin miks av analoge og digitale funksjoner." What Car?: "responds quickly enough and is much easier to operate than... Mini Countryman Electric," though "EV3 and Scenic are even better."</t>
        </is>
      </c>
      <c r="E27" t="inlineStr">
        <is>
          <t>SRC_MOTORNO_ELROQ_2025</t>
        </is>
      </c>
      <c r="F27" t="inlineStr">
        <is>
          <t>HIGH</t>
        </is>
      </c>
    </row>
    <row r="28">
      <c r="A28" t="inlineStr">
        <is>
          <t>EV_000027</t>
        </is>
      </c>
      <c r="B28" t="inlineStr">
        <is>
          <t>SKODA_ELROQ</t>
        </is>
      </c>
      <c r="D28" t="inlineStr">
        <is>
          <t>Apple CarPlay availability: What Car? confirms "wireless Android Auto and Apple CarPlay smartphone mirroring" on all models; corroborated by official Skoda Norway price list footnote (SmartLink wireless, compatible with Android Auto and Apple CarPlay, standard on all trims).</t>
        </is>
      </c>
      <c r="E28" t="inlineStr">
        <is>
          <t>SRC_WHATCAR_ELROQ_2026</t>
        </is>
      </c>
      <c r="F28" t="inlineStr">
        <is>
          <t>HIGH</t>
        </is>
      </c>
    </row>
    <row r="29">
      <c r="A29" t="inlineStr">
        <is>
          <t>EV_000028</t>
        </is>
      </c>
      <c r="C29" t="inlineStr">
        <is>
          <t>SKODA_ELROQ_SELECTION_60</t>
        </is>
      </c>
      <c r="D29" t="inlineStr">
        <is>
          <t>DC fast-charging power: Official Skoda Norway price list: DC fast charging up to 105 kW, 10-80% in approximately 26 minutes, for Selection 60 (58 kWh).</t>
        </is>
      </c>
      <c r="E29" t="inlineStr">
        <is>
          <t>SRC_SKODA_NO_ELROQ_PRICELIST</t>
        </is>
      </c>
      <c r="F29" t="inlineStr">
        <is>
          <t>MEDIUM</t>
        </is>
      </c>
    </row>
    <row r="30">
      <c r="A30" t="inlineStr">
        <is>
          <t>EV_000029</t>
        </is>
      </c>
      <c r="C30" t="inlineStr">
        <is>
          <t>SKODA_ELROQ_SELECTION_60</t>
        </is>
      </c>
      <c r="D30" t="inlineStr">
        <is>
          <t>Real-world energy consumption: Official Skoda Norway price list: rated consumption of 15,3 kWh/100km for Selection 60.</t>
        </is>
      </c>
      <c r="E30" t="inlineStr">
        <is>
          <t>SRC_SKODA_NO_ELROQ_PRICELIST</t>
        </is>
      </c>
      <c r="F30" t="inlineStr">
        <is>
          <t>MEDIUM</t>
        </is>
      </c>
    </row>
    <row r="31">
      <c r="A31" t="inlineStr">
        <is>
          <t>EV_000030</t>
        </is>
      </c>
      <c r="B31" t="inlineStr">
        <is>
          <t>VOLVO_EX30</t>
        </is>
      </c>
      <c r="D31" t="inlineStr">
        <is>
          <t>Cabin/road noise: Motor.no: "Lite hjulstoy pa piggfrie vinterdekk" (minimal tire noise on studless winter tires) (tested: P8 AWD).</t>
        </is>
      </c>
      <c r="E31" t="inlineStr">
        <is>
          <t>SRC_MOTORNO_EX30_2024</t>
        </is>
      </c>
      <c r="F31" t="inlineStr">
        <is>
          <t>MEDIUM</t>
        </is>
      </c>
    </row>
    <row r="32">
      <c r="A32" t="inlineStr">
        <is>
          <t>EV_000031</t>
        </is>
      </c>
      <c r="B32" t="inlineStr">
        <is>
          <t>VOLVO_EX30</t>
        </is>
      </c>
      <c r="D32" t="inlineStr">
        <is>
          <t>Cabin/road noise: What Car?: "a fairly hushed high-speed cruiser, too, with only a small amount of wind and road noise making its way inside."</t>
        </is>
      </c>
      <c r="E32" t="inlineStr">
        <is>
          <t>SRC_WHATCAR_EX30_2026</t>
        </is>
      </c>
      <c r="F32" t="inlineStr">
        <is>
          <t>MEDIUM</t>
        </is>
      </c>
    </row>
    <row r="33">
      <c r="A33" t="inlineStr">
        <is>
          <t>EV_000032</t>
        </is>
      </c>
      <c r="B33" t="inlineStr">
        <is>
          <t>VOLVO_EX30</t>
        </is>
      </c>
      <c r="D33" t="inlineStr">
        <is>
          <t>Ride comfort/suspension: Motor.no: "Svaert stiv over skarpe ujevnheter, men behagelig i fart" (extremely stiff over sharp irregularities, but comfortable at speed) (tested: P8 AWD).</t>
        </is>
      </c>
      <c r="E33" t="inlineStr">
        <is>
          <t>SRC_MOTORNO_EX30_2024</t>
        </is>
      </c>
      <c r="F33" t="inlineStr">
        <is>
          <t>MEDIUM</t>
        </is>
      </c>
    </row>
    <row r="34">
      <c r="A34" t="inlineStr">
        <is>
          <t>EV_000033</t>
        </is>
      </c>
      <c r="B34" t="inlineStr">
        <is>
          <t>VOLVO_EX30</t>
        </is>
      </c>
      <c r="D34" t="inlineStr">
        <is>
          <t>Ride comfort/suspension: What Car?: "the balance Volvo has managed to strike between ride comfort and handling is almost spot-on... suspension is supple enough to take the sting out of" common bumps and potholes.</t>
        </is>
      </c>
      <c r="E34" t="inlineStr">
        <is>
          <t>SRC_WHATCAR_EX30_2026</t>
        </is>
      </c>
      <c r="F34" t="inlineStr">
        <is>
          <t>MEDIUM</t>
        </is>
      </c>
    </row>
    <row r="35">
      <c r="A35" t="inlineStr">
        <is>
          <t>EV_000034</t>
        </is>
      </c>
      <c r="B35" t="inlineStr">
        <is>
          <t>VOLVO_EX30</t>
        </is>
      </c>
      <c r="D35" t="inlineStr">
        <is>
          <t>Outward visibility: What Car?: "not as easy to see out of as a Kona Electric, #1 or #3, with the windscreen pillars blocking some of your view at junctions and roundabouts."</t>
        </is>
      </c>
      <c r="E35" t="inlineStr">
        <is>
          <t>SRC_WHATCAR_EX30_2026</t>
        </is>
      </c>
      <c r="F35" t="inlineStr">
        <is>
          <t>MEDIUM</t>
        </is>
      </c>
    </row>
    <row r="36">
      <c r="A36" t="inlineStr">
        <is>
          <t>EV_000035</t>
        </is>
      </c>
      <c r="B36" t="inlineStr">
        <is>
          <t>VOLVO_EX30</t>
        </is>
      </c>
      <c r="D36" t="inlineStr">
        <is>
          <t>Steering precision: What Car?: "reasonably accurate, allowing you to place the nose of the car with confidence, although some drivers might find the steering is a little too light, even in its heaviest mode." Separately, Motor.no criticized physical steering-wheel button ergonomics ("rattbetjeningen... trekker ned"), a distinct control-layout complaint rather than steering feel itself (tested: P8 AWD).</t>
        </is>
      </c>
      <c r="E36" t="inlineStr">
        <is>
          <t>SRC_WHATCAR_EX30_2026</t>
        </is>
      </c>
      <c r="F36" t="inlineStr">
        <is>
          <t>MEDIUM</t>
        </is>
      </c>
    </row>
    <row r="37">
      <c r="A37" t="inlineStr">
        <is>
          <t>EV_000036</t>
        </is>
      </c>
      <c r="B37" t="inlineStr">
        <is>
          <t>VOLVO_EX30</t>
        </is>
      </c>
      <c r="D37" t="inlineStr">
        <is>
          <t>Infotainment/software quality: Motor.no: Google-based system "fungerer bra" (works well), though driver-assistance features were "lunefull pa norske vinterveier" (temperamental on Norwegian winter roads) - adjusting adaptive cruise speed/interval "viste seg i praksis umulig" (proved practically impossible). What Car?: the Google-based system is "fundamentally excellent," responsive, most functions easy to find.</t>
        </is>
      </c>
      <c r="E37" t="inlineStr">
        <is>
          <t>SRC_MOTORNO_EX30_2024</t>
        </is>
      </c>
      <c r="F37" t="inlineStr">
        <is>
          <t>HIGH</t>
        </is>
      </c>
    </row>
    <row r="38">
      <c r="A38" t="inlineStr">
        <is>
          <t>EV_000037</t>
        </is>
      </c>
      <c r="B38" t="inlineStr">
        <is>
          <t>VOLVO_EX30</t>
        </is>
      </c>
      <c r="D38" t="inlineStr">
        <is>
          <t>Apple CarPlay availability: What Car?: "Wireless Android Auto and Apple CarPlay are also included."</t>
        </is>
      </c>
      <c r="E38" t="inlineStr">
        <is>
          <t>SRC_WHATCAR_EX30_2026</t>
        </is>
      </c>
      <c r="F38" t="inlineStr">
        <is>
          <t>MEDIUM</t>
        </is>
      </c>
    </row>
    <row r="39">
      <c r="A39" t="inlineStr">
        <is>
          <t>EV_000038</t>
        </is>
      </c>
      <c r="C39" t="inlineStr">
        <is>
          <t>VOLVO_EX30_P8_AWD</t>
        </is>
      </c>
      <c r="D39" t="inlineStr">
        <is>
          <t>DC fast-charging power: Official Volvo Norway specification: DC fast charging up to 175 kW, 10-80% in approximately 27 minutes, for P8 AWD (69 kWh).</t>
        </is>
      </c>
      <c r="E39" t="inlineStr">
        <is>
          <t>SRC_VOLVO_NO_EX30_SPECS</t>
        </is>
      </c>
      <c r="F39" t="inlineStr">
        <is>
          <t>MEDIUM</t>
        </is>
      </c>
    </row>
    <row r="40">
      <c r="A40" t="inlineStr">
        <is>
          <t>EV_000039</t>
        </is>
      </c>
      <c r="C40" t="inlineStr">
        <is>
          <t>VOLVO_EX30_P8_AWD</t>
        </is>
      </c>
      <c r="D40" t="inlineStr">
        <is>
          <t>Real-world energy consumption: Official Volvo Norway specification: rated consumption of 17.5 kWh/100km (WLTP combined) for P8 AWD.</t>
        </is>
      </c>
      <c r="E40" t="inlineStr">
        <is>
          <t>SRC_VOLVO_NO_EX30_SPECS</t>
        </is>
      </c>
      <c r="F40" t="inlineStr">
        <is>
          <t>MEDIUM</t>
        </is>
      </c>
    </row>
    <row r="41">
      <c r="A41" t="inlineStr">
        <is>
          <t>EV_000040</t>
        </is>
      </c>
      <c r="B41" t="inlineStr">
        <is>
          <t>KIA_EV2</t>
        </is>
      </c>
      <c r="D41" t="inlineStr">
        <is>
          <t>Cabin/road noise: What Car?: "very little electric motor whine under acceleration. There isn't much tyre noise on the motorway, either, or suspension noise around town."</t>
        </is>
      </c>
      <c r="E41" t="inlineStr">
        <is>
          <t>SRC_WHATCAR_EV2_2026</t>
        </is>
      </c>
      <c r="F41" t="inlineStr">
        <is>
          <t>MEDIUM</t>
        </is>
      </c>
    </row>
    <row r="42">
      <c r="A42" t="inlineStr">
        <is>
          <t>EV_000041</t>
        </is>
      </c>
      <c r="B42" t="inlineStr">
        <is>
          <t>KIA_EV2</t>
        </is>
      </c>
      <c r="D42" t="inlineStr">
        <is>
          <t>Ride comfort/suspension: Motor.no: "Det rister godt over brostein, og humper og dumper i litt hoyere hastigheter gir en vel spretten folelse" (shakes noticeably over cobblestones, bouncy over bumps at higher speed); dampers described as stiff and "not particularly sophisticated" (tested: Standard Range, 42.2 kWh).</t>
        </is>
      </c>
      <c r="E42" t="inlineStr">
        <is>
          <t>SRC_MOTORNO_EV2_2026</t>
        </is>
      </c>
      <c r="F42" t="inlineStr">
        <is>
          <t>MEDIUM</t>
        </is>
      </c>
    </row>
    <row r="43">
      <c r="A43" t="inlineStr">
        <is>
          <t>EV_000042</t>
        </is>
      </c>
      <c r="B43" t="inlineStr">
        <is>
          <t>KIA_EV2</t>
        </is>
      </c>
      <c r="D43" t="inlineStr">
        <is>
          <t>Ride comfort/suspension: What Car?: "relatively soft suspension helps smother ridges and small potholes," though the car exhibits "plenty of lean when going around corners quickly" - directly contrasts with Motor.no's "stiff" characterization on the Standard Range.</t>
        </is>
      </c>
      <c r="E43" t="inlineStr">
        <is>
          <t>SRC_WHATCAR_EV2_2026</t>
        </is>
      </c>
      <c r="F43" t="inlineStr">
        <is>
          <t>MEDIUM</t>
        </is>
      </c>
    </row>
    <row r="44">
      <c r="A44" t="inlineStr">
        <is>
          <t>EV_000043</t>
        </is>
      </c>
      <c r="B44" t="inlineStr">
        <is>
          <t>KIA_EV2</t>
        </is>
      </c>
      <c r="D44" t="inlineStr">
        <is>
          <t>Outward visibility: Motor.no: angular shape with large glass surfaces gives good sightlines from the driver seat (tested: Standard Range). What Car?: "upright pillars and tall, oblong windows give you a great view out in all directions." Two independent sources agree.</t>
        </is>
      </c>
      <c r="E44" t="inlineStr">
        <is>
          <t>SRC_MOTORNO_EV2_2026</t>
        </is>
      </c>
      <c r="F44" t="inlineStr">
        <is>
          <t>HIGH</t>
        </is>
      </c>
    </row>
    <row r="45">
      <c r="A45" t="inlineStr">
        <is>
          <t>EV_000044</t>
        </is>
      </c>
      <c r="B45" t="inlineStr">
        <is>
          <t>KIA_EV2</t>
        </is>
      </c>
      <c r="D45" t="inlineStr">
        <is>
          <t>Steering precision: What Car?: "the steering is a bit vague," set up for ease rather than steering feel or engagement.</t>
        </is>
      </c>
      <c r="E45" t="inlineStr">
        <is>
          <t>SRC_WHATCAR_EV2_2026</t>
        </is>
      </c>
      <c r="F45" t="inlineStr">
        <is>
          <t>MEDIUM</t>
        </is>
      </c>
    </row>
    <row r="46">
      <c r="A46" t="inlineStr">
        <is>
          <t>EV_000045</t>
        </is>
      </c>
      <c r="B46" t="inlineStr">
        <is>
          <t>KIA_EV2</t>
        </is>
      </c>
      <c r="D46" t="inlineStr">
        <is>
          <t>Infotainment/software quality: RAC Drive: touchscreen is "responsive and the menu layout is easy to understand, while it has all the latest features," though "doesn't quite manage to look as slick as Renault's infotainment system." Retains physical switchgear for temperature/fan/seat heating/volume.</t>
        </is>
      </c>
      <c r="E46" t="inlineStr">
        <is>
          <t>SRC_RAC_EV2_2026</t>
        </is>
      </c>
      <c r="F46" t="inlineStr">
        <is>
          <t>MEDIUM</t>
        </is>
      </c>
    </row>
    <row r="47">
      <c r="A47" t="inlineStr">
        <is>
          <t>EV_000046</t>
        </is>
      </c>
      <c r="B47" t="inlineStr">
        <is>
          <t>KIA_EV2</t>
        </is>
      </c>
      <c r="D47" t="inlineStr">
        <is>
          <t>Apple CarPlay availability: What Car?: "Apple CarPlay and Android Auto are standard on all versions."</t>
        </is>
      </c>
      <c r="E47" t="inlineStr">
        <is>
          <t>SRC_WHATCAR_EV2_2026</t>
        </is>
      </c>
      <c r="F47" t="inlineStr">
        <is>
          <t>HIGH</t>
        </is>
      </c>
    </row>
    <row r="48">
      <c r="A48" t="inlineStr">
        <is>
          <t>EV_000047</t>
        </is>
      </c>
      <c r="C48" t="inlineStr">
        <is>
          <t>KIA_EV2_FWD_LONG_RANGE_GT_LINE</t>
        </is>
      </c>
      <c r="D48" t="inlineStr">
        <is>
          <t>AC charging power and real-world energy consumption: Official Kia nettbutikk configurator: 11 kW three-phase onboard AC charger, rated consumption 15.2 kWh/100km (corrected from a mislabeled kWh/km unit on the source page). DC fast-charging power not stated on the source page.</t>
        </is>
      </c>
      <c r="E48" t="inlineStr">
        <is>
          <t>SRC_KIA_NETTBUTIKK_EV2</t>
        </is>
      </c>
      <c r="F48" t="inlineStr">
        <is>
          <t>MEDIUM</t>
        </is>
      </c>
    </row>
    <row r="49">
      <c r="A49" t="inlineStr">
        <is>
          <t>EV_000048</t>
        </is>
      </c>
      <c r="C49" t="inlineStr">
        <is>
          <t>TESLA_MODEL_3_LONG_RANGE_RWD</t>
        </is>
      </c>
      <c r="D49" t="inlineStr">
        <is>
          <t>Price positioning: 400539 kr incl. VAT/fees (official Tesla configurator, no options), for 691-750km WLTP range (wheel-dependent), 250kW DC charging and 13.6 kWh/100km consumption - the best price-per-km-range and fastest charging of the five compared configurations.</t>
        </is>
      </c>
      <c r="E49" t="inlineStr">
        <is>
          <t>SRC_TESLA_NO_MODEL3_DESIGN</t>
        </is>
      </c>
      <c r="F49" t="inlineStr">
        <is>
          <t>MEDIUM</t>
        </is>
      </c>
    </row>
    <row r="50">
      <c r="A50" t="inlineStr">
        <is>
          <t>EV_000049</t>
        </is>
      </c>
      <c r="C50" t="inlineStr">
        <is>
          <t>RENAULT_4_TECHNO</t>
        </is>
      </c>
      <c r="D50" t="inlineStr">
        <is>
          <t>Price positioning: 364900 kr incl. VAT/fees (official Renault price list), for 398km WLTP range and 100kW DC charging - the lowest absolute price of the five, but also the shortest range and slowest charging outside of Tesla's advantage.</t>
        </is>
      </c>
      <c r="E50" t="inlineStr">
        <is>
          <t>SRC_RENAULT_NO_R4_PRICELIST</t>
        </is>
      </c>
      <c r="F50" t="inlineStr">
        <is>
          <t>MEDIUM</t>
        </is>
      </c>
    </row>
    <row r="51">
      <c r="A51" t="inlineStr">
        <is>
          <t>EV_000050</t>
        </is>
      </c>
      <c r="C51" t="inlineStr">
        <is>
          <t>SKODA_ELROQ_SELECTION_60</t>
        </is>
      </c>
      <c r="D51" t="inlineStr">
        <is>
          <t>Price positioning: 374900 kr incl. VAT/fees (official Skoda price list), for 448km WLTP range and 105kW DC charging - only ~10000 kr above Renault 4 Techno for 50km more range and marginally faster charging.</t>
        </is>
      </c>
      <c r="E51" t="inlineStr">
        <is>
          <t>SRC_SKODA_NO_ELROQ_PRICELIST</t>
        </is>
      </c>
      <c r="F51" t="inlineStr">
        <is>
          <t>MEDIUM</t>
        </is>
      </c>
    </row>
    <row r="52">
      <c r="A52" t="inlineStr">
        <is>
          <t>EV_000051</t>
        </is>
      </c>
      <c r="C52" t="inlineStr">
        <is>
          <t>VOLVO_EX30_P8_AWD</t>
        </is>
      </c>
      <c r="D52" t="inlineStr">
        <is>
          <t>Price positioning: 468900 kr incl. VAT/fees (official Volvo specification page), for 450km WLTP range and 17.5 kWh/100km consumption - the highest price and least efficient consumption of the five, with the premium going primarily toward dual-motor performance rather than range or efficiency.</t>
        </is>
      </c>
      <c r="E52" t="inlineStr">
        <is>
          <t>SRC_VOLVO_NO_EX30_SPECS</t>
        </is>
      </c>
      <c r="F52" t="inlineStr">
        <is>
          <t>MEDIUM</t>
        </is>
      </c>
    </row>
    <row r="53">
      <c r="A53" t="inlineStr">
        <is>
          <t>EV_000052</t>
        </is>
      </c>
      <c r="C53" t="inlineStr">
        <is>
          <t>KIA_EV2_FWD_LONG_RANGE_GT_LINE</t>
        </is>
      </c>
      <c r="D53" t="inlineStr">
        <is>
          <t>Price positioning: BasePrice 346417 kr incl. VAT/fees for the GT Line trim itself (official Kia configurator/dealer quote), for 453km WLTP range - the second-best range of the five at the lowest trim price, with the richest standard equipment list gathered in this dataset. ConfiguredPrice (423340 kr) reflects this buyer's personal options (4-seat conversion, winter wheels) and is not representative of the trim's own value.</t>
        </is>
      </c>
      <c r="E53" t="inlineStr">
        <is>
          <t>SRC_KIA_NETTBUTIKK_EV2</t>
        </is>
      </c>
      <c r="F53" t="inlineStr">
        <is>
          <t>MEDIUM</t>
        </is>
      </c>
    </row>
    <row r="54">
      <c r="A54" t="inlineStr">
        <is>
          <t>EV_000053</t>
        </is>
      </c>
      <c r="C54" t="inlineStr">
        <is>
          <t>TESLA_MODEL_3_LONG_RANGE_RWD</t>
        </is>
      </c>
      <c r="D54" t="inlineStr">
        <is>
          <t>Garage length margin: official length 4720mm EXCEEDS the 4500mm hard-requirement maximum by 220mm - this configuration does not meet the minimum requirement, let alone have margin beyond it.</t>
        </is>
      </c>
      <c r="E54" t="inlineStr">
        <is>
          <t>SRC_TESLA_NO_MODEL3_CONFIGURATOR</t>
        </is>
      </c>
      <c r="F54" t="inlineStr">
        <is>
          <t>MEDIUM</t>
        </is>
      </c>
    </row>
    <row r="55">
      <c r="A55" t="inlineStr">
        <is>
          <t>EV_000054</t>
        </is>
      </c>
      <c r="C55" t="inlineStr">
        <is>
          <t>RENAULT_4_TECHNO</t>
        </is>
      </c>
      <c r="D55" t="inlineStr">
        <is>
          <t>Garage length margin: official length 4140mm, giving a 360mm margin below the 4500mm hard-requirement maximum.</t>
        </is>
      </c>
      <c r="E55" t="inlineStr">
        <is>
          <t>SRC_RENAULT_NO_R4_PAGE</t>
        </is>
      </c>
      <c r="F55" t="inlineStr">
        <is>
          <t>MEDIUM</t>
        </is>
      </c>
    </row>
    <row r="56">
      <c r="A56" t="inlineStr">
        <is>
          <t>EV_000055</t>
        </is>
      </c>
      <c r="C56" t="inlineStr">
        <is>
          <t>SKODA_ELROQ_SELECTION_60</t>
        </is>
      </c>
      <c r="D56" t="inlineStr">
        <is>
          <t>Garage length margin: official length 4488mm, giving a 12mm margin below the 4500mm hard-requirement maximum.</t>
        </is>
      </c>
      <c r="E56" t="inlineStr">
        <is>
          <t>SRC_SKODA_GLOBAL_TECHDATA</t>
        </is>
      </c>
      <c r="F56" t="inlineStr">
        <is>
          <t>MEDIUM</t>
        </is>
      </c>
    </row>
    <row r="57">
      <c r="A57" t="inlineStr">
        <is>
          <t>EV_000056</t>
        </is>
      </c>
      <c r="C57" t="inlineStr">
        <is>
          <t>VOLVO_EX30_P8_AWD</t>
        </is>
      </c>
      <c r="D57" t="inlineStr">
        <is>
          <t>Garage length margin: official length 4233mm, giving a 267mm margin below the 4500mm hard-requirement maximum.</t>
        </is>
      </c>
      <c r="E57" t="inlineStr">
        <is>
          <t>SRC_VOLVO_NO_EX30_SPECS</t>
        </is>
      </c>
      <c r="F57" t="inlineStr">
        <is>
          <t>MEDIUM</t>
        </is>
      </c>
    </row>
    <row r="58">
      <c r="A58" t="inlineStr">
        <is>
          <t>EV_000057</t>
        </is>
      </c>
      <c r="C58" t="inlineStr">
        <is>
          <t>KIA_EV2_FWD_LONG_RANGE_GT_LINE</t>
        </is>
      </c>
      <c r="D58" t="inlineStr">
        <is>
          <t>Garage length margin: official length 4065mm, giving a 435mm margin below the 4500mm hard-requirement maximum.</t>
        </is>
      </c>
      <c r="E58" t="inlineStr">
        <is>
          <t>SRC_KIA_UK_SPECS_PDF</t>
        </is>
      </c>
      <c r="F58" t="inlineStr">
        <is>
          <t>MEDIUM</t>
        </is>
      </c>
    </row>
    <row r="59">
      <c r="A59" t="inlineStr">
        <is>
          <t>EV_000058</t>
        </is>
      </c>
      <c r="C59" t="inlineStr">
        <is>
          <t>TESLA_MODEL_3_LONG_RANGE_RWD</t>
        </is>
      </c>
      <c r="D59" t="inlineStr">
        <is>
          <t>OTA/fremtidssikring: Tesla sin egen norske konfigurator (selv-verifisert 2026-07-06) viser at Autostyring (Autosteer) nå kun er tilgjengelig i det betalte tillegget 'Fremtidig selvkjørende funksjoner' (1090 kr/mnd eller engangskjøp) - ikke som standardutstyr. Trafikkoppmerksom cruisekontroll (TACC) forblir standard.</t>
        </is>
      </c>
      <c r="E59" t="inlineStr">
        <is>
          <t>SRC_TESLA_NO_MODEL3_DESIGN</t>
        </is>
      </c>
      <c r="F59" t="inlineStr">
        <is>
          <t>HIGH</t>
        </is>
      </c>
    </row>
    <row r="60">
      <c r="A60" t="inlineStr">
        <is>
          <t>EV_000059</t>
        </is>
      </c>
      <c r="C60" t="inlineStr">
        <is>
          <t>TESLA_MODEL_3_LONG_RANGE_RWD</t>
        </is>
      </c>
      <c r="D60" t="inlineStr">
        <is>
          <t>OTA/fremtidssikring: Electrek rapporterer at Tesla fjernet gratis 'Basic Autopilot' (TACC+Autosteer) fra nye Nord-Amerika-bestillinger 23. januar 2026, og utvidet dette til EU-markeder (Nederland mai 2026, med frist 21. mai 2026 for engangskjøp av FSD i øvrige europeiske markeder). Bekrefter et gjentakende mønster av å legge tidligere inkluderte funksjoner bak abonnement.</t>
        </is>
      </c>
      <c r="E60" t="inlineStr">
        <is>
          <t>SRC_ELECTREK_TESLA_AUTOPILOT_PAYWALL</t>
        </is>
      </c>
      <c r="F60" t="inlineStr">
        <is>
          <t>MEDIUM</t>
        </is>
      </c>
    </row>
    <row r="61">
      <c r="A61" t="inlineStr">
        <is>
          <t>EV_000060</t>
        </is>
      </c>
      <c r="C61" t="inlineStr">
        <is>
          <t>TESLA_MODEL_3_LONG_RANGE_RWD</t>
        </is>
      </c>
      <c r="D61" t="inlineStr">
        <is>
          <t>Førerassistenter kvalitet: Tesla sin egen support-side advarer om at Trafikkoppmerksom cruisekontroll/Autopilot ikke bør brukes på isete eller glatte veier. Generisk sikkerhetsdisclaimer, ikke Norge-spesifikk eller sammenlignende.</t>
        </is>
      </c>
      <c r="E61" t="inlineStr">
        <is>
          <t>SRC_TESLA_WINTER_DRIVING_TIPS</t>
        </is>
      </c>
      <c r="F61" t="inlineStr">
        <is>
          <t>MEDIUM</t>
        </is>
      </c>
    </row>
    <row r="62">
      <c r="A62" t="inlineStr">
        <is>
          <t>EV_000061</t>
        </is>
      </c>
      <c r="C62" t="inlineStr">
        <is>
          <t>TESLA_MODEL_3_LONG_RANGE_RWD</t>
        </is>
      </c>
      <c r="D62" t="inlineStr">
        <is>
          <t>Førerassistenter kvalitet: Anekdotiske og sprikende brukerrapporter fra elbilforum.no om standard Autopilot/TACC på norske vinterveier - noen beskriver systemet som pålitelig i vinterforhold, andre rapporterer sen reaksjon på glatte sideveier. Ingen redaksjonell eller uavhengig test funnet.</t>
        </is>
      </c>
      <c r="E62" t="inlineStr">
        <is>
          <t>SRC_ELBILFORUM_MODEL3_AUTOPILOT_WINTER</t>
        </is>
      </c>
      <c r="F62" t="inlineStr">
        <is>
          <t>LOW</t>
        </is>
      </c>
    </row>
    <row r="63">
      <c r="A63" t="inlineStr">
        <is>
          <t>EV_000062</t>
        </is>
      </c>
      <c r="C63" t="inlineStr">
        <is>
          <t>TESLA_MODEL_3_LONG_RANGE_RWD</t>
        </is>
      </c>
      <c r="D63" t="inlineStr">
        <is>
          <t>Kamera/parkering: Tesla sin offisielle norske brukermanual bekrefter ryggekamera pluss sidekameraer (B-stolpe), men ingen sammenstilt 360-graders/fugleperspektiv-visning. Direkte sitat: 'Model 3 har et ryggekamera... Model 3 viser også bilder fra sidekameraene (hvis utstyrt).'</t>
        </is>
      </c>
      <c r="E63" t="inlineStr">
        <is>
          <t>SRC_TESLA_OWNERSMANUAL_MODEL3_NO</t>
        </is>
      </c>
      <c r="F63" t="inlineStr">
        <is>
          <t>HIGH</t>
        </is>
      </c>
    </row>
    <row r="64">
      <c r="A64" t="inlineStr">
        <is>
          <t>EV_000063</t>
        </is>
      </c>
      <c r="C64" t="inlineStr">
        <is>
          <t>RENAULT_4_TECHNO</t>
        </is>
      </c>
      <c r="D64" t="inlineStr">
        <is>
          <t>OTA/fremtidssikring: Renault Group bekrefter FOTA (Firmware-Over-The-Air) via innebygd 4G-tilkobling, uten behov for verkstedbesok. Gjelder OpenR Link-utstyrte modeller, inkludert Renault 4 E-Tech.</t>
        </is>
      </c>
      <c r="E64" t="inlineStr">
        <is>
          <t>SRC_RENAULT_GROUP_FOTA</t>
        </is>
      </c>
      <c r="F64" t="inlineStr">
        <is>
          <t>HIGH</t>
        </is>
      </c>
    </row>
    <row r="65">
      <c r="A65" t="inlineStr">
        <is>
          <t>EV_000064</t>
        </is>
      </c>
      <c r="C65" t="inlineStr">
        <is>
          <t>RENAULT_4_TECHNO</t>
        </is>
      </c>
      <c r="D65" t="inlineStr">
        <is>
          <t>OTA/fremtidssikring: electrive.com bekrefter et reelt, datert OTA-levert oppdatering - Google Gemini AI-assistent ble rullet ut gratis til alle OpenR Link-utstyrte modeller fra medio juni 2026, uten behov for verkstedbesok.</t>
        </is>
      </c>
      <c r="E65" t="inlineStr">
        <is>
          <t>SRC_ELECTRIVE_RENAULT_GEMINI_OTA</t>
        </is>
      </c>
      <c r="F65" t="inlineStr">
        <is>
          <t>HIGH</t>
        </is>
      </c>
    </row>
    <row r="66">
      <c r="A66" t="inlineStr">
        <is>
          <t>EV_000065</t>
        </is>
      </c>
      <c r="C66" t="inlineStr">
        <is>
          <t>RENAULT_4_TECHNO</t>
        </is>
      </c>
      <c r="D66" t="inlineStr">
        <is>
          <t>Forerassistenter kvalitet: elbil.no sin norske test bekrefter adaptiv cruise control er standard pa Techno (og Iconic), og at den fungerer 'overraskende greit pa motorvei'. Kort omtale, ikke en dyptgaende vintertest.</t>
        </is>
      </c>
      <c r="E66" t="inlineStr">
        <is>
          <t>SRC_ELBIL_RENAULT4_TEST</t>
        </is>
      </c>
      <c r="F66" t="inlineStr">
        <is>
          <t>HIGH</t>
        </is>
      </c>
    </row>
    <row r="67">
      <c r="A67" t="inlineStr">
        <is>
          <t>EV_000066</t>
        </is>
      </c>
      <c r="C67" t="inlineStr">
        <is>
          <t>RENAULT_4_TECHNO</t>
        </is>
      </c>
      <c r="D67" t="inlineStr">
        <is>
          <t>Kamera/parkering: elbil.no bekrefter at 360-graders kamera og automatisk parkering kun finnes pa Iconic-varianten (+20 000 kr over Techno). Techno far ryggekamera og parkeringssensorer foran, men ingen 360-visning.</t>
        </is>
      </c>
      <c r="E67" t="inlineStr">
        <is>
          <t>SRC_ELBIL_RENAULT4_TEST</t>
        </is>
      </c>
      <c r="F67" t="inlineStr">
        <is>
          <t>HIGH</t>
        </is>
      </c>
    </row>
    <row r="68">
      <c r="A68" t="inlineStr">
        <is>
          <t>EV_000067</t>
        </is>
      </c>
      <c r="C68" t="inlineStr">
        <is>
          <t>SKODA_ELROQ_SELECTION_60</t>
        </is>
      </c>
      <c r="D68" t="inlineStr">
        <is>
          <t>OTA/fremtidssikring: CarExpert sin gjennomgang av '60 Select' (nærmeste eksportmarked-ekvivalent til norske Selection 60) bekrefter at Connected Services - som inkluderer OTA-oppdateringer - ikke er standard på denne trimmen. MEB/CARIAD-plattformen har for øvrig modnet betydelig siden de tidlige ID.3/ID.4-problemene.</t>
        </is>
      </c>
      <c r="E68" t="inlineStr">
        <is>
          <t>SRC_CAREXPERT_ELROQ_60SELECT</t>
        </is>
      </c>
      <c r="F68" t="inlineStr">
        <is>
          <t>MEDIUM</t>
        </is>
      </c>
    </row>
    <row r="69">
      <c r="A69" t="inlineStr">
        <is>
          <t>EV_000068</t>
        </is>
      </c>
      <c r="C69" t="inlineStr">
        <is>
          <t>SKODA_ELROQ_SELECTION_60</t>
        </is>
      </c>
      <c r="D69" t="inlineStr">
        <is>
          <t>Førerassistenter kvalitet: CarExpert beskriver Predictive Adaptive Cruise Control/Travel Assist som 'highly competent' og kalibrert til å være hjelpsom uten å være påtrengende. Andre uavhengige europeiske tester (aggregert) beskriver systemet som mer finjustert enn Mercedes' Distronic Plus.</t>
        </is>
      </c>
      <c r="E69" t="inlineStr">
        <is>
          <t>SRC_CAREXPERT_ELROQ_60SELECT</t>
        </is>
      </c>
      <c r="F69" t="inlineStr">
        <is>
          <t>MEDIUM</t>
        </is>
      </c>
    </row>
    <row r="70">
      <c r="A70" t="inlineStr">
        <is>
          <t>EV_000069</t>
        </is>
      </c>
      <c r="C70" t="inlineStr">
        <is>
          <t>SKODA_ELROQ_SELECTION_60</t>
        </is>
      </c>
      <c r="D70" t="inlineStr">
        <is>
          <t>Førerassistenter kvalitet: elbil.no sin norske test gir en generell positiv omtale av kjøreassistentene ('holder orden i sysakene hvis du blir overivrig'), men uten en dyptgående vinterspesifikk vurdering av adaptiv cruise control.</t>
        </is>
      </c>
      <c r="E70" t="inlineStr">
        <is>
          <t>SRC_ELBIL_ELROQ_TEST</t>
        </is>
      </c>
      <c r="F70" t="inlineStr">
        <is>
          <t>MEDIUM</t>
        </is>
      </c>
    </row>
    <row r="71">
      <c r="A71" t="inlineStr">
        <is>
          <t>EV_000070</t>
        </is>
      </c>
      <c r="C71" t="inlineStr">
        <is>
          <t>SKODA_ELROQ_SELECTION_60</t>
        </is>
      </c>
      <c r="D71" t="inlineStr">
        <is>
          <t>Kamera/parkering: CarExpert bekrefter at Selection/60 Select-trimmen kun får ryggekamera som standard - 360-graders Area View er reservert høyere trimmer/pakker (f.eks. '130 Years Edition').</t>
        </is>
      </c>
      <c r="E71" t="inlineStr">
        <is>
          <t>SRC_CAREXPERT_ELROQ_60SELECT</t>
        </is>
      </c>
      <c r="F71" t="inlineStr">
        <is>
          <t>HIGH</t>
        </is>
      </c>
    </row>
    <row r="72">
      <c r="A72" t="inlineStr">
        <is>
          <t>EV_000071</t>
        </is>
      </c>
      <c r="C72" t="inlineStr">
        <is>
          <t>VOLVO_EX30_P8_AWD</t>
        </is>
      </c>
      <c r="D72" t="inlineStr">
        <is>
          <t>OTA/fremtidssikring: WardsAuto rapporterer at Volvo sendte den største OTA-oppdateringen i selskapets historie til ca. 2,5 millioner biler (inkludert EX30), med omfattende UX-omarbeiding, og at Google Gemini-basert samtale-AI er planlagt via en fremtidig OTA.</t>
        </is>
      </c>
      <c r="E72" t="inlineStr">
        <is>
          <t>SRC_WARDSAUTO_VOLVO_OTA</t>
        </is>
      </c>
      <c r="F72" t="inlineStr">
        <is>
          <t>HIGH</t>
        </is>
      </c>
    </row>
    <row r="73">
      <c r="A73" t="inlineStr">
        <is>
          <t>EV_000072</t>
        </is>
      </c>
      <c r="C73" t="inlineStr">
        <is>
          <t>VOLVO_EX30_P8_AWD</t>
        </is>
      </c>
      <c r="D73" t="inlineStr">
        <is>
          <t>OTA/fremtidssikring: InsideEVs rapporterer at EX30 ble lansert med alvorlige programvarefeil (sorte skjermer, feil på nøkkelfri adgang, rapportert strømtap), alvorlig nok til at britiske kunder benyttet seg av forbrukerrettigheter for å returnere bilen. Volvo brukte omtrent et år på å rette feil via OTA.</t>
        </is>
      </c>
      <c r="E73" t="inlineStr">
        <is>
          <t>SRC_INSIDEEVS_VOLVO_EX30_BUGS</t>
        </is>
      </c>
      <c r="F73" t="inlineStr">
        <is>
          <t>MEDIUM</t>
        </is>
      </c>
    </row>
    <row r="74">
      <c r="A74" t="inlineStr">
        <is>
          <t>EV_000073</t>
        </is>
      </c>
      <c r="C74" t="inlineStr">
        <is>
          <t>VOLVO_EX30_P8_AWD</t>
        </is>
      </c>
      <c r="D74" t="inlineStr">
        <is>
          <t>Kamera/parkering: elbil.no bekrefter at 360-graders kamera og automatisk parkeringsassistent er forbeholdt Ultra-utstyrsnivå - ikke inkludert på Plus. Uavhengig bekreftet av Frydenbø sin trimnivå-sammenligning: samme drivlinje (Twin Performance AWD) til 468 900 kr er Plus uten 360-kamera, mens Ultra (ca. 505 900 kr) inkluderer det.</t>
        </is>
      </c>
      <c r="E74" t="inlineStr">
        <is>
          <t>SRC_ELBIL_VOLVO_EX30_TRIM</t>
        </is>
      </c>
      <c r="F74" t="inlineStr">
        <is>
          <t>HIGH</t>
        </is>
      </c>
    </row>
    <row r="75">
      <c r="A75" t="inlineStr">
        <is>
          <t>EV_000074</t>
        </is>
      </c>
      <c r="C75" t="inlineStr">
        <is>
          <t>KIA_EV2_FWD_LONG_RANGE_GT_LINE</t>
        </is>
      </c>
      <c r="D75" t="inlineStr">
        <is>
          <t>OTA/fremtidssikring: Kia sin offisielle oppdateringsnotis for februar 2026 lister Carnival, EV3, EV6 PE, EV6 GT, EV9 og Sorento som mottakere - EV2 er ikke inkludert i denne konkrete utrullingen, som bekrefter at bilen ennå ikke har egen OTA-historikk selv om plattformen støtter det.</t>
        </is>
      </c>
      <c r="E75" t="inlineStr">
        <is>
          <t>SRC_KIA_UPDATE_FEB2026</t>
        </is>
      </c>
      <c r="F75" t="inlineStr">
        <is>
          <t>HIGH</t>
        </is>
      </c>
    </row>
    <row r="76">
      <c r="A76" t="inlineStr">
        <is>
          <t>EV_000075</t>
        </is>
      </c>
      <c r="C76" t="inlineStr">
        <is>
          <t>KIA_EV2_FWD_LONG_RANGE_GT_LINE</t>
        </is>
      </c>
      <c r="D76" t="inlineStr">
        <is>
          <t>OTA/fremtidssikring: Kia sin pressemelding om OTA-oppdatering RU 24.2 til EV3 (samme ccNC-plattform) la til AI-stemmeassistent, YouTube-strømming og Wi-Fi-hotspot - 18 endringer totalt. Bekrefter reell funksjonsutvidende OTA-kapasitet på plattformen, ikke bare feilrettinger.</t>
        </is>
      </c>
      <c r="E76" t="inlineStr">
        <is>
          <t>SRC_KIA_PRESS_EV3_OTA_MAR2025</t>
        </is>
      </c>
      <c r="F76" t="inlineStr">
        <is>
          <t>MEDIUM</t>
        </is>
      </c>
    </row>
    <row r="77">
      <c r="A77" t="inlineStr">
        <is>
          <t>EV_000076</t>
        </is>
      </c>
      <c r="C77" t="inlineStr">
        <is>
          <t>KIA_EV2_FWD_LONG_RANGE_GT_LINE</t>
        </is>
      </c>
      <c r="D77" t="inlineStr">
        <is>
          <t>OTA/fremtidssikring: elbil.no bekrefter at trådløse programvareoppdateringer er tilgjengelig på EV2, uten å kommentere sporhistorikk eller kvalitet.</t>
        </is>
      </c>
      <c r="E77" t="inlineStr">
        <is>
          <t>SRC_ELBIL_KIA_EV2_TEST</t>
        </is>
      </c>
      <c r="F77" t="inlineStr">
        <is>
          <t>MEDIUM</t>
        </is>
      </c>
    </row>
    <row r="78">
      <c r="A78" t="inlineStr">
        <is>
          <t>EV_000077</t>
        </is>
      </c>
      <c r="C78" t="inlineStr">
        <is>
          <t>KIA_EV2_FWD_LONG_RANGE_GT_LINE</t>
        </is>
      </c>
      <c r="D78" t="inlineStr">
        <is>
          <t>Førerassistenter kvalitet: Euro NCAP sin vurdering av EV3 (nærmeste plattform- og programvaresøster) gir 'Very Good' samlet for assistert kjøring. Styringsassistanse 'Excellent' (35/35 poeng) - holder feltposisjon effektivt på 80/100/120 km/t. Adaptiv cruise control 'Adequate' (25,3/40) - scorer lavere på forbikjøring og fletting.</t>
        </is>
      </c>
      <c r="E78" t="inlineStr">
        <is>
          <t>SRC_EURONCAP_EV3_2025</t>
        </is>
      </c>
      <c r="F78" t="inlineStr">
        <is>
          <t>HIGH</t>
        </is>
      </c>
    </row>
    <row r="79">
      <c r="A79" t="inlineStr">
        <is>
          <t>EV_000078</t>
        </is>
      </c>
      <c r="C79" t="inlineStr">
        <is>
          <t>KIA_EV2_FWD_LONG_RANGE_GT_LINE</t>
        </is>
      </c>
      <c r="D79" t="inlineStr">
        <is>
          <t>Førerassistenter kvalitet: FDM sin EV2-spesifikke test bekrefter at bilen selv kan foreta vognbaneskift på motorveien, og at 'begge dele fungerer rigtig godt'.</t>
        </is>
      </c>
      <c r="E79" t="inlineStr">
        <is>
          <t>SRC_FDM_KIA_EV2_TEST</t>
        </is>
      </c>
      <c r="F79" t="inlineStr">
        <is>
          <t>HIGH</t>
        </is>
      </c>
    </row>
    <row r="80">
      <c r="A80" t="inlineStr">
        <is>
          <t>EV_000079</t>
        </is>
      </c>
      <c r="C80" t="inlineStr">
        <is>
          <t>KIA_EV2_FWD_LONG_RANGE_GT_LINE</t>
        </is>
      </c>
      <c r="D80" t="inlineStr">
        <is>
          <t>Førerassistenter kvalitet: bilmagasinet.dk sin EV2-spesifikke test bemerker at det adaptive systemet 'holder usædvanligt hårdt i rattet' og krever bevisst styreinnsats for å overstyre - en kritikk av inngripen, ikke av ytelse.</t>
        </is>
      </c>
      <c r="E80" t="inlineStr">
        <is>
          <t>SRC_BILMAGASINET_KIA_EV2</t>
        </is>
      </c>
      <c r="F80" t="inlineStr">
        <is>
          <t>MEDIUM</t>
        </is>
      </c>
    </row>
    <row r="81">
      <c r="A81" t="inlineStr">
        <is>
          <t>EV_000080</t>
        </is>
      </c>
      <c r="C81" t="inlineStr">
        <is>
          <t>KIA_EV2_FWD_LONG_RANGE_GT_LINE</t>
        </is>
      </c>
      <c r="D81" t="inlineStr">
        <is>
          <t>Kamera/parkering: Bertel O. Steen sitt tilbud for nettopp denne konfigurasjonen (EV2 FWD Long Range GT Line) bekrefter 360-graders kamera som standardutstyr.</t>
        </is>
      </c>
      <c r="E81" t="inlineStr">
        <is>
          <t>SRC_BOS_KIA_EV2_QUOTE</t>
        </is>
      </c>
      <c r="F81" t="inlineStr">
        <is>
          <t>MEDIUM</t>
        </is>
      </c>
    </row>
    <row r="82">
      <c r="A82" t="inlineStr">
        <is>
          <t>EV_000081</t>
        </is>
      </c>
      <c r="C82" t="inlineStr">
        <is>
          <t>TESLA_MODEL_3_LONG_RANGE_RWD</t>
        </is>
      </c>
      <c r="D82" t="inlineStr">
        <is>
          <t>Modellrisiko: Tesla Model 3 var Norges mest solgte bilmodell i 2020 og 2021 (over 12 000 solgte i 2021), og over 60 000 eksemplarer er i dag registrert på norske skilter. Ifølge OFV ble det registrert 2 562 nye Model 3 i november 2025 alene.</t>
        </is>
      </c>
      <c r="E82" t="inlineStr">
        <is>
          <t>SRC_TESLA_MODEL3_NO_SALES_HISTORY</t>
        </is>
      </c>
      <c r="F82" t="inlineStr">
        <is>
          <t>MEDIUM</t>
        </is>
      </c>
    </row>
    <row r="83">
      <c r="A83" t="inlineStr">
        <is>
          <t>EV_000082</t>
        </is>
      </c>
      <c r="C83" t="inlineStr">
        <is>
          <t>TESLA_MODEL_3_LONG_RANGE_RWD</t>
        </is>
      </c>
      <c r="D83" t="inlineStr">
        <is>
          <t>Garanti: Tesla oppgir 4 års/80 000 km generell nybilgaranti, 8 års batterigaranti (minst 70 % kapasitet beholdt) og 12 års rustgjennomtæringsgaranti uten kilometergrense. Serviceapparatet i Norge er strukturert rundt et fåtall faste servicesentre (Bærum, Oslo) supplert med mobil service, ikke et tradisjonelt forhandlernett.</t>
        </is>
      </c>
      <c r="E83" t="inlineStr">
        <is>
          <t>SRC_TESLA_NO_WARRANTY</t>
        </is>
      </c>
      <c r="F83" t="inlineStr">
        <is>
          <t>MEDIUM</t>
        </is>
      </c>
    </row>
    <row r="84">
      <c r="A84" t="inlineStr">
        <is>
          <t>EV_000083</t>
        </is>
      </c>
      <c r="C84" t="inlineStr">
        <is>
          <t>RENAULT_4_TECHNO</t>
        </is>
      </c>
      <c r="D84" t="inlineStr">
        <is>
          <t>Modellrisiko: Renault 4 E-Tech Electric ble tilgjengelig i det norske markedet fra høsten 2025 - under ett år på markedet ved vurderingstidspunktet (juli 2026). Bygget på Renaults nye AmpR Small-plattform uten egen lang driftshistorikk.</t>
        </is>
      </c>
      <c r="E84" t="inlineStr">
        <is>
          <t>SRC_RENAULT_4_NO_LAUNCH</t>
        </is>
      </c>
      <c r="F84" t="inlineStr">
        <is>
          <t>MEDIUM</t>
        </is>
      </c>
    </row>
    <row r="85">
      <c r="A85" t="inlineStr">
        <is>
          <t>EV_000084</t>
        </is>
      </c>
      <c r="C85" t="inlineStr">
        <is>
          <t>RENAULT_4_TECHNO</t>
        </is>
      </c>
      <c r="D85" t="inlineStr">
        <is>
          <t>Garanti: Renault innførte fra mai 2025 5 års/150 000 km generell nybilgaranti på alle nye elbiler, samt 8 års/160 000 km batterigaranti (minst 70 % SOH-kapasitet garantert). Bekreftet via dansk Renault-kilde som del av en paneuropeisk garantiendring; ikke direkte bekreftet på en norsk kildeside.</t>
        </is>
      </c>
      <c r="E85" t="inlineStr">
        <is>
          <t>SRC_RENAULT_EV_WARRANTY_2025</t>
        </is>
      </c>
      <c r="F85" t="inlineStr">
        <is>
          <t>MEDIUM</t>
        </is>
      </c>
    </row>
    <row r="86">
      <c r="A86" t="inlineStr">
        <is>
          <t>EV_000085</t>
        </is>
      </c>
      <c r="C86" t="inlineStr">
        <is>
          <t>SKODA_ELROQ_SELECTION_60</t>
        </is>
      </c>
      <c r="D86" t="inlineStr">
        <is>
          <t>Modellrisiko: Elroq gikk i produksjon januar 2025 med kundeleveranser fra tidlig 2025, etter å ha blitt vist frem på Paris Motor Show oktober 2024. Er den andre Skoda-modellen på Volkswagen-konsernets MEB-plattform, som deler arkitektur med Enyaq, ID.3, ID.4/ID.5 og Audi Q4 e-tron.</t>
        </is>
      </c>
      <c r="E86" t="inlineStr">
        <is>
          <t>SRC_SKODA_ELROQ_WIKIPEDIA_PLATFORM</t>
        </is>
      </c>
      <c r="F86" t="inlineStr">
        <is>
          <t>MEDIUM</t>
        </is>
      </c>
    </row>
    <row r="87">
      <c r="A87" t="inlineStr">
        <is>
          <t>EV_000086</t>
        </is>
      </c>
      <c r="C87" t="inlineStr">
        <is>
          <t>SKODA_ELROQ_SELECTION_60</t>
        </is>
      </c>
      <c r="D87" t="inlineStr">
        <is>
          <t>Garanti: Skoda-Norge (importert av Harald A. Møller AS) oppgir 5 års/100 000 km generell nybilgaranti, samt 8 års/160 000 km batterigaranti (minst 70 % kapasitet) på alle nye elbiler og ladbare hybrider.</t>
        </is>
      </c>
      <c r="E87" t="inlineStr">
        <is>
          <t>SRC_SKODA_NO_WARRANTY</t>
        </is>
      </c>
      <c r="F87" t="inlineStr">
        <is>
          <t>HIGH</t>
        </is>
      </c>
    </row>
    <row r="88">
      <c r="A88" t="inlineStr">
        <is>
          <t>EV_000087</t>
        </is>
      </c>
      <c r="C88" t="inlineStr">
        <is>
          <t>VOLVO_EX30_P8_AWD</t>
        </is>
      </c>
      <c r="D88" t="inlineStr">
        <is>
          <t>Garanti: Volvo oppgir 5 års/100 000 km generell nybilgaranti, samt opptil 8 års/160 000 km batterigaranti (minst 70 % kapasitet beholdt) på høyvoltbatteriet.</t>
        </is>
      </c>
      <c r="E88" t="inlineStr">
        <is>
          <t>SRC_VOLVO_NO_BATTERY_WARRANTY</t>
        </is>
      </c>
      <c r="F88" t="inlineStr">
        <is>
          <t>MEDIUM</t>
        </is>
      </c>
    </row>
    <row r="89">
      <c r="A89" t="inlineStr">
        <is>
          <t>EV_000088</t>
        </is>
      </c>
      <c r="C89" t="inlineStr">
        <is>
          <t>KIA_EV2_FWD_LONG_RANGE_GT_LINE</t>
        </is>
      </c>
      <c r="D89" t="inlineStr">
        <is>
          <t>Modellrisiko: Kias egen pressemelding (via NTB) bekrefter at produksjon for alle EV2-batterialternativer kom i gang 25. juni 2026, og en oppfølgende pressemelding bekrefter at salget av EV2 startet 2. juli 2026 - få dager før denne vurderingen. GT Line-utgaven er blant de første variantene i salg.</t>
        </is>
      </c>
      <c r="E89" t="inlineStr">
        <is>
          <t>SRC_KIA_EV2_NTB_PRODUCTION</t>
        </is>
      </c>
      <c r="F89" t="inlineStr">
        <is>
          <t>HIGH</t>
        </is>
      </c>
    </row>
    <row r="90">
      <c r="A90" t="inlineStr">
        <is>
          <t>EV_000089</t>
        </is>
      </c>
      <c r="C90" t="inlineStr">
        <is>
          <t>KIA_EV2_FWD_LONG_RANGE_GT_LINE</t>
        </is>
      </c>
      <c r="D90" t="inlineStr">
        <is>
          <t>Garanti: Kia oppgir 7 års/150 000 km generell nybilgaranti som også dekker elbilbatteriets kapasitet (fra modellår 2026 utvidet til 8 års/160 000 km). Garantien overføres til neste eier ved videresalg.</t>
        </is>
      </c>
      <c r="E90" t="inlineStr">
        <is>
          <t>SRC_KIA_NO_7YR_WARRANTY</t>
        </is>
      </c>
      <c r="F90" t="inlineStr">
        <is>
          <t>HIGH</t>
        </is>
      </c>
    </row>
    <row r="91">
      <c r="A91" t="inlineStr">
        <is>
          <t>EV_000090</t>
        </is>
      </c>
      <c r="C91" t="inlineStr">
        <is>
          <t>TESLA_MODEL_3_LONG_RANGE_RWD</t>
        </is>
      </c>
      <c r="D91" t="inlineStr">
        <is>
          <t>Nordisk modenhet: Tesla Model 3 har deltatt i NAF/Motor sin årlige vintertest hvert år siden 2020, med jevnt sterke og forbedrede resultater (WLTP-rekkevidde økt fra 560 til 614 km over generasjoner; faktisk kjørt distanse ca. 521-548 km i ulike vintertester) - den klart lengste, mest kontinuerlig verifiserte vinterhistorikken av de fem konfigurasjonene.</t>
        </is>
      </c>
      <c r="E91" t="inlineStr">
        <is>
          <t>SRC_NAF_TESLA_MODEL3_VINTERTEST</t>
        </is>
      </c>
      <c r="F91" t="inlineStr">
        <is>
          <t>HIGH</t>
        </is>
      </c>
    </row>
    <row r="92">
      <c r="A92" t="inlineStr">
        <is>
          <t>EV_000091</t>
        </is>
      </c>
      <c r="C92" t="inlineStr">
        <is>
          <t>RENAULT_4_TECHNO</t>
        </is>
      </c>
      <c r="D92" t="inlineStr">
        <is>
          <t>Nordisk modenhet: Renaults forrige generasjons elbil (Zoe) har en dokumentert historikk med svikt i varmepumpe/varmeelement etter 20 000-30 000 km, med rekkeviddetap i kulde på opptil 40 % i de tidligste modellene - om enn betydelig bedret i senere generasjoner (R110/R135). Renault 4 E-Tech bygger på en helt ny plattform (AmpR Small) uten egen vinterhistorikk, så den eneste tilgjengelige 'over tid'-dokumentasjonen for merket er denne blandede Zoe-historikken.</t>
        </is>
      </c>
      <c r="E92" t="inlineStr">
        <is>
          <t>SRC_RENAULT_ZOE_HEATPUMP_COLD_ISSUES</t>
        </is>
      </c>
      <c r="F92" t="inlineStr">
        <is>
          <t>MEDIUM</t>
        </is>
      </c>
    </row>
    <row r="93">
      <c r="A93" t="inlineStr">
        <is>
          <t>EV_000092</t>
        </is>
      </c>
      <c r="C93" t="inlineStr">
        <is>
          <t>SKODA_ELROQ_SELECTION_60</t>
        </is>
      </c>
      <c r="D93" t="inlineStr">
        <is>
          <t>Nordisk modenhet: VW ID.4 og Skoda Enyaq (samme MEB-plattform som Elroq) ble testet av NAF/Motor i vintertesten fra januar 2022 med sterke resultater ('rekkevidden holder seg godt i kulde'), kun 11-15 % under WLTP - blant de beste i feltet sammen med Tesla Model 3/Y og Kia EV6. Flere års konsistent plattformytelse i norsk vinterklima, om enn ikke Elroq Selection 60 spesifikt.</t>
        </is>
      </c>
      <c r="E93" t="inlineStr">
        <is>
          <t>SRC_NAF_MEB_WINTER_ID4_ENYAQ</t>
        </is>
      </c>
      <c r="F93" t="inlineStr">
        <is>
          <t>MEDIUM</t>
        </is>
      </c>
    </row>
    <row r="94">
      <c r="A94" t="inlineStr">
        <is>
          <t>EV_000093</t>
        </is>
      </c>
      <c r="C94" t="inlineStr">
        <is>
          <t>VOLVO_EX30_P8_AWD</t>
        </is>
      </c>
      <c r="D94" t="inlineStr">
        <is>
          <t>Nordisk modenhet: elbil.no sin uavhengige vintertest av EX30 Twin Performance (samme drivlinje som P8 AWD) anslo at bilen beholdt rundt 75 % av WLTP-rekkevidden under reelle vinterforhold ned mot -20°C, etter et mellomstopp for hurtiglading. Ett solid, modellspesifikt datapunkt, men fra kun én vintersesong - kortere dokumentert historikk enn Tesla og MEB-plattformen.</t>
        </is>
      </c>
      <c r="E94" t="inlineStr">
        <is>
          <t>SRC_ELBIL_VOLVO_EX30_WINTER</t>
        </is>
      </c>
      <c r="F94" t="inlineStr">
        <is>
          <t>MEDIUM</t>
        </is>
      </c>
    </row>
    <row r="95">
      <c r="A95" t="inlineStr">
        <is>
          <t>EV_000094</t>
        </is>
      </c>
      <c r="C95" t="inlineStr">
        <is>
          <t>KIA_EV2_FWD_LONG_RANGE_GT_LINE</t>
        </is>
      </c>
      <c r="D95" t="inlineStr">
        <is>
          <t>Nordisk modenhet (merkenivå): NAF/Motor-vintertester av søskenmodellene Kia e-Niro og EV6 viser sterk varmepumpeassistert kuldeytelse over flere år ('uvanlig behagelig i kulden'; EV6 gikk fra 481 til 341 km ved rundt -10°C, men rangerte fortsatt høyt, med varm kupé og upåvirket infotainment). Ingen av disse modellene er EV2, men de representerer en lang, positiv merkehistorikk i nordisk vinterklima.</t>
        </is>
      </c>
      <c r="E95" t="inlineStr">
        <is>
          <t>SRC_ELBIL24_KIA_EV6_ENIRO_WINTER</t>
        </is>
      </c>
      <c r="F95" t="inlineStr">
        <is>
          <t>MEDIUM</t>
        </is>
      </c>
    </row>
    <row r="96">
      <c r="A96" t="inlineStr">
        <is>
          <t>EV_000095</t>
        </is>
      </c>
      <c r="C96" t="inlineStr">
        <is>
          <t>KIA_EV2_FWD_LONG_RANGE_GT_LINE</t>
        </is>
      </c>
      <c r="D96" t="inlineStr">
        <is>
          <t>Nordisk modenhet (modellspesifikk): En Kia EV2-prototyp (61 kWh Long Range, samme batteri som denne konfigurasjonen) deltok i NAFs egen vintertest i Norge februar 2026, i temperaturer fra -8°C til -31°C: kjørte 310,6 km, kun 24,8 % under WLTP - blant de beste i testfeltet, med sterk hurtigladeytelse i ekstrem kulde (8 %→80 % på under 37 minutter). Faktisk NAF-verifisert, modellspesifikk vintertest, om enn på en produksjonsnær prototyp fremfor en levert kundebil.</t>
        </is>
      </c>
      <c r="E96" t="inlineStr">
        <is>
          <t>SRC_INSIDEEVS_KIA_EV2_WINTER_PROTOTYPE</t>
        </is>
      </c>
      <c r="F96" t="inlineStr">
        <is>
          <t>MEDIUM</t>
        </is>
      </c>
    </row>
    <row r="97">
      <c r="A97" t="inlineStr">
        <is>
          <t>EV_000096</t>
        </is>
      </c>
      <c r="C97" t="inlineStr">
        <is>
          <t>TESLA_MODEL_3_LONG_RANGE_RWD</t>
        </is>
      </c>
      <c r="D97" t="inlineStr">
        <is>
          <t>Materialkvalitet: Highland-oppdateringen (2024+) erstattet det tidligere imitasjonstre-dashbordet med mykere, mer ettergivelige gummi-/plastoverflater, strukturerte flater på dashbord og dørpaneler, kunstig veganskinn på seter/midtkonsoll, og aluminium på selve midtkonsollen. Flere anmeldere bekrefter at materialene 'føles bedre' og at 'tilpasning og finish er umiskjennelig forbedret' sammenlignet med tidligere generasjoner.</t>
        </is>
      </c>
      <c r="E97" t="inlineStr">
        <is>
          <t>SRC_GREENCARREPORTS_MODEL3_HIGHLAND</t>
        </is>
      </c>
      <c r="F97" t="inlineStr">
        <is>
          <t>HIGH</t>
        </is>
      </c>
    </row>
    <row r="98">
      <c r="A98" t="inlineStr">
        <is>
          <t>EV_000097</t>
        </is>
      </c>
      <c r="C98" t="inlineStr">
        <is>
          <t>TESLA_MODEL_3_LONG_RANGE_RWD</t>
        </is>
      </c>
      <c r="D98" t="inlineStr">
        <is>
          <t>Byggekvalitet/knirk: Byggekvaliteten beskrives som uforutsigbar - 'mange eiere rapporterer knirkefrie biler, andre forlater leveringssenteret med en lang liste feil.' Knirk og rangling er den vanligste klagen (ofte fra løse ledningsbunter bak paneler), sammen med panelgap, sprekker fra bakre understell og vindstøy fra dører/glass. Consumer Reports vurderer 2025-modellens generelle pålitelighet under gjennomsnittet for det modellåret, med konkrete anmerkninger på karosseri-maskinvare (vinduer, dører, låser).</t>
        </is>
      </c>
      <c r="E98" t="inlineStr">
        <is>
          <t>SRC_RECHARGED_MODEL3_RELIABILITY_2026</t>
        </is>
      </c>
      <c r="F98" t="inlineStr">
        <is>
          <t>MEDIUM</t>
        </is>
      </c>
    </row>
    <row r="99">
      <c r="A99" t="inlineStr">
        <is>
          <t>EV_000098</t>
        </is>
      </c>
      <c r="C99" t="inlineStr">
        <is>
          <t>TESLA_MODEL_3_LONG_RANGE_RWD</t>
        </is>
      </c>
      <c r="D99" t="inlineStr">
        <is>
          <t>Ergonomi/førermiljø: Model 3 sitt førermiljø er bygget rundt én sentral skjerm uten tradisjonelt instrumentpanel - en bevisst minimalistisk tilnærming som Highland-oppdateringen (2024+) forsterket med hevet materialkvalitet og et roligere, mer helhetlig kupédesign. Tilnærmingen er omdiskutert rent funksjonelt (all informasjon samlet på skjermen), men den generelle kupéopplevelsen (sitteposisjon, romfølelse, materialer, skjermteknologi) fremstår klart mer moderne og gjennomarbeidet enn i et budsjettpreget B-segment-miljø.</t>
        </is>
      </c>
      <c r="E99" t="inlineStr">
        <is>
          <t>SRC_GREENCARREPORTS_MODEL3_HIGHLAND</t>
        </is>
      </c>
      <c r="F99" t="inlineStr">
        <is>
          <t>MEDIUM</t>
        </is>
      </c>
    </row>
    <row r="100">
      <c r="A100" t="inlineStr">
        <is>
          <t>EV_000099</t>
        </is>
      </c>
      <c r="C100" t="inlineStr">
        <is>
          <t>TESLA_MODEL_3_LONG_RANGE_RWD</t>
        </is>
      </c>
      <c r="D100" t="inlineStr">
        <is>
          <t>Betjeningskvalitet: Highland-oppdateringen fjernet den tradisjonelle blinklysspaken til fordel for trykkfølsomme knapper på rattet, en endring Edmunds sin langtidstest kalte reelt utrygg, ikke bare uvant: 'Knappene er ikke gode, og det er ikke bare snakk om å venne seg til det. Det er små knapper med små aktiveringsflater og ingen reell taktil forskjell mellom dem eller panelet de sitter på.' Girvelgeren ble samtidig flyttet til skjermen. Samme knapp-baserte løsning (uten spak) gjaldt også europeiske/nordiske biler frem til en betalt ettermonteringsløsning (fra ca. oktober 2025, 660 euro i Europa) - ikke standard inkludert.</t>
        </is>
      </c>
      <c r="E100" t="inlineStr">
        <is>
          <t>SRC_EDMUNDS_MODEL3_TURNSIGNAL_LONGTERM</t>
        </is>
      </c>
      <c r="F100" t="inlineStr">
        <is>
          <t>HIGH</t>
        </is>
      </c>
    </row>
    <row r="101">
      <c r="A101" t="inlineStr">
        <is>
          <t>EV_000100</t>
        </is>
      </c>
      <c r="C101" t="inlineStr">
        <is>
          <t>RENAULT_4_TECHNO</t>
        </is>
      </c>
      <c r="D101" t="inlineStr">
        <is>
          <t>Materialkvalitet: Til tross for å være et av de rimeligste alternativene i klassen sin, oppleves interiøret ikke billig - harde plastdetaljer finnes, men er 'godt gjemt', og kvaliteten omtales som 'svært god.' Stoffinnslag (inkludert quiltet tekstil med gul stikking på høyere utstyrsnivåer) løfter det opplevde inntrykket betydelig; kun vesentlig dyrere konkurrenter oppleves mer luksuriøse innvendig.</t>
        </is>
      </c>
      <c r="E101" t="inlineStr">
        <is>
          <t>SRC_ELECTRIFYING_R4_REVIEW</t>
        </is>
      </c>
      <c r="F101" t="inlineStr">
        <is>
          <t>MEDIUM</t>
        </is>
      </c>
    </row>
    <row r="102">
      <c r="A102" t="inlineStr">
        <is>
          <t>EV_000101</t>
        </is>
      </c>
      <c r="C102" t="inlineStr">
        <is>
          <t>RENAULT_4_TECHNO</t>
        </is>
      </c>
      <c r="D102" t="inlineStr">
        <is>
          <t>Byggekvalitet/knirk: Dokumenterte tidlige svakheter: plastpaneler på dashbordet utvikler knirk innen de første 10 000 km, og en fløyte-/summelyd fra viftemotoren i klimaanlegget oppstår rundt 5 000 km. I tillegg kan den motoriserte ladeportluken svikte (~300 euro å reparere), og enkelte tidlige 2024-eksemplarer har opplevd for tidlig utladning av 12V-hjelpebatteriet. Bilen er for ny til at omfattende langtidsdata finnes ennå.</t>
        </is>
      </c>
      <c r="E102" t="inlineStr">
        <is>
          <t>SRC_GONDURA_R4_RELIABILITY</t>
        </is>
      </c>
      <c r="F102" t="inlineStr">
        <is>
          <t>MEDIUM</t>
        </is>
      </c>
    </row>
    <row r="103">
      <c r="A103" t="inlineStr">
        <is>
          <t>EV_000102</t>
        </is>
      </c>
      <c r="C103" t="inlineStr">
        <is>
          <t>RENAULT_4_TECHNO</t>
        </is>
      </c>
      <c r="D103" t="inlineStr">
        <is>
          <t>Ergonomi/førermiljø: Kjørestillingen omtales som utmerket, med god plass og støttende, pent trukne seter - høyere enn i Renault 5, men ikke like kommanderende/SUV-preget som en Kia EV3. Infotainmentskjermen sitter høyt og vinklet mot føreren, lett å se og nå. Selve førermiljøet fremstår moderne og gjennomarbeidet, selv om rattstammen har mange kontroller samlet på ett sted (jf. W013).</t>
        </is>
      </c>
      <c r="E103" t="inlineStr">
        <is>
          <t>SRC_RAC_R4_2026</t>
        </is>
      </c>
      <c r="F103" t="inlineStr">
        <is>
          <t>MEDIUM</t>
        </is>
      </c>
    </row>
    <row r="104">
      <c r="A104" t="inlineStr">
        <is>
          <t>EV_000103</t>
        </is>
      </c>
      <c r="C104" t="inlineStr">
        <is>
          <t>RENAULT_4_TECHNO</t>
        </is>
      </c>
      <c r="D104" t="inlineStr">
        <is>
          <t>Betjeningskvalitet: Blandet bilde. De fysiske klimaknappene (en rad rett under skjermen) fremheves som 'fantastisk enkle å bruke' og 'langt mindre distraherende' enn skjermbaserte alternativer - et konkret eksempel på gjennomtenkt fysisk betjening. Samtidig er rattstammen overfylt: blinklysspak, skjult volumkontroll, viskerspak og en egen girvelgerspak er alle plassert der, og girvelgeren må kombineres med en separat elektronisk parkeringsbrems lenger nede i midtkonsollen - en løsning anmeldere ikke finner brukervennlig. Enkelte rapporterer at girskift (f.eks. fra Drive til Rygg) ikke alltid registreres pålitelig.</t>
        </is>
      </c>
      <c r="E104" t="inlineStr">
        <is>
          <t>SRC_RAC_R4_2026</t>
        </is>
      </c>
      <c r="F104" t="inlineStr">
        <is>
          <t>MEDIUM</t>
        </is>
      </c>
    </row>
    <row r="105">
      <c r="A105" t="inlineStr">
        <is>
          <t>EV_000104</t>
        </is>
      </c>
      <c r="C105" t="inlineStr">
        <is>
          <t>SKODA_ELROQ_SELECTION_60</t>
        </is>
      </c>
      <c r="D105" t="inlineStr">
        <is>
          <t>Materialkvalitet: Øvre del av dashbord og dørtopper har en tett, myk-svampet følelse beskrevet som 'førsteklasses,' og stoffbetrekk (78 % resirkulert plast) på dashbord, seter og midtkonsoll gir et positivt særpreg sammenlignet med konkurrenter som kun bruker hard sort plast eller kunstlær. Lenger ned på dashbordet og i baksetet er imidlertid plasten merkbart billigere og mer synlig skrapete - et konsentrert, men ikke gjennomgående, B-segment-kompromiss.</t>
        </is>
      </c>
      <c r="E105" t="inlineStr">
        <is>
          <t>SRC_WHATCAR_ELROQ_2026</t>
        </is>
      </c>
      <c r="F105" t="inlineStr">
        <is>
          <t>MEDIUM</t>
        </is>
      </c>
    </row>
    <row r="106">
      <c r="A106" t="inlineStr">
        <is>
          <t>EV_000105</t>
        </is>
      </c>
      <c r="C106" t="inlineStr">
        <is>
          <t>SKODA_ELROQ_SELECTION_60</t>
        </is>
      </c>
      <c r="D106" t="inlineStr">
        <is>
          <t>Byggekvalitet/knirk: Langtidstestere hos What Car? rapporterer ingen knirk eller rangling etter over 4000 miles ('ikke et snev av skrapete plast eller irriterende knirk'), og fôrede dørlommer forhindrer rangling. Én testbil hadde et elektrisk problem med vindusbryterne (motsatt funksjon av forventet), og søskenmodellen Enyaq har en rapportert 29 % andel mindre elektriske feil på tvers av feilrapporter - små, men reelle signaler om at ikke alt er feilfritt.</t>
        </is>
      </c>
      <c r="E106" t="inlineStr">
        <is>
          <t>SRC_WHATCAR_ELROQ_LONGTERM</t>
        </is>
      </c>
      <c r="F106" t="inlineStr">
        <is>
          <t>HIGH</t>
        </is>
      </c>
    </row>
    <row r="107">
      <c r="A107" t="inlineStr">
        <is>
          <t>EV_000106</t>
        </is>
      </c>
      <c r="C107" t="inlineStr">
        <is>
          <t>SKODA_ELROQ_SELECTION_60</t>
        </is>
      </c>
      <c r="D107" t="inlineStr">
        <is>
          <t>Ergonomi/førermiljø: Forholdet mellom sete, pedaler og ratt er beskrevet som 'spot on,' med en generelt utmerket kjørestilling som fungerer godt for både kortere og høyere sjåfører, og rattet blokkerer ikke instrumentpanelet. Noe strammere sitteposisjon enn søskenmodellen Enyaq - høyere sjåførers høyre kne kan av og til berøre dashbordet på lengre kjøreturer. Carscoops bemerker at laveste utstyrsnivå har manuelt justerbare seter, ikke elektriske - en mindre innvending, ikke en avgjørende svakhet.</t>
        </is>
      </c>
      <c r="E107" t="inlineStr">
        <is>
          <t>SRC_AUTOCAR_ELROQ_REVIEW</t>
        </is>
      </c>
      <c r="F107" t="inlineStr">
        <is>
          <t>HIGH</t>
        </is>
      </c>
    </row>
    <row r="108">
      <c r="A108" t="inlineStr">
        <is>
          <t>EV_000107</t>
        </is>
      </c>
      <c r="C108" t="inlineStr">
        <is>
          <t>SKODA_ELROQ_SELECTION_60</t>
        </is>
      </c>
      <c r="D108" t="inlineStr">
        <is>
          <t>Betjeningskvalitet: I motsetning til mange nyere elbiler som gjemmer alt i skjermmenyer, beholder Elroq dedikerte fysiske hurtigknapper for kjøremodus, kjøreassistenter, klimaanlegg og parkeringssensorer rett under luftventilene - 'alltid betryggende enkle å finne' med minimal distraksjon. Ingen glatte piano-sort-overflater eller rene haptiske knapper; ekte fysiske knapper som er enkle å betjene mens man kjører.</t>
        </is>
      </c>
      <c r="E108" t="inlineStr">
        <is>
          <t>SRC_AUTOCAR_ELROQ_REVIEW</t>
        </is>
      </c>
      <c r="F108" t="inlineStr">
        <is>
          <t>HIGH</t>
        </is>
      </c>
    </row>
    <row r="109">
      <c r="A109" t="inlineStr">
        <is>
          <t>EV_000108</t>
        </is>
      </c>
      <c r="C109" t="inlineStr">
        <is>
          <t>VOLVO_EX30_P8_AWD</t>
        </is>
      </c>
      <c r="D109" t="inlineStr">
        <is>
          <t>Materialkvalitet: Ratt og hyppig berørte flater oppleves som kvalitetsmessig gode, og øvre dashbord (resirkulert plast) har en teksturert, granittlignende følelse. Lenger ned og på dørpaneler finnes skrapete plast. Et av interiøralternativene ('Particle'-trim, laget av knuste rester fra gamle PVC-vindusrammer) beskrives som en hard, skjør plast - kreativt og særpreget, men ikke en kvalitetsopplevelse i tradisjonell forstand. Vindusbryterne er samlet på midtkonsollen i stedet for på hver dør, en material-/kostnadsbesparelse som ikke oppleves som det mest intuitive.</t>
        </is>
      </c>
      <c r="E109" t="inlineStr">
        <is>
          <t>SRC_TOPGEAR_EX30_REVIEW</t>
        </is>
      </c>
      <c r="F109" t="inlineStr">
        <is>
          <t>MEDIUM</t>
        </is>
      </c>
    </row>
    <row r="110">
      <c r="A110" t="inlineStr">
        <is>
          <t>EV_000109</t>
        </is>
      </c>
      <c r="C110" t="inlineStr">
        <is>
          <t>VOLVO_EX30_P8_AWD</t>
        </is>
      </c>
      <c r="D110" t="inlineStr">
        <is>
          <t>Byggekvalitet/knirk: Spredte rapporter om knirk fra maskinvare, feiljustert bakluke, vindtetningsproblemer og noe mer vindstøy enn forventet i motorveifart - beskrevet som 'typisk for et første modellår,' ikke krisenivå. Alvorligere: Volvo tilbakekalte i slutten av 2025 over 40 000 EX30-biler globalt med 69 kWh NMC-batteripakken (bygget 2024-2026) fordi enkelte moduler kan bli overopphetet under lading forbi ca. 70 % ladenivå. Mekanisk pålitelighet vurderes som 'god, men fortsatt umoden' - de fleste tidlige problemer er programvarerelaterte, ikke motor/girkasse.</t>
        </is>
      </c>
      <c r="E110" t="inlineStr">
        <is>
          <t>SRC_RECHARGED_EX30_LONGTERM</t>
        </is>
      </c>
      <c r="F110" t="inlineStr">
        <is>
          <t>MEDIUM</t>
        </is>
      </c>
    </row>
    <row r="111">
      <c r="A111" t="inlineStr">
        <is>
          <t>EV_000110</t>
        </is>
      </c>
      <c r="C111" t="inlineStr">
        <is>
          <t>VOLVO_EX30_P8_AWD</t>
        </is>
      </c>
      <c r="D111" t="inlineStr">
        <is>
          <t>Ergonomi/førermiljø: Setene og kjørestillingen får gjennomgående ros ("svært komfortable seter og en god kjørestilling"). Men EX30 har ikke noe tradisjonelt instrumentpanel eller head-up-display - all kjøreinformasjon (inkludert fartsmåler) vises kun på den sentrale 12,3-tommers skjermen, noe flere anmeldere beskriver som noe man må venne seg til og som trekker blikket vekk fra veien fremfor rett foran føreren.</t>
        </is>
      </c>
      <c r="E111" t="inlineStr">
        <is>
          <t>SRC_INSIDEEVS_EX30_ROUNDUP</t>
        </is>
      </c>
      <c r="F111" t="inlineStr">
        <is>
          <t>HIGH</t>
        </is>
      </c>
    </row>
    <row r="112">
      <c r="A112" t="inlineStr">
        <is>
          <t>EV_000111</t>
        </is>
      </c>
      <c r="C112" t="inlineStr">
        <is>
          <t>VOLVO_EX30_P8_AWD</t>
        </is>
      </c>
      <c r="D112" t="inlineStr">
        <is>
          <t>Betjeningskvalitet: Den minimalistiske tilnærmingen fjerner fysiske knapper for grunnleggende funksjoner de fleste biler har som standard: justering av sidespeil, temperaturregulering, seteputevarme, bakre tåkelys, og til og med åpning av hanskerommet - alt krever navigering i skjermmenyer. Nesten samtlige anmeldelser peker på dette som bilens største enkeltsvakhet ('the crossover's biggest problem by far'). Et konkret, bredt dokumentert eksempel på betjening som ikke oppleves gjennomtenkt for daglig bruk.</t>
        </is>
      </c>
      <c r="E112" t="inlineStr">
        <is>
          <t>SRC_AUTOBLOG_EX30_BUTTONS</t>
        </is>
      </c>
      <c r="F112" t="inlineStr">
        <is>
          <t>HIGH</t>
        </is>
      </c>
    </row>
    <row r="113">
      <c r="A113" t="inlineStr">
        <is>
          <t>EV_000112</t>
        </is>
      </c>
      <c r="C113" t="inlineStr">
        <is>
          <t>KIA_EV2_FWD_LONG_RANGE_GT_LINE</t>
        </is>
      </c>
      <c r="D113" t="inlineStr">
        <is>
          <t>Materialkvalitet: Rikelig med hard plast i interiøret, men alt oppleves 'godt sammenskrudd,' og plasten er glatt fremfor grov og billig. GT-Line (denne konfigurasjonens utstyrsnivå) får resirkulerte stoffinnlegg på dashbord og dørpaneler for et mer oppgradert preg, mens myke materialer dekker berøringspunkter som armlener. Anmeldere er samstemte i at kvaliteten overgår forventningene til prisklassen.</t>
        </is>
      </c>
      <c r="E113" t="inlineStr">
        <is>
          <t>SRC_PARKERS_EV2_REVIEW</t>
        </is>
      </c>
      <c r="F113" t="inlineStr">
        <is>
          <t>HIGH</t>
        </is>
      </c>
    </row>
    <row r="114">
      <c r="A114" t="inlineStr">
        <is>
          <t>EV_000113</t>
        </is>
      </c>
      <c r="C114" t="inlineStr">
        <is>
          <t>KIA_EV2_FWD_LONG_RANGE_GT_LINE</t>
        </is>
      </c>
      <c r="D114" t="inlineStr">
        <is>
          <t>Byggekvalitet/knirk: Ingen vesentlige rapporter om knirk eller kvalitetsproblemer i de tidlige 2026-anmeldelsene - byggekvalitet og tilpasning fremheves som en styrke, spesielt sammenlignet med konkurrentene. Eneste konkrete innvending er upraktisk utformede koppholdere som ikke rommer vanlige flasker/bokser uten at de rasler. Bilen er imidlertid så ny (salg startet 2. juli 2026, jf. W014) at ingen reell langtids-/høykilometerdata finnes ennå - den positive vurderingen er et førsteinntrykk, ikke et dokumentert langtidsresultat.</t>
        </is>
      </c>
      <c r="E114" t="inlineStr">
        <is>
          <t>SRC_ELECTRIFYING_EV2_REVIEW</t>
        </is>
      </c>
      <c r="F114" t="inlineStr">
        <is>
          <t>MEDIUM</t>
        </is>
      </c>
    </row>
    <row r="115">
      <c r="A115" t="inlineStr">
        <is>
          <t>EV_000114</t>
        </is>
      </c>
      <c r="C115" t="inlineStr">
        <is>
          <t>KIA_EV2_FWD_LONG_RANGE_GT_LINE</t>
        </is>
      </c>
      <c r="D115" t="inlineStr">
        <is>
          <t>Ergonomi/førermiljø: Høyere sitteposisjon enn typiske små elbiler (f.eks. Renault 5), med gode utsiktsforhold takket være oppreiste dørstolper og høye vinduer. GT-Line (denne konfigurasjonen) har helelektrisk justerbart førersete med korsryggstøtte som stemmer godt overens med ratt og pedaler - ingen skjev sittestilling. Lett styring gjør trange bymanøvre enkle.</t>
        </is>
      </c>
      <c r="E115" t="inlineStr">
        <is>
          <t>SRC_AUTOCAR_EV2_REVIEW</t>
        </is>
      </c>
      <c r="F115" t="inlineStr">
        <is>
          <t>HIGH</t>
        </is>
      </c>
    </row>
    <row r="116">
      <c r="A116" t="inlineStr">
        <is>
          <t>EV_000115</t>
        </is>
      </c>
      <c r="C116" t="inlineStr">
        <is>
          <t>KIA_EV2_FWD_LONG_RANGE_GT_LINE</t>
        </is>
      </c>
      <c r="D116" t="inlineStr">
        <is>
          <t>Betjeningskvalitet: Kia har beholdt fysiske brytere for temperatur, viftehastighet, seteputevarme og volum, i tillegg til snarveisknapper under skjermen - beskrevet som 'et virkelig nyttig sett med fysiske knapper og kontroller.' Fysiske kontroller er ikke fjernet til fordel for ren skjermstyring, noe som gjør justering av volum og klima vesentlig enklere enn på rivaler som er helt skjermavhengige.</t>
        </is>
      </c>
      <c r="E116" t="inlineStr">
        <is>
          <t>SRC_WHATCAR_EV2_2026</t>
        </is>
      </c>
      <c r="F116" t="inlineStr">
        <is>
          <t>HIGH</t>
        </is>
      </c>
    </row>
  </sheetData>
  <autoFilter ref="A1:H1"/>
  <dataValidations count="1">
    <dataValidation sqref="F2:F1048576" showDropDown="0" showInputMessage="0" showErrorMessage="1" allowBlank="1" type="list">
      <formula1>Enum_Confidence</formula1>
    </dataValidation>
  </dataValidations>
  <pageMargins left="0.7" right="0.7" top="0.75" bottom="0.75" header="0.3" footer="0.3"/>
</worksheet>
</file>

<file path=xl/worksheets/sheet10.xml><?xml version="1.0" encoding="utf-8"?>
<worksheet xmlns="http://schemas.openxmlformats.org/spreadsheetml/2006/main">
  <sheetPr>
    <outlinePr summaryBelow="1" summaryRight="1"/>
    <pageSetUpPr/>
  </sheetPr>
  <dimension ref="A1:H76"/>
  <sheetViews>
    <sheetView showGridLines="1" workbookViewId="0">
      <pane ySplit="1" topLeftCell="A2" activePane="bottomLeft" state="frozen"/>
      <selection pane="bottomLeft" activeCell="A2" sqref="A2"/>
    </sheetView>
  </sheetViews>
  <sheetFormatPr baseColWidth="8" defaultRowHeight="15"/>
  <cols>
    <col width="20" customWidth="1" min="1" max="1"/>
    <col width="24" customWidth="1" min="2" max="2"/>
    <col width="42" customWidth="1" min="3" max="3"/>
    <col width="28" customWidth="1" min="4" max="4"/>
    <col width="60" customWidth="1" min="5" max="5"/>
    <col width="18" customWidth="1" min="6" max="6"/>
    <col width="18" customWidth="1" min="7" max="7"/>
    <col width="60" customWidth="1" min="8" max="8"/>
  </cols>
  <sheetData>
    <row r="1" ht="22" customHeight="1">
      <c r="A1" s="1" t="inlineStr">
        <is>
          <t>SourceID</t>
        </is>
      </c>
      <c r="B1" s="1" t="inlineStr">
        <is>
          <t>Type</t>
        </is>
      </c>
      <c r="C1" s="1" t="inlineStr">
        <is>
          <t>Title</t>
        </is>
      </c>
      <c r="D1" s="1" t="inlineStr">
        <is>
          <t>Publisher</t>
        </is>
      </c>
      <c r="E1" s="1" t="inlineStr">
        <is>
          <t>URL</t>
        </is>
      </c>
      <c r="F1" s="1" t="inlineStr">
        <is>
          <t>PublishedDate</t>
        </is>
      </c>
      <c r="G1" s="1" t="inlineStr">
        <is>
          <t>RetrievedDate</t>
        </is>
      </c>
      <c r="H1" s="1" t="inlineStr">
        <is>
          <t>Notes</t>
        </is>
      </c>
    </row>
    <row r="2">
      <c r="A2" t="inlineStr">
        <is>
          <t>SRC_TESLA_NO_MODEL3_CONFIGURATOR</t>
        </is>
      </c>
      <c r="B2" t="inlineStr">
        <is>
          <t>MANUFACTURER</t>
        </is>
      </c>
      <c r="C2" t="inlineStr">
        <is>
          <t>Model 3 – Sportslig elektrisk sedan</t>
        </is>
      </c>
      <c r="D2" t="inlineStr">
        <is>
          <t>Tesla</t>
        </is>
      </c>
      <c r="E2" t="inlineStr">
        <is>
          <t>https://www.tesla.com/no_no/model3</t>
        </is>
      </c>
      <c r="G2" t="inlineStr">
        <is>
          <t>2026-07-06</t>
        </is>
      </c>
      <c r="H2" t="inlineStr">
        <is>
          <t>Official Tesla Norway configurator/specification page. Technical values retrieved by switching between the Model 3 (RWD), Premium (Long Range AWD / Long Range RWD) and Performance trim tabs on the live page.</t>
        </is>
      </c>
    </row>
    <row r="3">
      <c r="A3" t="inlineStr">
        <is>
          <t>SRC_MOTORNO_MODEL3_2024</t>
        </is>
      </c>
      <c r="B3" t="inlineStr">
        <is>
          <t>PROFESSIONAL_REVIEW</t>
        </is>
      </c>
      <c r="C3" t="inlineStr">
        <is>
          <t>Motor har testet nye Tesla Model 3</t>
        </is>
      </c>
      <c r="D3" t="inlineStr">
        <is>
          <t>Motor.no</t>
        </is>
      </c>
      <c r="E3" t="inlineStr">
        <is>
          <t>https://www.motor.no/bil/motor-har-testet-nye-tesla-model-3/262378</t>
        </is>
      </c>
      <c r="G3" t="inlineStr">
        <is>
          <t>2026-07-06</t>
        </is>
      </c>
      <c r="H3" t="inlineStr">
        <is>
          <t>Test av Tesla Model 3 Long Range firehjulsdrift (AWD). Dekker kupestoy, komfort, styring og sikt.</t>
        </is>
      </c>
    </row>
    <row r="4">
      <c r="A4" t="inlineStr">
        <is>
          <t>SRC_CARSCOM_MODEL3_2024</t>
        </is>
      </c>
      <c r="B4" t="inlineStr">
        <is>
          <t>PROFESSIONAL_REVIEW</t>
        </is>
      </c>
      <c r="C4" t="inlineStr">
        <is>
          <t>2024 Tesla Model 3 Review: My, How You've Improved</t>
        </is>
      </c>
      <c r="D4" t="inlineStr">
        <is>
          <t>Cars.com</t>
        </is>
      </c>
      <c r="E4" t="inlineStr">
        <is>
          <t>https://www.cars.com/articles/2024-tesla-model-3-review-my-how-youve-improved-483077/</t>
        </is>
      </c>
      <c r="F4" t="inlineStr">
        <is>
          <t>2024</t>
        </is>
      </c>
      <c r="G4" t="inlineStr">
        <is>
          <t>2026-07-06</t>
        </is>
      </c>
      <c r="H4" t="inlineStr">
        <is>
          <t>Test av Tesla Model 3 Long Range. Dekker NVH/stoydemping, fjaering og infotainment-betjening.</t>
        </is>
      </c>
    </row>
    <row r="5">
      <c r="A5" t="inlineStr">
        <is>
          <t>SRC_MACRUMORS_CARPLAY_2025</t>
        </is>
      </c>
      <c r="B5" t="inlineStr">
        <is>
          <t>PROFESSIONAL_REVIEW</t>
        </is>
      </c>
      <c r="C5" t="inlineStr">
        <is>
          <t>Heres When Tesla is Expected to Add Support for Apple CarPlay</t>
        </is>
      </c>
      <c r="D5" t="inlineStr">
        <is>
          <t>MacRumors</t>
        </is>
      </c>
      <c r="E5" t="inlineStr">
        <is>
          <t>https://www.macrumors.com/2025/11/16/tesla-carplay-support-in-coming-months/</t>
        </is>
      </c>
      <c r="F5" t="inlineStr">
        <is>
          <t>2025-11-16</t>
        </is>
      </c>
      <c r="G5" t="inlineStr">
        <is>
          <t>2026-07-06</t>
        </is>
      </c>
      <c r="H5" t="inlineStr">
        <is>
          <t>Rapporterer status og planer for Apple CarPlay-stotte pa Tesla-kjoretoy, inkludert Model 3.</t>
        </is>
      </c>
    </row>
    <row r="6">
      <c r="A6" t="inlineStr">
        <is>
          <t>SRC_RENAULT_NO_R4_PAGE</t>
        </is>
      </c>
      <c r="B6" t="inlineStr">
        <is>
          <t>MANUFACTURER</t>
        </is>
      </c>
      <c r="C6" t="inlineStr">
        <is>
          <t>Renault 4 E-Tech electric | Renault.no</t>
        </is>
      </c>
      <c r="D6" t="inlineStr">
        <is>
          <t>Renault (RN Nordic AB NUF)</t>
        </is>
      </c>
      <c r="E6" t="inlineStr">
        <is>
          <t>https://www.renault.no/personbil/renault-4-e-tech-electric</t>
        </is>
      </c>
      <c r="G6" t="inlineStr">
        <is>
          <t>2026-07-06</t>
        </is>
      </c>
      <c r="H6" t="inlineStr">
        <is>
          <t>Official Renault Norway product page. Dimensions, boot volume (evolution default view), ground clearance, driver-assistance feature list, CarPlay/Android Auto support.</t>
        </is>
      </c>
    </row>
    <row r="7">
      <c r="A7" t="inlineStr">
        <is>
          <t>SRC_RENAULT_NO_R4_PRICELIST</t>
        </is>
      </c>
      <c r="B7" t="inlineStr">
        <is>
          <t>MANUFACTURER</t>
        </is>
      </c>
      <c r="C7" t="inlineStr">
        <is>
          <t>Prisliste Renault 4 E-Tech Electric (Versjon 2, 01-06-2026)</t>
        </is>
      </c>
      <c r="D7" t="inlineStr">
        <is>
          <t>Renault (RN Nordic AB NUF)</t>
        </is>
      </c>
      <c r="E7" t="inlineStr">
        <is>
          <t>https://rn-nordic-prod.objects.frb.io/Cars/Personbil/Renault-4-E-Tech-electric/PDF/Prisliste-Renault-4-Plein-Sud-01.06.26-2.pdf</t>
        </is>
      </c>
      <c r="F7" t="inlineStr">
        <is>
          <t>2026-06-01</t>
        </is>
      </c>
      <c r="G7" t="inlineStr">
        <is>
          <t>2026-07-06</t>
        </is>
      </c>
      <c r="H7" t="inlineStr">
        <is>
          <t>Official Norwegian price list PDF. Per-trim WLTP range, consumption, motor power, torque, DC/AC charging, kerb weight, payload, pricing, and full equipment/feature comparison including adaptive cruise control availability by trim.</t>
        </is>
      </c>
    </row>
    <row r="8">
      <c r="A8" t="inlineStr">
        <is>
          <t>SRC_MOTORNO_R4_2025</t>
        </is>
      </c>
      <c r="B8" t="inlineStr">
        <is>
          <t>PROFESSIONAL_REVIEW</t>
        </is>
      </c>
      <c r="C8" t="inlineStr">
        <is>
          <t>Motor har prøvekjørt Renault 4 E-Tech</t>
        </is>
      </c>
      <c r="D8" t="inlineStr">
        <is>
          <t>Motor.no</t>
        </is>
      </c>
      <c r="E8" t="inlineStr">
        <is>
          <t>https://www.motor.no/bil/motor-har-provekjort-renault-4-e-tech/316619</t>
        </is>
      </c>
      <c r="G8" t="inlineStr">
        <is>
          <t>2026-07-06</t>
        </is>
      </c>
      <c r="H8" t="inlineStr">
        <is>
          <t>Test av Renault 4 E-Tech 150 Comfort Range (52 kWh, 150 hk). Dekker fjaering/komfort, sikt og infotainment.</t>
        </is>
      </c>
    </row>
    <row r="9">
      <c r="A9" t="inlineStr">
        <is>
          <t>SRC_RAC_R4_2026</t>
        </is>
      </c>
      <c r="B9" t="inlineStr">
        <is>
          <t>PROFESSIONAL_REVIEW</t>
        </is>
      </c>
      <c r="C9" t="inlineStr">
        <is>
          <t>Renault 4 E-Tech Review 2026: Prices, specs and verdict</t>
        </is>
      </c>
      <c r="D9" t="inlineStr">
        <is>
          <t>RAC Drive</t>
        </is>
      </c>
      <c r="E9" t="inlineStr">
        <is>
          <t>https://www.rac.co.uk/drive/car-reviews/renault/4-e-tech/4-e-tech/</t>
        </is>
      </c>
      <c r="G9" t="inlineStr">
        <is>
          <t>2026-07-06</t>
        </is>
      </c>
      <c r="H9" t="inlineStr">
        <is>
          <t>UK professional review. Covers steering, cabin/road noise, ride comfort, and confirms Apple CarPlay/Android Auto support on all models.</t>
        </is>
      </c>
    </row>
    <row r="10">
      <c r="A10" t="inlineStr">
        <is>
          <t>SRC_SKODA_NO_ELROQ_PAGE</t>
        </is>
      </c>
      <c r="B10" t="inlineStr">
        <is>
          <t>MANUFACTURER</t>
        </is>
      </c>
      <c r="C10" t="inlineStr">
        <is>
          <t>Škoda Elroq | Ny kompakt el-SUV med god plass</t>
        </is>
      </c>
      <c r="D10" t="inlineStr">
        <is>
          <t>Škoda (Harald A. Møller AS)</t>
        </is>
      </c>
      <c r="E10" t="inlineStr">
        <is>
          <t>https://www.skoda-auto.no/modeller/elroq/elroq</t>
        </is>
      </c>
      <c r="G10" t="inlineStr">
        <is>
          <t>2026-07-06</t>
        </is>
      </c>
      <c r="H10" t="inlineStr">
        <is>
          <t>Official Skoda Norway product page. General range/boot/pricing highlights and feature descriptions.</t>
        </is>
      </c>
    </row>
    <row r="11">
      <c r="A11" t="inlineStr">
        <is>
          <t>SRC_SKODA_NO_ELROQ_PRICELIST</t>
        </is>
      </c>
      <c r="B11" t="inlineStr">
        <is>
          <t>MANUFACTURER</t>
        </is>
      </c>
      <c r="C11" t="inlineStr">
        <is>
          <t>Prisliste Škoda Elroq 2027-modell</t>
        </is>
      </c>
      <c r="D11" t="inlineStr">
        <is>
          <t>Škoda (Harald A. Møller AS)</t>
        </is>
      </c>
      <c r="E11" t="inlineStr">
        <is>
          <t>https://www.skoda-auto.no/_doc/293e338b-26f2-4601-9123-356e20a88ca5</t>
        </is>
      </c>
      <c r="F11" t="inlineStr">
        <is>
          <t>2026-06-29</t>
        </is>
      </c>
      <c r="G11" t="inlineStr">
        <is>
          <t>2026-07-06</t>
        </is>
      </c>
      <c r="H11" t="inlineStr">
        <is>
          <t>Official Norwegian price list, 2027 model year, dated 29.06.2026. Per-trim range, consumption, system power, DC charge time, pricing, and full equipment comparison including adaptive cruise control and rearview camera standard on all trims.</t>
        </is>
      </c>
    </row>
    <row r="12">
      <c r="A12" t="inlineStr">
        <is>
          <t>SRC_SKODA_GLOBAL_TECHDATA</t>
        </is>
      </c>
      <c r="B12" t="inlineStr">
        <is>
          <t>MANUFACTURER</t>
        </is>
      </c>
      <c r="C12" t="inlineStr">
        <is>
          <t>Elroq Technical specifications (Skoda Storyboard)</t>
        </is>
      </c>
      <c r="D12" t="inlineStr">
        <is>
          <t>Škoda Auto a.s.</t>
        </is>
      </c>
      <c r="E12" t="inlineStr">
        <is>
          <t>https://cdn.skoda-storyboard.com/2025/04/Skoda_Elroq_Technical_data_28ca6795.pdf</t>
        </is>
      </c>
      <c r="F12" t="inlineStr">
        <is>
          <t>2025-05-05</t>
        </is>
      </c>
      <c r="G12" t="inlineStr">
        <is>
          <t>2026-07-06</t>
        </is>
      </c>
      <c r="H12" t="inlineStr">
        <is>
          <t>Official global technical data sheet (5.5.2025 revision). Used only for physical dimensions (length, width, height, wheelbase, ground clearance, boot volume) not covered by the Norway 2027 price list. Note: this sheet predates the Norway 2027-model price list by roughly a model year; power/battery/range figures in this sheet do not match the Norway 2027 price list exactly (e.g. Elroq 60: 150kW/59kWh global vs 140kW/58kWh NO 2027) - a documented cross-source discrepancy, likely a running spec revision between model years. Norway price list figures are used for all range/power/battery/charging facts; this sheet is used only for dimensions.</t>
        </is>
      </c>
    </row>
    <row r="13">
      <c r="A13" t="inlineStr">
        <is>
          <t>SRC_MOTORNO_ELROQ_2025</t>
        </is>
      </c>
      <c r="B13" t="inlineStr">
        <is>
          <t>PROFESSIONAL_REVIEW</t>
        </is>
      </c>
      <c r="C13" t="inlineStr">
        <is>
          <t>Motor har testet Skoda Elroq</t>
        </is>
      </c>
      <c r="D13" t="inlineStr">
        <is>
          <t>Motor.no</t>
        </is>
      </c>
      <c r="E13" t="inlineStr">
        <is>
          <t>https://www.motor.no/bil/motor-har-testet-skoda-elroq/316871</t>
        </is>
      </c>
      <c r="G13" t="inlineStr">
        <is>
          <t>2026-07-06</t>
        </is>
      </c>
      <c r="H13" t="inlineStr">
        <is>
          <t>Test av Skoda Elroq 60 med Motor-pakke. Dekker kupestoy (hjulstoy), fjaering, og betjening/infotainment.</t>
        </is>
      </c>
    </row>
    <row r="14">
      <c r="A14" t="inlineStr">
        <is>
          <t>SRC_WHATCAR_ELROQ_2026</t>
        </is>
      </c>
      <c r="B14" t="inlineStr">
        <is>
          <t>PROFESSIONAL_REVIEW</t>
        </is>
      </c>
      <c r="C14" t="inlineStr">
        <is>
          <t>Skoda Elroq Review 2026, Price &amp; Specs</t>
        </is>
      </c>
      <c r="D14" t="inlineStr">
        <is>
          <t>What Car?</t>
        </is>
      </c>
      <c r="E14" t="inlineStr">
        <is>
          <t>https://www.whatcar.com/skoda/elroq/estate/review/n27301</t>
        </is>
      </c>
      <c r="G14" t="inlineStr">
        <is>
          <t>2026-07-06</t>
        </is>
      </c>
      <c r="H14" t="inlineStr">
        <is>
          <t>UK professional review. Covers CarPlay/infotainment, steering, ride comfort and cabin noise.</t>
        </is>
      </c>
    </row>
    <row r="15">
      <c r="A15" t="inlineStr">
        <is>
          <t>SRC_RAC_ELROQ_2026</t>
        </is>
      </c>
      <c r="B15" t="inlineStr">
        <is>
          <t>PROFESSIONAL_REVIEW</t>
        </is>
      </c>
      <c r="C15" t="inlineStr">
        <is>
          <t>Skoda Elroq Review 2026: Prices, specs and verdict</t>
        </is>
      </c>
      <c r="D15" t="inlineStr">
        <is>
          <t>RAC Drive</t>
        </is>
      </c>
      <c r="E15" t="inlineStr">
        <is>
          <t>https://www.rac.co.uk/drive/car-reviews/skoda/elroq/elroq/</t>
        </is>
      </c>
      <c r="G15" t="inlineStr">
        <is>
          <t>2026-07-06</t>
        </is>
      </c>
      <c r="H15" t="inlineStr">
        <is>
          <t>UK professional review. Covers outward visibility and driving position.</t>
        </is>
      </c>
    </row>
    <row r="16">
      <c r="A16" t="inlineStr">
        <is>
          <t>SRC_VOLVO_NO_EX30_SPECS</t>
        </is>
      </c>
      <c r="B16" t="inlineStr">
        <is>
          <t>MANUFACTURER</t>
        </is>
      </c>
      <c r="C16" t="inlineStr">
        <is>
          <t>Volvo EX30 helelektrisk SUV | Spesifikasjoner</t>
        </is>
      </c>
      <c r="D16" t="inlineStr">
        <is>
          <t>Volvo Car Norway AS</t>
        </is>
      </c>
      <c r="E16" t="inlineStr">
        <is>
          <t>https://www.volvocars.com/no/cars/ex30-electric/specifications/</t>
        </is>
      </c>
      <c r="G16" t="inlineStr">
        <is>
          <t>2026-07-06</t>
        </is>
      </c>
      <c r="H16" t="inlineStr">
        <is>
          <t>Official Volvo Norway specifications page. Per-configuration (P5, P5 Long Range, P8 AWD) power, torque, range, consumption, battery, charging, weights, plus full vehicle dimensions.</t>
        </is>
      </c>
    </row>
    <row r="17">
      <c r="A17" t="inlineStr">
        <is>
          <t>SRC_MOTORNO_EX30_2024</t>
        </is>
      </c>
      <c r="B17" t="inlineStr">
        <is>
          <t>PROFESSIONAL_REVIEW</t>
        </is>
      </c>
      <c r="C17" t="inlineStr">
        <is>
          <t>Motor har testet Volvo EX30</t>
        </is>
      </c>
      <c r="D17" t="inlineStr">
        <is>
          <t>Motor.no</t>
        </is>
      </c>
      <c r="E17" t="inlineStr">
        <is>
          <t>https://www.motor.no/bil/motor-har-testet-volvo-ex30/267416</t>
        </is>
      </c>
      <c r="G17" t="inlineStr">
        <is>
          <t>2026-07-06</t>
        </is>
      </c>
      <c r="H17" t="inlineStr">
        <is>
          <t>Test av Volvo EX30 P8 AWD (64 kWh, 428 hk). Dekker kupestoy, fjaering, rattbetjening, infotainment, og forerassistenter pa norske vinterveier.</t>
        </is>
      </c>
    </row>
    <row r="18">
      <c r="A18" t="inlineStr">
        <is>
          <t>SRC_WHATCAR_EX30_2026</t>
        </is>
      </c>
      <c r="B18" t="inlineStr">
        <is>
          <t>PROFESSIONAL_REVIEW</t>
        </is>
      </c>
      <c r="C18" t="inlineStr">
        <is>
          <t>Volvo EX30 Review 2026, Price &amp; Specs</t>
        </is>
      </c>
      <c r="D18" t="inlineStr">
        <is>
          <t>What Car?</t>
        </is>
      </c>
      <c r="E18" t="inlineStr">
        <is>
          <t>https://www.whatcar.com/volvo/ex30/estate/review/n26262</t>
        </is>
      </c>
      <c r="G18" t="inlineStr">
        <is>
          <t>2026-07-06</t>
        </is>
      </c>
      <c r="H18" t="inlineStr">
        <is>
          <t>UK professional review. Covers CarPlay, steering, ride comfort, cabin noise, and outward visibility.</t>
        </is>
      </c>
    </row>
    <row r="19">
      <c r="A19" t="inlineStr">
        <is>
          <t>SRC_BOS_KIA_EV2_QUOTE</t>
        </is>
      </c>
      <c r="B19" t="inlineStr">
        <is>
          <t>MANUFACTURER</t>
        </is>
      </c>
      <c r="C19" t="inlineStr">
        <is>
          <t>Tilbud: Kia EV2 FWD Long Range GT Line</t>
        </is>
      </c>
      <c r="D19" t="inlineStr">
        <is>
          <t>Bertel O. Steen Lorenskog (authorized Kia dealer)</t>
        </is>
      </c>
      <c r="F19" t="inlineStr">
        <is>
          <t>2026-07-06</t>
        </is>
      </c>
      <c r="G19" t="inlineStr">
        <is>
          <t>2026-07-06</t>
        </is>
      </c>
      <c r="H19" t="inlineStr">
        <is>
          <t>Official dealer sales quote (PDF), valid to 2026-07-12. Covers configuration, trim/equipment list, and full pricing breakdown for the specific GT Line configuration. No battery/range/charging/dimension figures included. Customer contact details in the source document deliberately excluded from this citation.</t>
        </is>
      </c>
    </row>
    <row r="20">
      <c r="A20" t="inlineStr">
        <is>
          <t>SRC_KIA_NETTBUTIKK_EV2</t>
        </is>
      </c>
      <c r="B20" t="inlineStr">
        <is>
          <t>MANUFACTURER</t>
        </is>
      </c>
      <c r="C20" t="inlineStr">
        <is>
          <t>EV2 FWD Long Range GT Line - Oppsummering (Kia nettbutikk)</t>
        </is>
      </c>
      <c r="D20" t="inlineStr">
        <is>
          <t>Kia Norge</t>
        </is>
      </c>
      <c r="E20" t="inlineStr">
        <is>
          <t>https://nettbutikk.kia.no/ev2/oppsummering</t>
        </is>
      </c>
      <c r="G20" t="inlineStr">
        <is>
          <t>2026-07-06</t>
        </is>
      </c>
      <c r="H20" t="inlineStr">
        <is>
          <t>Official Kia Norway configurator, saved configuration code A2231F29 (verified directly by fetching the live page 2026-07-06 - matches text supplied by user exactly). Technical data section contains confirmed unit-label errors on Kia's own page template: "Bagasjerom"/"Frunk" labeled kg (should be L, volume), "Forbruk" labeled kWh/km (should be kWh/100km - confirmed by cross-check: 62kWh battery / 15.2kWh-per-100km implies ~408km range, consistent with the stated 453km WLTP figure; taken literally as kWh/km the range would be ~4km, which is physically absurd), "Batterikapasitet" labeled kW (should be kWh, energy not power - same cross-check applies). Numeric values are trusted (official source, tied to a specific saved configuration); unit labels corrected based on physical plausibility and internal arithmetic consistency, not assumed.</t>
        </is>
      </c>
    </row>
    <row r="21">
      <c r="A21" t="inlineStr">
        <is>
          <t>SRC_MOTORNO_EV2_2026</t>
        </is>
      </c>
      <c r="B21" t="inlineStr">
        <is>
          <t>PROFESSIONAL_REVIEW</t>
        </is>
      </c>
      <c r="C21" t="inlineStr">
        <is>
          <t>Prøvekjørt: Kia EV2, nå begynner smått å bli virkelig godt</t>
        </is>
      </c>
      <c r="D21" t="inlineStr">
        <is>
          <t>Motor.no</t>
        </is>
      </c>
      <c r="E21" t="inlineStr">
        <is>
          <t>https://www.motor.no/aktuelt/provekjort-kia-ev2-na-begynner-smatt-a-bli-virkelig-godt/350785</t>
        </is>
      </c>
      <c r="G21" t="inlineStr">
        <is>
          <t>2026-07-06</t>
        </is>
      </c>
      <c r="H21" t="inlineStr">
        <is>
          <t>Test av Kia EV2 Standard Range (42.2 kWh, 147 hk), testet i Lisboa. Dekker fjaering/komfort og sikt.</t>
        </is>
      </c>
    </row>
    <row r="22">
      <c r="A22" t="inlineStr">
        <is>
          <t>SRC_WHATCAR_EV2_2026</t>
        </is>
      </c>
      <c r="B22" t="inlineStr">
        <is>
          <t>PROFESSIONAL_REVIEW</t>
        </is>
      </c>
      <c r="C22" t="inlineStr">
        <is>
          <t>Kia EV2 Review 2026, Price &amp; Specs</t>
        </is>
      </c>
      <c r="D22" t="inlineStr">
        <is>
          <t>What Car?</t>
        </is>
      </c>
      <c r="E22" t="inlineStr">
        <is>
          <t>https://www.whatcar.com/kia/ev2/hatchback/review/n28833</t>
        </is>
      </c>
      <c r="G22" t="inlineStr">
        <is>
          <t>2026-07-06</t>
        </is>
      </c>
      <c r="H22" t="inlineStr">
        <is>
          <t>UK professional review. Covers CarPlay, steering, ride comfort, cabin noise and outward visibility.</t>
        </is>
      </c>
    </row>
    <row r="23">
      <c r="A23" t="inlineStr">
        <is>
          <t>SRC_RAC_EV2_2026</t>
        </is>
      </c>
      <c r="B23" t="inlineStr">
        <is>
          <t>PROFESSIONAL_REVIEW</t>
        </is>
      </c>
      <c r="C23" t="inlineStr">
        <is>
          <t>Kia EV2 Review 2026: Prices, specs and verdict</t>
        </is>
      </c>
      <c r="D23" t="inlineStr">
        <is>
          <t>RAC Drive</t>
        </is>
      </c>
      <c r="E23" t="inlineStr">
        <is>
          <t>https://www.rac.co.uk/drive/car-reviews/kia/ev2/ev2/</t>
        </is>
      </c>
      <c r="G23" t="inlineStr">
        <is>
          <t>2026-07-06</t>
        </is>
      </c>
      <c r="H23" t="inlineStr">
        <is>
          <t>UK professional review. Covers infotainment/touchscreen quality.</t>
        </is>
      </c>
    </row>
    <row r="24">
      <c r="A24" t="inlineStr">
        <is>
          <t>SRC_ELBIL_VOLVO_EX30_WINTER</t>
        </is>
      </c>
      <c r="B24" t="inlineStr">
        <is>
          <t>PROFESSIONAL_REVIEW</t>
        </is>
      </c>
      <c r="C24" t="inlineStr">
        <is>
          <t>Vintertest av Volvo EX30: Denne bilen forteller deg om batterihelsen sin</t>
        </is>
      </c>
      <c r="D24" t="inlineStr">
        <is>
          <t>Norsk elbilforening (elbil.no)</t>
        </is>
      </c>
      <c r="E24" t="inlineStr">
        <is>
          <t>https://elbil.no/vinter-test-av-volvo-ex30-denne-bilen-forteller-deg-om-batterihelsen-sin/</t>
        </is>
      </c>
      <c r="F24" t="inlineStr">
        <is>
          <t>2025-02-26</t>
        </is>
      </c>
      <c r="G24" t="inlineStr">
        <is>
          <t>2026-07-06</t>
        </is>
      </c>
      <c r="H24" t="inlineStr">
        <is>
          <t>Independent winter test (Tier A: independent winter testing). Tested Twin Performance (dual-motor AWD Ultra) - matches VOLVO_EX30_P8_AWD powertrain. Estimated ~75% of WLTP range retained under real winter conditions (down to approx. -20C) after accounting for a mid-route fast-charge stop.</t>
        </is>
      </c>
    </row>
    <row r="25">
      <c r="A25" t="inlineStr">
        <is>
          <t>SRC_ELBIL_RENAULT4_TEST</t>
        </is>
      </c>
      <c r="B25" t="inlineStr">
        <is>
          <t>PROFESSIONAL_REVIEW</t>
        </is>
      </c>
      <c r="C25" t="inlineStr">
        <is>
          <t>Test av Renault 4: Billig sjarmklump som fort blir dyr</t>
        </is>
      </c>
      <c r="D25" t="inlineStr">
        <is>
          <t>Norsk elbilforening (elbil.no)</t>
        </is>
      </c>
      <c r="E25" t="inlineStr">
        <is>
          <t>https://elbil.no/test-av-renault-4/</t>
        </is>
      </c>
      <c r="F25" t="inlineStr">
        <is>
          <t>2025-11-05</t>
        </is>
      </c>
      <c r="G25" t="inlineStr">
        <is>
          <t>2026-07-06</t>
        </is>
      </c>
      <c r="H25" t="inlineStr">
        <is>
          <t>General road test, not a dedicated winter cold-chamber test. Tested Iconic trim (52kWh, same powertrain as Techno, different equipment level) at highway consumption of 1.81 kWh/mil (18.1 kWh/100km) at constant 100km/h in 5-7C conditions - not extreme winter cold. Measured range at this consumption: 287km. Used as a cautious proxy only, explicitly flagged as trim- and condition-mismatched to the Techno configuration and to true deep-winter conditions.</t>
        </is>
      </c>
    </row>
    <row r="26">
      <c r="A26" t="inlineStr">
        <is>
          <t>SRC_TESLA_NO_MODEL3_DESIGN</t>
        </is>
      </c>
      <c r="B26" t="inlineStr">
        <is>
          <t>MANUFACTURER</t>
        </is>
      </c>
      <c r="C26" t="inlineStr">
        <is>
          <t>Design din Model 3 | Tesla</t>
        </is>
      </c>
      <c r="D26" t="inlineStr">
        <is>
          <t>Tesla</t>
        </is>
      </c>
      <c r="E26" t="inlineStr">
        <is>
          <t>https://www.tesla.com/no_no/model3/design</t>
        </is>
      </c>
      <c r="G26" t="inlineStr">
        <is>
          <t>2026-07-06</t>
        </is>
      </c>
      <c r="H26" t="inlineStr">
        <is>
          <t>Official Tesla Norway configurator. Verified total price for Long Range bakhjulsdrift (Long Range RWD) with no optional extras selected: 369990 kr excl. VAT/fees, 400539 kr incl. VAT and fees.</t>
        </is>
      </c>
    </row>
    <row r="27">
      <c r="A27" t="inlineStr">
        <is>
          <t>SRC_KIA_UK_SPECS_PDF</t>
        </is>
      </c>
      <c r="B27" t="inlineStr">
        <is>
          <t>MANUFACTURER</t>
        </is>
      </c>
      <c r="C27" t="inlineStr">
        <is>
          <t>The Kia EV2 Specifications (Kia UK)</t>
        </is>
      </c>
      <c r="D27" t="inlineStr">
        <is>
          <t>Kia UK</t>
        </is>
      </c>
      <c r="E27" t="inlineStr">
        <is>
          <t>https://www.kia.com/content/dam/kwcms/kme/uk/en/assets/vehicles/ev2/ev2-specifications.pdf</t>
        </is>
      </c>
      <c r="G27" t="inlineStr">
        <is>
          <t>2026-07-06</t>
        </is>
      </c>
      <c r="H27" t="inlineStr">
        <is>
          <t>Official Kia UK specifications PDF. GT Line/GT Line S trim: Length 4065mm, Wheelbase 2565mm, Width 1800mm, Height 1585mm. UK market document, not Norway-specific, but physical dimensions are not expected to differ by market for the same generation/trim.</t>
        </is>
      </c>
    </row>
    <row r="28">
      <c r="A28" t="inlineStr">
        <is>
          <t>SRC_TESLA_OWNERSMANUAL_MODEL3_NO</t>
        </is>
      </c>
      <c r="B28" t="inlineStr">
        <is>
          <t>MANUFACTURER</t>
        </is>
      </c>
      <c r="C28" t="inlineStr">
        <is>
          <t>Tesla Model 3 Owner's Manual (Norwegian)</t>
        </is>
      </c>
      <c r="D28" t="inlineStr">
        <is>
          <t>Tesla</t>
        </is>
      </c>
      <c r="E28" t="inlineStr">
        <is>
          <t>https://www.tesla.com/ownersmanual/model3/no_no/GUID-3598EF55-6B1D-462B-88D8-704DB0896DD1.html</t>
        </is>
      </c>
      <c r="G28" t="inlineStr">
        <is>
          <t>2026-07-06</t>
        </is>
      </c>
      <c r="H28" t="inlineStr">
        <is>
          <t>Official Tesla owner's manual, camera/parking section. Confirms rear-view camera plus side-pillar camera views, no stitched 360-degree/bird's-eye composite view.</t>
        </is>
      </c>
    </row>
    <row r="29">
      <c r="A29" t="inlineStr">
        <is>
          <t>SRC_ELECTREK_TESLA_AUTOPILOT_PAYWALL</t>
        </is>
      </c>
      <c r="B29" t="inlineStr">
        <is>
          <t>PROFESSIONAL_REVIEW</t>
        </is>
      </c>
      <c r="C29" t="inlineStr">
        <is>
          <t>Tesla cuts standard Autopilot, paywalls basic safety feature behind FSD subscription</t>
        </is>
      </c>
      <c r="D29" t="inlineStr">
        <is>
          <t>Electrek</t>
        </is>
      </c>
      <c r="E29" t="inlineStr">
        <is>
          <t>https://electrek.co/2026/01/23/tesla-cuts-standard-autopilot-paywalls-basic-safety-feature-behind-fsd-subscription/</t>
        </is>
      </c>
      <c r="F29" t="inlineStr">
        <is>
          <t>2026-01-23</t>
        </is>
      </c>
      <c r="G29" t="inlineStr">
        <is>
          <t>2026-07-06</t>
        </is>
      </c>
      <c r="H29" t="inlineStr">
        <is>
          <t>Reports Tesla removing 'Basic Autopilot' (TACC+Autosteer bundle) from new North American orders in Jan 2026, later expanded to EU markets (Netherlands May 2026; one-time FSD purchase deadline May 21 2026 per follow-up Electrek coverage). Corroborates the paywall pattern later self-verified on Tesla's own Norwegian configurator (SRC_TESLA_NO_MODEL3_DESIGN).</t>
        </is>
      </c>
    </row>
    <row r="30">
      <c r="A30" t="inlineStr">
        <is>
          <t>SRC_TESLA_WINTER_DRIVING_TIPS</t>
        </is>
      </c>
      <c r="B30" t="inlineStr">
        <is>
          <t>MANUFACTURER</t>
        </is>
      </c>
      <c r="C30" t="inlineStr">
        <is>
          <t>Winter driving tips</t>
        </is>
      </c>
      <c r="D30" t="inlineStr">
        <is>
          <t>Tesla</t>
        </is>
      </c>
      <c r="E30" t="inlineStr">
        <is>
          <t>https://www.tesla.com/support/winter-driving-tips</t>
        </is>
      </c>
      <c r="G30" t="inlineStr">
        <is>
          <t>2026-07-06</t>
        </is>
      </c>
      <c r="H30" t="inlineStr">
        <is>
          <t>Official Tesla guidance warning that Traffic-Aware Cruise Control/Autopilot should not be used on icy or slippery road surfaces. Generic safety boilerplate, not Norway-specific or comparative to other manufacturers.</t>
        </is>
      </c>
    </row>
    <row r="31">
      <c r="A31" t="inlineStr">
        <is>
          <t>SRC_ELBILFORUM_MODEL3_AUTOPILOT_WINTER</t>
        </is>
      </c>
      <c r="B31" t="inlineStr">
        <is>
          <t>COMMUNITY</t>
        </is>
      </c>
      <c r="C31" t="inlineStr">
        <is>
          <t>Model 3 Autopilot på norske vinterveier - brukertråd</t>
        </is>
      </c>
      <c r="D31" t="inlineStr">
        <is>
          <t>elbilforum.no</t>
        </is>
      </c>
      <c r="E31" t="inlineStr">
        <is>
          <t>https://elbilforum.no/</t>
        </is>
      </c>
      <c r="G31" t="inlineStr">
        <is>
          <t>2026-07-06</t>
        </is>
      </c>
      <c r="H31" t="inlineStr">
        <is>
          <t>Anecdotal, mixed user reports on standard Autopilot/TACC behavior on Norwegian winter roads - some describe it as reliable in winter conditions, others report late reactions on icy side roads. Forum anecdote only, not editorial/independent testing.</t>
        </is>
      </c>
    </row>
    <row r="32">
      <c r="A32" t="inlineStr">
        <is>
          <t>SRC_RENAULT_GROUP_FOTA</t>
        </is>
      </c>
      <c r="B32" t="inlineStr">
        <is>
          <t>MANUFACTURER</t>
        </is>
      </c>
      <c r="C32" t="inlineStr">
        <is>
          <t>FOTA: updates are in the air</t>
        </is>
      </c>
      <c r="D32" t="inlineStr">
        <is>
          <t>Renault Group</t>
        </is>
      </c>
      <c r="E32" t="inlineStr">
        <is>
          <t>https://www.renaultgroup.com/en/magazine/our-group-news/fota-updates-are-in-the-air/</t>
        </is>
      </c>
      <c r="G32" t="inlineStr">
        <is>
          <t>2026-07-06</t>
        </is>
      </c>
      <c r="H32" t="inlineStr">
        <is>
          <t>Official Renault Group article confirming Firmware-Over-The-Air (FOTA) update capability via embedded 4G, no workshop visit required. Applies to OpenR Link-equipped models including Renault 4 E-Tech.</t>
        </is>
      </c>
    </row>
    <row r="33">
      <c r="A33" t="inlineStr">
        <is>
          <t>SRC_ELECTRIVE_RENAULT_GEMINI_OTA</t>
        </is>
      </c>
      <c r="B33" t="inlineStr">
        <is>
          <t>PROFESSIONAL_REVIEW</t>
        </is>
      </c>
      <c r="C33" t="inlineStr">
        <is>
          <t>Renault introduces Google Gemini via OTA update</t>
        </is>
      </c>
      <c r="D33" t="inlineStr">
        <is>
          <t>electrive.com</t>
        </is>
      </c>
      <c r="E33" t="inlineStr">
        <is>
          <t>https://www.electrive.com/2026/07/03/renault-introduces-google-gemini-via-ota-update/</t>
        </is>
      </c>
      <c r="F33" t="inlineStr">
        <is>
          <t>2026-07-03</t>
        </is>
      </c>
      <c r="G33" t="inlineStr">
        <is>
          <t>2026-07-06</t>
        </is>
      </c>
      <c r="H33" t="inlineStr">
        <is>
          <t>Independent corroboration of a real, dated shipped OTA update: Google Gemini AI assistant rolled out free to all OpenR Link-equipped models starting mid-June 2026, no workshop visit required.</t>
        </is>
      </c>
    </row>
    <row r="34">
      <c r="A34" t="inlineStr">
        <is>
          <t>SRC_CAREXPERT_ELROQ_60SELECT</t>
        </is>
      </c>
      <c r="B34" t="inlineStr">
        <is>
          <t>PROFESSIONAL_REVIEW</t>
        </is>
      </c>
      <c r="C34" t="inlineStr">
        <is>
          <t>2026 Skoda Elroq 60 Select review (quick drive)</t>
        </is>
      </c>
      <c r="D34" t="inlineStr">
        <is>
          <t>CarExpert</t>
        </is>
      </c>
      <c r="E34" t="inlineStr">
        <is>
          <t>https://www.carexpert.com.au/car-reviews/2026-skoda-elroq-60-select-review-quick-drive</t>
        </is>
      </c>
      <c r="F34" t="inlineStr">
        <is>
          <t>2026</t>
        </is>
      </c>
      <c r="G34" t="inlineStr">
        <is>
          <t>2026-07-06</t>
        </is>
      </c>
      <c r="H34" t="inlineStr">
        <is>
          <t>Review of the '60 Select' trim, the closest export-market analog to the Norwegian Selection 60. Confirms Connected Services (incl. OTA updates) is not standard on this trim, praises Travel Assist/ACC quality, and confirms rear-view-only camera as standard with 360-degree Area View reserved for higher trims/packages. Not Norway-specific.</t>
        </is>
      </c>
    </row>
    <row r="35">
      <c r="A35" t="inlineStr">
        <is>
          <t>SRC_ELBIL_ELROQ_TEST</t>
        </is>
      </c>
      <c r="B35" t="inlineStr">
        <is>
          <t>PROFESSIONAL_REVIEW</t>
        </is>
      </c>
      <c r="C35" t="inlineStr">
        <is>
          <t>Test av Skoda Elroq</t>
        </is>
      </c>
      <c r="D35" t="inlineStr">
        <is>
          <t>Norsk elbilforening (elbil.no)</t>
        </is>
      </c>
      <c r="E35" t="inlineStr">
        <is>
          <t>https://elbil.no/</t>
        </is>
      </c>
      <c r="G35" t="inlineStr">
        <is>
          <t>2026-07-06</t>
        </is>
      </c>
      <c r="H35" t="inlineStr">
        <is>
          <t>Norwegian test of the Skoda Elroq 60. Brief general endorsement of driver-assist systems ('holder orden i sysakene hvis du blir overivrig') - no dedicated winter-specific ACC deep-dive.</t>
        </is>
      </c>
    </row>
    <row r="36">
      <c r="A36" t="inlineStr">
        <is>
          <t>SRC_WARDSAUTO_VOLVO_OTA</t>
        </is>
      </c>
      <c r="B36" t="inlineStr">
        <is>
          <t>PROFESSIONAL_REVIEW</t>
        </is>
      </c>
      <c r="C36" t="inlineStr">
        <is>
          <t>Volvo Delivers Biggest OTA Software Update in Company History</t>
        </is>
      </c>
      <c r="D36" t="inlineStr">
        <is>
          <t>WardsAuto</t>
        </is>
      </c>
      <c r="E36" t="inlineStr">
        <is>
          <t>https://www.wardsauto.com/news/volvo-biggest-ota-update-software-comapny-history-google-maps-android-automotive-os/813588/</t>
        </is>
      </c>
      <c r="G36" t="inlineStr">
        <is>
          <t>2026-07-06</t>
        </is>
      </c>
      <c r="H36" t="inlineStr">
        <is>
          <t>Reports Volvo pushed its largest-ever OTA update to ~2.5 million vehicles (EX30 included), reworking the UX, with Google Gemini-based conversational AI planned via a further OTA.</t>
        </is>
      </c>
    </row>
    <row r="37">
      <c r="A37" t="inlineStr">
        <is>
          <t>SRC_INSIDEEVS_VOLVO_EX30_BUGS</t>
        </is>
      </c>
      <c r="B37" t="inlineStr">
        <is>
          <t>PROFESSIONAL_REVIEW</t>
        </is>
      </c>
      <c r="C37" t="inlineStr">
        <is>
          <t>Volvo EX30 launch software issues</t>
        </is>
      </c>
      <c r="D37" t="inlineStr">
        <is>
          <t>InsideEVs</t>
        </is>
      </c>
      <c r="E37" t="inlineStr">
        <is>
          <t>https://insideevs.com/news/785621/volvo-ex60-launch-issues/</t>
        </is>
      </c>
      <c r="G37" t="inlineStr">
        <is>
          <t>2026-07-06</t>
        </is>
      </c>
      <c r="H37" t="inlineStr">
        <is>
          <t>Reports the EX30 launched with severe software bugs (black screens, keyless-entry failures, reported power loss), serious enough that UK customers exercised consumer-rights returns; Volvo spent roughly a year patching issues via OTA.</t>
        </is>
      </c>
    </row>
    <row r="38">
      <c r="A38" t="inlineStr">
        <is>
          <t>SRC_ELBIL_VOLVO_EX30_TRIM</t>
        </is>
      </c>
      <c r="B38" t="inlineStr">
        <is>
          <t>PROFESSIONAL_REVIEW</t>
        </is>
      </c>
      <c r="C38" t="inlineStr">
        <is>
          <t>Prøvekjøring av Volvo EX30</t>
        </is>
      </c>
      <c r="D38" t="inlineStr">
        <is>
          <t>Norsk elbilforening (elbil.no)</t>
        </is>
      </c>
      <c r="E38" t="inlineStr">
        <is>
          <t>https://elbil.no/provekjoring-av-volvo-ex30/</t>
        </is>
      </c>
      <c r="G38" t="inlineStr">
        <is>
          <t>2026-07-06</t>
        </is>
      </c>
      <c r="H38" t="inlineStr">
        <is>
          <t>Confirms 360-degree camera, automatic parking assist, panoramic roof, and powered seats/lumbar are Ultra-trim-exclusive, not included on Plus.</t>
        </is>
      </c>
    </row>
    <row r="39">
      <c r="A39" t="inlineStr">
        <is>
          <t>SRC_FRYDENBO_VOLVO_EX30_TRIMCOMPARE</t>
        </is>
      </c>
      <c r="B39" t="inlineStr">
        <is>
          <t>OTHER</t>
        </is>
      </c>
      <c r="C39" t="inlineStr">
        <is>
          <t>Volvo EX30 trim level comparison</t>
        </is>
      </c>
      <c r="D39" t="inlineStr">
        <is>
          <t>Frydenbø (Volvo dealer, Norway)</t>
        </is>
      </c>
      <c r="E39" t="inlineStr">
        <is>
          <t>https://www.frydenbo.no/</t>
        </is>
      </c>
      <c r="G39" t="inlineStr">
        <is>
          <t>2026-07-06</t>
        </is>
      </c>
      <c r="H39" t="inlineStr">
        <is>
          <t>Independently corroborates that at the Twin Performance AWD powertrain, Plus trim (468,900 NOK) excludes the 360-degree camera/Park Pilot, which is only added at Ultra trim (~505,900 NOK) for the same powertrain.</t>
        </is>
      </c>
    </row>
    <row r="40">
      <c r="A40" t="inlineStr">
        <is>
          <t>SRC_KIA_UPDATE_FEB2026</t>
        </is>
      </c>
      <c r="B40" t="inlineStr">
        <is>
          <t>MANUFACTURER</t>
        </is>
      </c>
      <c r="C40" t="inlineStr">
        <is>
          <t>Infotainment system update notice, February 2026</t>
        </is>
      </c>
      <c r="D40" t="inlineStr">
        <is>
          <t>Kia (update.kia.com)</t>
        </is>
      </c>
      <c r="E40" t="inlineStr">
        <is>
          <t>https://update.kia.com/EU/EN/updateNoticeView/Y2YGqZ</t>
        </is>
      </c>
      <c r="F40" t="inlineStr">
        <is>
          <t>2026-02-09</t>
        </is>
      </c>
      <c r="G40" t="inlineStr">
        <is>
          <t>2026-07-06</t>
        </is>
      </c>
      <c r="H40" t="inlineStr">
        <is>
          <t>Official Kia OTA update notice. Applicable models explicitly listed: Carnival (25MY), EV3 (MY25), EV6 PE (MY25), EV6 GT (New Facelift MY25+), EV9 (MY24-MY25), Sorento variants (MY25). EV2, EV4, EV5 are NOT listed as recipients of this update.</t>
        </is>
      </c>
    </row>
    <row r="41">
      <c r="A41" t="inlineStr">
        <is>
          <t>SRC_KIA_PRESS_EV3_OTA_MAR2025</t>
        </is>
      </c>
      <c r="B41" t="inlineStr">
        <is>
          <t>MANUFACTURER</t>
        </is>
      </c>
      <c r="C41" t="inlineStr">
        <is>
          <t>Kia EV3 OTA update RU 24.2</t>
        </is>
      </c>
      <c r="D41" t="inlineStr">
        <is>
          <t>Kia (press release, via trade press)</t>
        </is>
      </c>
      <c r="E41" t="inlineStr">
        <is>
          <t>https://www.kiapressoffice.com/releases/1813</t>
        </is>
      </c>
      <c r="F41" t="inlineStr">
        <is>
          <t>2025-03</t>
        </is>
      </c>
      <c r="G41" t="inlineStr">
        <is>
          <t>2026-07-06</t>
        </is>
      </c>
      <c r="H41" t="inlineStr">
        <is>
          <t>Press release describing a substantive, feature-adding OTA update to the EV3 (AI voice assistant, YouTube streaming, Wi-Fi hotspot - 18 changes total), demonstrating the shared ccNC platform's OTA capability goes beyond bug fixes.</t>
        </is>
      </c>
    </row>
    <row r="42">
      <c r="A42" t="inlineStr">
        <is>
          <t>SRC_ELBIL_KIA_EV2_TEST</t>
        </is>
      </c>
      <c r="B42" t="inlineStr">
        <is>
          <t>PROFESSIONAL_REVIEW</t>
        </is>
      </c>
      <c r="C42" t="inlineStr">
        <is>
          <t>Test av Kia EV2</t>
        </is>
      </c>
      <c r="D42" t="inlineStr">
        <is>
          <t>Norsk elbilforening (elbil.no)</t>
        </is>
      </c>
      <c r="E42" t="inlineStr">
        <is>
          <t>https://elbil.no/</t>
        </is>
      </c>
      <c r="G42" t="inlineStr">
        <is>
          <t>2026-07-06</t>
        </is>
      </c>
      <c r="H42" t="inlineStr">
        <is>
          <t>Confirms OTA ('Trådløs programvareoppdateringer') is available on the EV2, without further track-record commentary. Also references a Surround View Monitor ambiguously ('også tilgjengelig') without clearly stating standard vs optional status.</t>
        </is>
      </c>
    </row>
    <row r="43">
      <c r="A43" t="inlineStr">
        <is>
          <t>SRC_EURONCAP_EV3_2025</t>
        </is>
      </c>
      <c r="B43" t="inlineStr">
        <is>
          <t>CERTIFICATION</t>
        </is>
      </c>
      <c r="C43" t="inlineStr">
        <is>
          <t>Kia EV3 - Assisted Driving assessment</t>
        </is>
      </c>
      <c r="D43" t="inlineStr">
        <is>
          <t>Euro NCAP</t>
        </is>
      </c>
      <c r="E43" t="inlineStr">
        <is>
          <t>https://www.euroncap.com/assessments/kia/ev3/a026/</t>
        </is>
      </c>
      <c r="F43" t="inlineStr">
        <is>
          <t>2025</t>
        </is>
      </c>
      <c r="G43" t="inlineStr">
        <is>
          <t>2026-07-06</t>
        </is>
      </c>
      <c r="H43" t="inlineStr">
        <is>
          <t>Official Euro NCAP assisted-driving assessment of the EV3 (closest platform/software sibling to EV2), rated 'Very Good' overall. Steering Assistance 'Excellent' (35/35): maintains lane position effectively at 80/100/120 km/h. Adaptive Cruise Control 'Adequate' (25.3/40): scores lower on undertake prevention and cut-in situations.</t>
        </is>
      </c>
    </row>
    <row r="44">
      <c r="A44" t="inlineStr">
        <is>
          <t>SRC_FDM_KIA_EV2_TEST</t>
        </is>
      </c>
      <c r="B44" t="inlineStr">
        <is>
          <t>PROFESSIONAL_REVIEW</t>
        </is>
      </c>
      <c r="C44" t="inlineStr">
        <is>
          <t>Kia EV2 test</t>
        </is>
      </c>
      <c r="D44" t="inlineStr">
        <is>
          <t>FDM (Danish motoring association)</t>
        </is>
      </c>
      <c r="E44" t="inlineStr">
        <is>
          <t>https://fdm.dk/</t>
        </is>
      </c>
      <c r="G44" t="inlineStr">
        <is>
          <t>2026-07-06</t>
        </is>
      </c>
      <c r="H44" t="inlineStr">
        <is>
          <t>EV2-specific Danish test. Direct quote: 'bilen kan selv foretage vognbaneskift på motorvejen, og begge dele fungerer rigtig godt' (the car can change lanes itself on the motorway, and both functions work very well).</t>
        </is>
      </c>
    </row>
    <row r="45">
      <c r="A45" t="inlineStr">
        <is>
          <t>SRC_BILMAGASINET_KIA_EV2</t>
        </is>
      </c>
      <c r="B45" t="inlineStr">
        <is>
          <t>PROFESSIONAL_REVIEW</t>
        </is>
      </c>
      <c r="C45" t="inlineStr">
        <is>
          <t>Kia EV2 test</t>
        </is>
      </c>
      <c r="D45" t="inlineStr">
        <is>
          <t>bilmagasinet.dk</t>
        </is>
      </c>
      <c r="E45" t="inlineStr">
        <is>
          <t>https://bilmagasinet.dk/</t>
        </is>
      </c>
      <c r="G45" t="inlineStr">
        <is>
          <t>2026-07-06</t>
        </is>
      </c>
      <c r="H45" t="inlineStr">
        <is>
          <t>EV2-specific Danish test. Notes the adaptive cruise/lane-assist system 'holder usædvanligt hårdt i rattet' (holds unusually firmly on the wheel), requiring deliberate steering input to override - an over-intervention complaint, not a performance failure.</t>
        </is>
      </c>
    </row>
    <row r="46">
      <c r="A46" t="inlineStr">
        <is>
          <t>SRC_TESLA_NO_WARRANTY</t>
        </is>
      </c>
      <c r="B46" t="inlineStr">
        <is>
          <t>MANUFACTURER</t>
        </is>
      </c>
      <c r="C46" t="inlineStr">
        <is>
          <t>Bilgaranti | Tesla-støtte Norge</t>
        </is>
      </c>
      <c r="D46" t="inlineStr">
        <is>
          <t>Tesla</t>
        </is>
      </c>
      <c r="E46" t="inlineStr">
        <is>
          <t>https://www.tesla.com/no_no/support/vehicle-warranty</t>
        </is>
      </c>
      <c r="G46" t="inlineStr">
        <is>
          <t>2026-07-07</t>
        </is>
      </c>
      <c r="H46" t="inlineStr">
        <is>
          <t>Official Tesla Norway warranty page. Direct fetch returned HTTP 403; terms corroborated via search-result synthesis (4 års/80 000 km generell nybilgaranti, 8 års batterigaranti med garantert minst 70 % kapasitet, 12 års rustgjennomtæringsgaranti uten kilometergrense). Bør verifiseres direkte ved behov for presisjon.</t>
        </is>
      </c>
    </row>
    <row r="47">
      <c r="A47" t="inlineStr">
        <is>
          <t>SRC_TESLA_MODEL3_NO_SALES_HISTORY</t>
        </is>
      </c>
      <c r="B47" t="inlineStr">
        <is>
          <t>PROFESSIONAL_REVIEW</t>
        </is>
      </c>
      <c r="C47" t="inlineStr">
        <is>
          <t>Rekordår i salg av nye biler: Tesla er Norges mest solgte bil</t>
        </is>
      </c>
      <c r="D47" t="inlineStr">
        <is>
          <t>NRK / ITavisen (basert på OFV-tall)</t>
        </is>
      </c>
      <c r="E47" t="inlineStr">
        <is>
          <t>https://www.nrk.no/norge/rekordar-i-salg-av-nye-biler_-tesla-er-norges-mest-solgte-bil-1.15793772</t>
        </is>
      </c>
      <c r="G47" t="inlineStr">
        <is>
          <t>2026-07-07</t>
        </is>
      </c>
      <c r="H47" t="inlineStr">
        <is>
          <t>Nyhetsdekning av offisiell registreringsstatistikk fra OFV (Opplysningsrådet for Veitrafikken). Model 3 var Norges mest solgte bilmodell i 2020 og 2021 (over 12 000 solgte i 2021 alene), og over 60 000 eksemplarer er i dag registrert i Norge; OFV-tall for november 2025 viser 2 562 nyregistrerte Model 3 i den ene måneden alene.</t>
        </is>
      </c>
    </row>
    <row r="48">
      <c r="A48" t="inlineStr">
        <is>
          <t>SRC_RENAULT_EV_WARRANTY_2025</t>
        </is>
      </c>
      <c r="B48" t="inlineStr">
        <is>
          <t>MANUFACTURER</t>
        </is>
      </c>
      <c r="C48" t="inlineStr">
        <is>
          <t>Renault garanti – hvor længe og hvad er dækket?</t>
        </is>
      </c>
      <c r="D48" t="inlineStr">
        <is>
          <t>Renault (Danmark, renault.dk)</t>
        </is>
      </c>
      <c r="E48" t="inlineStr">
        <is>
          <t>https://www.renault.dk/kob/garanti</t>
        </is>
      </c>
      <c r="G48" t="inlineStr">
        <is>
          <t>2026-07-07</t>
        </is>
      </c>
      <c r="H48" t="inlineStr">
        <is>
          <t>Dansk Renault-garantiside. Beskriver en paneuropeisk garantiendring fra mai 2025: 5 år/150 000 km generell garanti på alle nye elektriske Renault-modeller, samt 8 år/160 000 km batterigaranti (minst 70 % SOH garantert). Ikke uavhengig bekreftet på en norsk Renault-side; behandlet som MEDIUM-konfidens for det norske markedet.</t>
        </is>
      </c>
    </row>
    <row r="49">
      <c r="A49" t="inlineStr">
        <is>
          <t>SRC_RENAULT_4_NO_LAUNCH</t>
        </is>
      </c>
      <c r="B49" t="inlineStr">
        <is>
          <t>MANUFACTURER</t>
        </is>
      </c>
      <c r="C49" t="inlineStr">
        <is>
          <t>Renault 4 E-Tech electric</t>
        </is>
      </c>
      <c r="D49" t="inlineStr">
        <is>
          <t>Renault Norge</t>
        </is>
      </c>
      <c r="E49" t="inlineStr">
        <is>
          <t>https://www.renault.no/personbil/renault-4-e-tech-electric</t>
        </is>
      </c>
      <c r="G49" t="inlineStr">
        <is>
          <t>2026-07-07</t>
        </is>
      </c>
      <c r="H49" t="inlineStr">
        <is>
          <t>Offisiell Renault Norge-produktside bekrefter at 4 E-Tech Electric kommer tilbake for 2025 som en helelektrisk modell ("tilbake i 2025, 100 % elektrisk"); eksakt norsk lanseringsdato er ikke oppgitt på selve siden. Samlet søkeresultat (ikke uavhengig reverifisert) plasserer markedstilgjengelighet til høsten 2025.</t>
        </is>
      </c>
    </row>
    <row r="50">
      <c r="A50" t="inlineStr">
        <is>
          <t>SRC_SKODA_NO_WARRANTY</t>
        </is>
      </c>
      <c r="B50" t="inlineStr">
        <is>
          <t>MANUFACTURER</t>
        </is>
      </c>
      <c r="C50" t="inlineStr">
        <is>
          <t>Garanti | Gode garantiordninger</t>
        </is>
      </c>
      <c r="D50" t="inlineStr">
        <is>
          <t>Skoda Norge (Harald A. Møller AS)</t>
        </is>
      </c>
      <c r="E50" t="inlineStr">
        <is>
          <t>https://www.skoda-auto.no/eie/garantier</t>
        </is>
      </c>
      <c r="G50" t="inlineStr">
        <is>
          <t>2026-07-07</t>
        </is>
      </c>
      <c r="H50" t="inlineStr">
        <is>
          <t>Offisiell Skoda Norge-garantiside, hentet direkte. "5 års Norgesgaranti": 5 år/100 000 km generell garanti (biler førstegangsregistrert etter 2011-01-01, importert av Harald A. Møller AS). Alle nye ladbare hybrider og elbiler: 8 år/160 000 km batteripakkegaranti.</t>
        </is>
      </c>
    </row>
    <row r="51">
      <c r="A51" t="inlineStr">
        <is>
          <t>SRC_SKODA_ELROQ_WIKIPEDIA_PLATFORM</t>
        </is>
      </c>
      <c r="B51" t="inlineStr">
        <is>
          <t>COMMUNITY</t>
        </is>
      </c>
      <c r="C51" t="inlineStr">
        <is>
          <t>Škoda Elroq</t>
        </is>
      </c>
      <c r="D51" t="inlineStr">
        <is>
          <t>Wikipedia</t>
        </is>
      </c>
      <c r="E51" t="inlineStr">
        <is>
          <t>https://en.wikipedia.org/wiki/%C5%A0koda_Elroq</t>
        </is>
      </c>
      <c r="G51" t="inlineStr">
        <is>
          <t>2026-07-07</t>
        </is>
      </c>
      <c r="H51" t="inlineStr">
        <is>
          <t>Bekrefter at Elroq gikk i produksjon januar 2025 med de første kundeleveransene tidlig i 2025, etter å ha blitt vist frem på Paris Motor Show oktober 2024. Er den andre Skoda-modellen på Volkswagen-konsernets MEB-plattform, som deles med Enyaq, ID.3, ID.4/ID.5 og Audi Q4 e-tron.</t>
        </is>
      </c>
    </row>
    <row r="52">
      <c r="A52" t="inlineStr">
        <is>
          <t>SRC_VOLVO_NO_BATTERY_WARRANTY</t>
        </is>
      </c>
      <c r="B52" t="inlineStr">
        <is>
          <t>MANUFACTURER</t>
        </is>
      </c>
      <c r="C52" t="inlineStr">
        <is>
          <t>Opptil 8 års garanti på høyvoltbatteriet</t>
        </is>
      </c>
      <c r="D52" t="inlineStr">
        <is>
          <t>Volvo Cars Norge</t>
        </is>
      </c>
      <c r="E52" t="inlineStr">
        <is>
          <t>https://www.volvocars.com/no/l/own/garanti-hybridbatteri/</t>
        </is>
      </c>
      <c r="G52" t="inlineStr">
        <is>
          <t>2026-07-07</t>
        </is>
      </c>
      <c r="H52" t="inlineStr">
        <is>
          <t>Offisiell Volvo Norge-garantiside. Direkte henting ga HTTP 403; vilkårene er bekreftet via søkeresultat-syntese (5 år/100 000 km generell garanti, opptil 8 år/160 000 km batterigaranti med garantert minst 70 % kapasitet). Bør verifiseres direkte ved behov for presisjon.</t>
        </is>
      </c>
    </row>
    <row r="53">
      <c r="A53" t="inlineStr">
        <is>
          <t>SRC_KIA_NO_7YR_WARRANTY</t>
        </is>
      </c>
      <c r="B53" t="inlineStr">
        <is>
          <t>MANUFACTURER</t>
        </is>
      </c>
      <c r="C53" t="inlineStr">
        <is>
          <t>Kia 7-års garanti</t>
        </is>
      </c>
      <c r="D53" t="inlineStr">
        <is>
          <t>Kia Bil Norge</t>
        </is>
      </c>
      <c r="E53" t="inlineStr">
        <is>
          <t>https://www.kia.com/no/service-og-vedlikehold/verdier-og-fordeler/7-ars-garanti/7-ars-garanti/</t>
        </is>
      </c>
      <c r="G53" t="inlineStr">
        <is>
          <t>2026-07-07</t>
        </is>
      </c>
      <c r="H53" t="inlineStr">
        <is>
          <t>Offisiell Kia Norge-garantiside, hentet direkte. 7 år/150 000 km generell garanti og batterigaranti for elbiler (kapasitetsgrense 65 % for biler registrert etter oktober 2019), utvidet til 8 år/160 000 km fra modellår 2026. Garantien overføres til neste eier.</t>
        </is>
      </c>
    </row>
    <row r="54">
      <c r="A54" t="inlineStr">
        <is>
          <t>SRC_KIA_EV2_NTB_PRODUCTION</t>
        </is>
      </c>
      <c r="B54" t="inlineStr">
        <is>
          <t>MANUFACTURER</t>
        </is>
      </c>
      <c r="C54" t="inlineStr">
        <is>
          <t>Slik blir EV2 Long Range – produksjonen har startet</t>
        </is>
      </c>
      <c r="D54" t="inlineStr">
        <is>
          <t>Kia (via NTB kommunikasjon)</t>
        </is>
      </c>
      <c r="E54" t="inlineStr">
        <is>
          <t>https://kommunikasjon.ntb.no/pressemelding/18967754/slik-blir-ev2-long-range-produksjonen-har-startet</t>
        </is>
      </c>
      <c r="G54" t="inlineStr">
        <is>
          <t>2026-07-07</t>
        </is>
      </c>
      <c r="H54" t="inlineStr">
        <is>
          <t>Offisiell Kia-pressemelding distribuert via NTB. Bekrefter produksjonsstart for alle EV2-batterialternativer 2026-06-25, og en oppfølgende pressemelding bekrefter at salget av EV2 formelt startet 2026-07-02 - få dager før denne vurderingen. GT Line tilbys blant de første variantene i salg.</t>
        </is>
      </c>
    </row>
    <row r="55">
      <c r="A55" t="inlineStr">
        <is>
          <t>SRC_NAF_TESLA_MODEL3_VINTERTEST</t>
        </is>
      </c>
      <c r="B55" t="inlineStr">
        <is>
          <t>PROFESSIONAL_REVIEW</t>
        </is>
      </c>
      <c r="C55" t="inlineStr">
        <is>
          <t>Verdens største vintertest: Tesla Model 3 gikk lengst</t>
        </is>
      </c>
      <c r="D55" t="inlineStr">
        <is>
          <t>bil24.no (dekning av NAF/Motor sin El Prix-vintertest)</t>
        </is>
      </c>
      <c r="E55" t="inlineStr">
        <is>
          <t>https://bil24.no/verdens-storste-vintertest-tesla-model-3-gikk-lengst/</t>
        </is>
      </c>
      <c r="G55" t="inlineStr">
        <is>
          <t>2026-07-07</t>
        </is>
      </c>
      <c r="H55" t="inlineStr">
        <is>
          <t>Dekker NAF/Motor sin årlige El Prix-vintertest, der Tesla Model 3 har deltatt hvert år siden 2020 med jevnt sterke resultater (WLTP-oppgitt rekkevidde økt fra 560 til 614 km over generasjoner; faktisk kjørt distanse har variert mellom ca. 521 og 548 km i ulike vintertester, gjennomgående blant de beste i klassen).</t>
        </is>
      </c>
    </row>
    <row r="56">
      <c r="A56" t="inlineStr">
        <is>
          <t>SRC_RENAULT_ZOE_HEATPUMP_COLD_ISSUES</t>
        </is>
      </c>
      <c r="B56" t="inlineStr">
        <is>
          <t>OTHER</t>
        </is>
      </c>
      <c r="C56" t="inlineStr">
        <is>
          <t>Renault Zoe lader ikke og andre problemer og feil</t>
        </is>
      </c>
      <c r="D56" t="inlineStr">
        <is>
          <t>Bildelerekspert</t>
        </is>
      </c>
      <c r="E56" t="inlineStr">
        <is>
          <t>https://www.bildelerekspert.co.no/blogg/renault-zoe-lader-ikke-og-andre-problemer-og-feil-2559</t>
        </is>
      </c>
      <c r="G56" t="inlineStr">
        <is>
          <t>2026-07-07</t>
        </is>
      </c>
      <c r="H56" t="inlineStr">
        <is>
          <t>Dokumenterer tilbakevendende svikt i varmepumpe/varmeelement på Renault Zoe (Renaults forrige generasjons elbil) etter 20 000-30 000 km, som kan redusere rekkevidden i kulde med opptil 40 %. Nyere generasjoner (R110/R135) med aktiv batteritemperaturstyring håndterer dette 'vesentlig bedre' enn de tidligste modellene. Gjelder en annen, eldre Renault-elbilplattform enn den helt nye Renault 4 (AmpR Small), men representerer Renaults dokumenterte merkehistorikk i nordisk kulde over tid.</t>
        </is>
      </c>
    </row>
    <row r="57">
      <c r="A57" t="inlineStr">
        <is>
          <t>SRC_NAF_MEB_WINTER_ID4_ENYAQ</t>
        </is>
      </c>
      <c r="B57" t="inlineStr">
        <is>
          <t>PROFESSIONAL_REVIEW</t>
        </is>
      </c>
      <c r="C57" t="inlineStr">
        <is>
          <t>NAF Vintertest av rekkevidde på elbil 2022</t>
        </is>
      </c>
      <c r="D57" t="inlineStr">
        <is>
          <t>NAF (Norges Automobil-Forbund)</t>
        </is>
      </c>
      <c r="E57" t="inlineStr">
        <is>
          <t>https://www.naf.no/elbil/bruke-elbil/test-rekkevidde-vinter-2022</t>
        </is>
      </c>
      <c r="G57" t="inlineStr">
        <is>
          <t>2026-07-07</t>
        </is>
      </c>
      <c r="H57" t="inlineStr">
        <is>
          <t>NAF/Motor sin vintertest fra januar 2022 inkluderte VW ID.4 og Skoda Enyaq (samme MEB-plattform som Elroq), samt Tesla Model 3/Model Y og Kia EV6. Konklusjonen for ID.4 var 'rekkevidden holder seg godt i kulde, selv om varmepumpen sliter litt på de kaldeste dagene' - blant flere modeller som kun tapte 11-15 % av WLTP-rekkevidden. Representerer flere års gjentatt, konsistent MEB-plattformytelse i norsk vinterklima, selv om Elroq Selection 60 ikke selv var inkludert i denne konkrete testen.</t>
        </is>
      </c>
    </row>
    <row r="58">
      <c r="A58" t="inlineStr">
        <is>
          <t>SRC_ELBIL24_KIA_EV6_ENIRO_WINTER</t>
        </is>
      </c>
      <c r="B58" t="inlineStr">
        <is>
          <t>PROFESSIONAL_REVIEW</t>
        </is>
      </c>
      <c r="C58" t="inlineStr">
        <is>
          <t>Vintertest: Kia EV6 i norsk sprengkulde</t>
        </is>
      </c>
      <c r="D58" t="inlineStr">
        <is>
          <t>elbil24.no</t>
        </is>
      </c>
      <c r="E58" t="inlineStr">
        <is>
          <t>https://www.elbil24.no/tester/vintertest-kia-ev6-i-norsk-sprengkulde/74846150</t>
        </is>
      </c>
      <c r="G58" t="inlineStr">
        <is>
          <t>2026-07-07</t>
        </is>
      </c>
      <c r="H58" t="inlineStr">
        <is>
          <t>NAF/Motor-vintertester av Kia e-Niro og EV6 viser sterk varmepumpeassistert kuldeytelse ('uvanlig behagelig i kulden'; e-Niro tapte kun rundt 10 % rekkevidde). EV6 gikk fra 481 til 341 km ved rundt -10°C, men rangerte likevel høyt, med varm kupé og upåvirket infotainmentskjerm selv i sterk kulde.</t>
        </is>
      </c>
    </row>
    <row r="59">
      <c r="A59" t="inlineStr">
        <is>
          <t>SRC_INSIDEEVS_KIA_EV2_WINTER_PROTOTYPE</t>
        </is>
      </c>
      <c r="B59" t="inlineStr">
        <is>
          <t>PROFESSIONAL_REVIEW</t>
        </is>
      </c>
      <c r="C59" t="inlineStr">
        <is>
          <t>Freezing Temps Crush Range. But Kia's Newest EV Dominated This Test</t>
        </is>
      </c>
      <c r="D59" t="inlineStr">
        <is>
          <t>InsideEVs</t>
        </is>
      </c>
      <c r="E59" t="inlineStr">
        <is>
          <t>https://insideevs.com/news/786909/ev2-prototype-winter-range-tests/</t>
        </is>
      </c>
      <c r="G59" t="inlineStr">
        <is>
          <t>2026-07-07</t>
        </is>
      </c>
      <c r="H59" t="inlineStr">
        <is>
          <t>En Kia EV2-prototyp (61 kWh Long Range) deltok i NAFs El Prix-vintertest i Norge, februar 2026, i temperaturer mellom -8°C og -31°C: kjørte 310,6 km, kun 24,8 % under WLTP-oppgitt rekkevidde - blant de beste i testfeltet. Hurtiglading 8 %→80 % på under 37 minutter (97 kW effekttopp, 74 kW snitt) selv i ekstrem kulde. Gjelder en produksjonsnær prototyp, ikke en levert kundebil.</t>
        </is>
      </c>
    </row>
    <row r="60">
      <c r="A60" t="inlineStr">
        <is>
          <t>SRC_GREENCARREPORTS_MODEL3_HIGHLAND</t>
        </is>
      </c>
      <c r="B60" t="inlineStr">
        <is>
          <t>PROFESSIONAL_REVIEW</t>
        </is>
      </c>
      <c r="C60" t="inlineStr">
        <is>
          <t>Review: 2024 Tesla Model 3 Highland renews formative EV for greatness</t>
        </is>
      </c>
      <c r="D60" t="inlineStr">
        <is>
          <t>Green Car Reports</t>
        </is>
      </c>
      <c r="E60" t="inlineStr">
        <is>
          <t>https://www.greencarreports.com/news/1144345_2024-tesla-model-3-highland-ev-test-drive-review</t>
        </is>
      </c>
      <c r="G60" t="inlineStr">
        <is>
          <t>2026-07-07</t>
        </is>
      </c>
      <c r="H60" t="inlineStr">
        <is>
          <t>Bekrefter at Highland-oppdateringen (2024+) erstattet imitasjonstre-dashbordet med mykere plast/gummi, strukturerte flater, veganskinn og aluminium på midtkonsollen. Konkluderer at 'materialene er bedre, og tilpasning/finish er umiskjennelig forbedret' sammenlignet med tidligere generasjoner, samt at kupéen er merkbart roligere (opptil 20 % mindre kupéstøy).</t>
        </is>
      </c>
    </row>
    <row r="61">
      <c r="A61" t="inlineStr">
        <is>
          <t>SRC_RECHARGED_MODEL3_RELIABILITY_2026</t>
        </is>
      </c>
      <c r="B61" t="inlineStr">
        <is>
          <t>PROFESSIONAL_REVIEW</t>
        </is>
      </c>
      <c r="C61" t="inlineStr">
        <is>
          <t>2026 Tesla Model 3 Reliability Rating: Early Outlook</t>
        </is>
      </c>
      <c r="D61" t="inlineStr">
        <is>
          <t>Recharged</t>
        </is>
      </c>
      <c r="E61" t="inlineStr">
        <is>
          <t>https://recharged.com/articles/2026-tesla-model-3-reliability-rating</t>
        </is>
      </c>
      <c r="G61" t="inlineStr">
        <is>
          <t>2026-07-07</t>
        </is>
      </c>
      <c r="H61" t="inlineStr">
        <is>
          <t>Beskriver Tesla Model 3 sin byggekvalitet som uforutsigbar fra bil til bil ('mange eiere rapporterer knirkefrie biler, andre en lang feilliste ved levering'). Knirk fra løse ledningsbunter, panelgap, sprekker fra bakre understell og vindstøy fra dører/glass er vanlige klager. Viser til at Consumer Reports vurderer 2025-modellens generelle pålitelighet under gjennomsnittet, med svakheter i karosseri-maskinvare (vinduer, dører, låser).</t>
        </is>
      </c>
    </row>
    <row r="62">
      <c r="A62" t="inlineStr">
        <is>
          <t>SRC_EDMUNDS_MODEL3_TURNSIGNAL_LONGTERM</t>
        </is>
      </c>
      <c r="B62" t="inlineStr">
        <is>
          <t>PROFESSIONAL_REVIEW</t>
        </is>
      </c>
      <c r="C62" t="inlineStr">
        <is>
          <t>Our Tesla Model 3's Turn Signals Aren't Just Dumb, They're Borderline Unsafe</t>
        </is>
      </c>
      <c r="D62" t="inlineStr">
        <is>
          <t>Edmunds</t>
        </is>
      </c>
      <c r="E62" t="inlineStr">
        <is>
          <t>https://www.edmunds.com/car-news/2024-tesla-model-3-turn-signals-long-term-update.html</t>
        </is>
      </c>
      <c r="G62" t="inlineStr">
        <is>
          <t>2026-07-07</t>
        </is>
      </c>
      <c r="H62" t="inlineStr">
        <is>
          <t>Edmunds sin langtidstest av en 2024 Model 3 (Highland) konkluderer at de knappbaserte blinklysene er reelt utrygge, ikke bare uvante: 'Det er små knapper med små aktiveringsflater og ingen reell taktil forskjell mellom dem eller panelet de sitter på.' Hele testteamet var samstemte i at de mislikte løsningen etter flere måneders eierskap.</t>
        </is>
      </c>
    </row>
    <row r="63">
      <c r="A63" t="inlineStr">
        <is>
          <t>SRC_NOTATESLAAPP_STALK_EU_RETROFIT</t>
        </is>
      </c>
      <c r="B63" t="inlineStr">
        <is>
          <t>PROFESSIONAL_REVIEW</t>
        </is>
      </c>
      <c r="C63" t="inlineStr">
        <is>
          <t>Tesla Launches Model 3 Turn Signal Stalk Retrofit in Europe</t>
        </is>
      </c>
      <c r="D63" t="inlineStr">
        <is>
          <t>Not a Tesla App</t>
        </is>
      </c>
      <c r="E63" t="inlineStr">
        <is>
          <t>https://www.notateslaapp.com/news/3204/tesla-launches-model-3-turn-signal-stalk-retrofit-in-europe-for-eur660</t>
        </is>
      </c>
      <c r="G63" t="inlineStr">
        <is>
          <t>2026-07-07</t>
        </is>
      </c>
      <c r="H63" t="inlineStr">
        <is>
          <t>Bekrefter at europeiske Model 3-biler (inkludert Highland-generasjonen levert i Norge) opprinnelig hadde samme knappbaserte blinklysløsning uten fysisk spak som i USA, og at en betalt ettermonteringsløsning (660 euro) først ble tilgjengelig i Europa fra rundt oktober 2025 - ikke standard inkludert i leveransen.</t>
        </is>
      </c>
    </row>
    <row r="64">
      <c r="A64" t="inlineStr">
        <is>
          <t>SRC_EDMUNDS_KIA_RIO_REVIEW</t>
        </is>
      </c>
      <c r="B64" t="inlineStr">
        <is>
          <t>PROFESSIONAL_REVIEW</t>
        </is>
      </c>
      <c r="C64" t="inlineStr">
        <is>
          <t>Kia Rio Review &amp; Ratings</t>
        </is>
      </c>
      <c r="D64" t="inlineStr">
        <is>
          <t>Edmunds</t>
        </is>
      </c>
      <c r="E64" t="inlineStr">
        <is>
          <t>https://www.edmunds.com/kia/rio/2022/</t>
        </is>
      </c>
      <c r="G64" t="inlineStr">
        <is>
          <t>2026-07-07</t>
        </is>
      </c>
      <c r="H64" t="inlineStr">
        <is>
          <t>Brukt som generisk referansepunkt for kriteriet W012 (Ergonomi/førermiljø), som eksplisitt ber om en vurdering mot Kia Rio. Edmunds beskriver Rio sin ergonomi som utmerket ('kontrollene er godt plassert, intuitive, med gammeldagse knapper og brytere'), men interiøret som spartansk med hard plast i flere flater ('plasten er noe hard og billig enkelte steder'). Brukes gjennomgående som lavterskel-referanse for 'et tydelig steg opp,' ikke som en direkte modellsammenligning.</t>
        </is>
      </c>
    </row>
    <row r="65">
      <c r="A65" t="inlineStr">
        <is>
          <t>SRC_ELECTRIFYING_R4_REVIEW</t>
        </is>
      </c>
      <c r="B65" t="inlineStr">
        <is>
          <t>PROFESSIONAL_REVIEW</t>
        </is>
      </c>
      <c r="C65" t="inlineStr">
        <is>
          <t>Renault 4 E-Tech Review &amp; Buying Guide 2026</t>
        </is>
      </c>
      <c r="D65" t="inlineStr">
        <is>
          <t>Electrifying.com</t>
        </is>
      </c>
      <c r="E65" t="inlineStr">
        <is>
          <t>https://www.electrifying.com/reviews/renault-4/review</t>
        </is>
      </c>
      <c r="G65" t="inlineStr">
        <is>
          <t>2026-07-07</t>
        </is>
      </c>
      <c r="H65" t="inlineStr">
        <is>
          <t>Beskriver interiøret som overraskende godt for prisklassen: harde plastdetaljer finnes, men er 'godt gjemt', og kvaliteten er 'svært god.' Stoffinnslag (inkludert quiltet tekstil med gul stikking på høyere nivåer) løfter det opplevde inntrykket - 'kun vesentlig dyrere konkurrenter oppleves mer luksuriøse innvendig.'</t>
        </is>
      </c>
    </row>
    <row r="66">
      <c r="A66" t="inlineStr">
        <is>
          <t>SRC_GONDURA_R4_RELIABILITY</t>
        </is>
      </c>
      <c r="B66" t="inlineStr">
        <is>
          <t>OTHER</t>
        </is>
      </c>
      <c r="C66" t="inlineStr">
        <is>
          <t>Renault 4 E-Tech I — Specs, Reliability &amp; Maintenance Guide</t>
        </is>
      </c>
      <c r="D66" t="inlineStr">
        <is>
          <t>Gondura</t>
        </is>
      </c>
      <c r="E66" t="inlineStr">
        <is>
          <t>https://cars.gondura.com/renault-4-e-tech-i/en</t>
        </is>
      </c>
      <c r="G66" t="inlineStr">
        <is>
          <t>2026-07-07</t>
        </is>
      </c>
      <c r="H66" t="inlineStr">
        <is>
          <t>Dokumenterer tidlige feilrapporter: knirk fra dashbordpaneler innen 10 000 km, fløyte-/summelyd fra klimaanleggets viftemotor rundt 5 000 km, mulig svikt i den motoriserte ladeportluken (~300 euro å reparere), og for tidlig utladning av 12V-hjelpebatteriet på enkelte tidlige 2024-eksemplarer (~150 euro). Bilen er for ny til at omfattende langtidsdata finnes.</t>
        </is>
      </c>
    </row>
    <row r="67">
      <c r="A67" t="inlineStr">
        <is>
          <t>SRC_WHATCAR_ELROQ_LONGTERM</t>
        </is>
      </c>
      <c r="B67" t="inlineStr">
        <is>
          <t>PROFESSIONAL_REVIEW</t>
        </is>
      </c>
      <c r="C67" t="inlineStr">
        <is>
          <t>Skoda Elroq long-term test</t>
        </is>
      </c>
      <c r="D67" t="inlineStr">
        <is>
          <t>What Car?</t>
        </is>
      </c>
      <c r="E67" t="inlineStr">
        <is>
          <t>https://www.whatcar.com/news/skoda-elroq-long-term-test/n27924</t>
        </is>
      </c>
      <c r="G67" t="inlineStr">
        <is>
          <t>2026-07-07</t>
        </is>
      </c>
      <c r="H67" t="inlineStr">
        <is>
          <t>Langtidstestere rapporterer ingen knirk eller rangling etter over 4000 miles ('ikke et snev av skrapete plast eller irriterende knirk'), med fôrede dørlommer som forhindrer rangling. Ett testeksemplar hadde et elektrisk problem med vindusbryterne; søskenmodellen Enyaq har en rapportert 29 % andel mindre elektriske feil blant rapporterte feil.</t>
        </is>
      </c>
    </row>
    <row r="68">
      <c r="A68" t="inlineStr">
        <is>
          <t>SRC_AUTOCAR_ELROQ_REVIEW</t>
        </is>
      </c>
      <c r="B68" t="inlineStr">
        <is>
          <t>PROFESSIONAL_REVIEW</t>
        </is>
      </c>
      <c r="C68" t="inlineStr">
        <is>
          <t>Tested: 2026 Skoda Elroq - Full review, price &amp; features</t>
        </is>
      </c>
      <c r="D68" t="inlineStr">
        <is>
          <t>Autocar</t>
        </is>
      </c>
      <c r="E68" t="inlineStr">
        <is>
          <t>https://www.autocar.co.uk/car-review/skoda/elroq</t>
        </is>
      </c>
      <c r="G68" t="inlineStr">
        <is>
          <t>2026-07-07</t>
        </is>
      </c>
      <c r="H68" t="inlineStr">
        <is>
          <t>Beskriver forholdet mellom sete, pedaler og ratt som 'spot on' med en generelt utmerket kjørestilling, samt dedikerte fysiske hurtigknapper for kjøremodus, kjøreassistenter, klimaanlegg og parkeringssensorer under luftventilene - 'alltid betryggende enkle å finne' fremfor skjermmenyer eller haptiske/piano-sort-overflater.</t>
        </is>
      </c>
    </row>
    <row r="69">
      <c r="A69" t="inlineStr">
        <is>
          <t>SRC_CARSCOOPS_ELROQ_REVIEW</t>
        </is>
      </c>
      <c r="B69" t="inlineStr">
        <is>
          <t>PROFESSIONAL_REVIEW</t>
        </is>
      </c>
      <c r="C69" t="inlineStr">
        <is>
          <t>The 2026 Skoda Elroq Gets The Hard Stuff Right And The Easy Stuff Wrong</t>
        </is>
      </c>
      <c r="D69" t="inlineStr">
        <is>
          <t>Carscoops</t>
        </is>
      </c>
      <c r="E69" t="inlineStr">
        <is>
          <t>https://www.carscoops.com/2026/05/skoda-elroq-60-review/</t>
        </is>
      </c>
      <c r="G69" t="inlineStr">
        <is>
          <t>2026-07-07</t>
        </is>
      </c>
      <c r="H69" t="inlineStr">
        <is>
          <t>Roser kjøreegenskaper og ingeniørkunst, men bemerker at laveste utstyrsnivå har manuelt justerbare seter (ikke elektriske) og mangler enkelte teknologifunksjoner (bl.a. one-pedal-kjøremodus) som noen konkurrenter tilbyr.</t>
        </is>
      </c>
    </row>
    <row r="70">
      <c r="A70" t="inlineStr">
        <is>
          <t>SRC_TOPGEAR_EX30_REVIEW</t>
        </is>
      </c>
      <c r="B70" t="inlineStr">
        <is>
          <t>PROFESSIONAL_REVIEW</t>
        </is>
      </c>
      <c r="C70" t="inlineStr">
        <is>
          <t>Volvo EX30 Review 2026</t>
        </is>
      </c>
      <c r="D70" t="inlineStr">
        <is>
          <t>Top Gear</t>
        </is>
      </c>
      <c r="E70" t="inlineStr">
        <is>
          <t>https://www.topgear.com/car-reviews/volvo/ex30</t>
        </is>
      </c>
      <c r="G70" t="inlineStr">
        <is>
          <t>2026-07-07</t>
        </is>
      </c>
      <c r="H70" t="inlineStr">
        <is>
          <t>Ratt og hyppig berørte flater oppleves kvalitetsmessig gode, øvre dashbord (resirkulert plast) har en teksturert, granittlignende følelse, men skrapete plast finnes lenger ned og på dørpaneler. Beskriver et interiøralternativ ('Particle'-trim, laget av knuste PVC-vindusrammer) som en hard, skjør plast - kreativt, men ikke en tradisjonell kvalitetsopplevelse. Vindusbryterne er samlet på midtkonsollen fremfor på hver dør.</t>
        </is>
      </c>
    </row>
    <row r="71">
      <c r="A71" t="inlineStr">
        <is>
          <t>SRC_RECHARGED_EX30_LONGTERM</t>
        </is>
      </c>
      <c r="B71" t="inlineStr">
        <is>
          <t>PROFESSIONAL_REVIEW</t>
        </is>
      </c>
      <c r="C71" t="inlineStr">
        <is>
          <t>Volvo EX30 Long-Term Review 2026: Pros, Cons &amp; Reliability</t>
        </is>
      </c>
      <c r="D71" t="inlineStr">
        <is>
          <t>Recharged</t>
        </is>
      </c>
      <c r="E71" t="inlineStr">
        <is>
          <t>https://recharged.com/articles/volvo-ex30-long-term-review-2026</t>
        </is>
      </c>
      <c r="G71" t="inlineStr">
        <is>
          <t>2026-07-07</t>
        </is>
      </c>
      <c r="H71" t="inlineStr">
        <is>
          <t>Rapporterer spredte, ikke-kritiske knirk/rangling, feiljustert bakluke, vindtetningsproblemer og noe ekstra vindstøy - beskrevet som typisk førsteårs-støy. Viser til at Volvo i slutten av 2025 tilbakekalte over 40 000 EX30-biler globalt (69 kWh NMC-batteripakke, bygget 2024-2026) pga. moduler som kan overopphetes ved lading forbi ca. 70 % ladenivå. Mekanisk pålitelighet vurderes som 'god, men fortsatt umoden' - de fleste tidlige problemer er programvarerelaterte.</t>
        </is>
      </c>
    </row>
    <row r="72">
      <c r="A72" t="inlineStr">
        <is>
          <t>SRC_INSIDEEVS_EX30_ROUNDUP</t>
        </is>
      </c>
      <c r="B72" t="inlineStr">
        <is>
          <t>PROFESSIONAL_REVIEW</t>
        </is>
      </c>
      <c r="C72" t="inlineStr">
        <is>
          <t>2025 Volvo EX30 Review Roundup: Great Little EV, But Not Perfect</t>
        </is>
      </c>
      <c r="D72" t="inlineStr">
        <is>
          <t>InsideEVs</t>
        </is>
      </c>
      <c r="E72" t="inlineStr">
        <is>
          <t>https://insideevs.com/news/694967/2025-volvo-ex30-review-roundup-great-little-ev-but-not-perfect/</t>
        </is>
      </c>
      <c r="G72" t="inlineStr">
        <is>
          <t>2026-07-07</t>
        </is>
      </c>
      <c r="H72" t="inlineStr">
        <is>
          <t>Samler flere anmeldelser: setene og kjørestillingen får gjennomgående ros. Men fraværet av tradisjonelt instrumentpanel/head-up-display (all informasjon på sentralskjermen) trekkes frem som noe man må venne seg til, og flere anmeldelser peker på skjermavhengigheten som bilens klart største svakhet.</t>
        </is>
      </c>
    </row>
    <row r="73">
      <c r="A73" t="inlineStr">
        <is>
          <t>SRC_AUTOBLOG_EX30_BUTTONS</t>
        </is>
      </c>
      <c r="B73" t="inlineStr">
        <is>
          <t>PROFESSIONAL_REVIEW</t>
        </is>
      </c>
      <c r="C73" t="inlineStr">
        <is>
          <t>The Volvo EX30 Shows Why Cars Still Need Buttons</t>
        </is>
      </c>
      <c r="D73" t="inlineStr">
        <is>
          <t>Autoblog</t>
        </is>
      </c>
      <c r="E73" t="inlineStr">
        <is>
          <t>https://www.autoblog.com/news/the-volvo-ex30-shows-why-cars-still-need-buttons</t>
        </is>
      </c>
      <c r="G73" t="inlineStr">
        <is>
          <t>2026-07-07</t>
        </is>
      </c>
      <c r="H73" t="inlineStr">
        <is>
          <t>Dokumenterer at fysiske knapper for grunnleggende funksjoner (sidespeiljustering, temperatur, seteputevarme, bakre tåkelys, hanskerom) er fjernet til fordel for skjermnavigering. Konkluderer at dette er en gjennomgående kritisert designbeslutning på tvers av nesten alle anmeldelser av bilen.</t>
        </is>
      </c>
    </row>
    <row r="74">
      <c r="A74" t="inlineStr">
        <is>
          <t>SRC_PARKERS_EV2_REVIEW</t>
        </is>
      </c>
      <c r="B74" t="inlineStr">
        <is>
          <t>PROFESSIONAL_REVIEW</t>
        </is>
      </c>
      <c r="C74" t="inlineStr">
        <is>
          <t>Kia EV2 (2026) review: New baby EV doesn't put a foot wrong</t>
        </is>
      </c>
      <c r="D74" t="inlineStr">
        <is>
          <t>Parkers</t>
        </is>
      </c>
      <c r="E74" t="inlineStr">
        <is>
          <t>https://www.parkers.co.uk/kia/ev2/review/</t>
        </is>
      </c>
      <c r="G74" t="inlineStr">
        <is>
          <t>2026-07-07</t>
        </is>
      </c>
      <c r="H74" t="inlineStr">
        <is>
          <t>Beskriver rikelig med hard plast som likevel oppleves 'godt sammenskrudd' og glatt, ikke grov og billig. GT-Line og GT-Line S får resirkulerte stoffinnlegg på dashbord/dørpaneler for et mer oppgradert preg; myke materialer dekker berøringspunkter som armlener.</t>
        </is>
      </c>
    </row>
    <row r="75">
      <c r="A75" t="inlineStr">
        <is>
          <t>SRC_ELECTRIFYING_EV2_REVIEW</t>
        </is>
      </c>
      <c r="B75" t="inlineStr">
        <is>
          <t>PROFESSIONAL_REVIEW</t>
        </is>
      </c>
      <c r="C75" t="inlineStr">
        <is>
          <t>Kia EV2 Review &amp; Buying Guide 2026</t>
        </is>
      </c>
      <c r="D75" t="inlineStr">
        <is>
          <t>Electrifying.com</t>
        </is>
      </c>
      <c r="E75" t="inlineStr">
        <is>
          <t>https://www.electrifying.com/reviews/kia-reviews/ev2/review</t>
        </is>
      </c>
      <c r="G75" t="inlineStr">
        <is>
          <t>2026-07-07</t>
        </is>
      </c>
      <c r="H75" t="inlineStr">
        <is>
          <t>Fremhever byggekvalitet og tilpasning som en styrke sammenlignet med konkurrentene, uten vesentlige rapporter om knirk. Eneste konkrete innvending: koppholderne på midtkonsollen er upraktisk dimensjonert og rommer ikke vanlige flasker/bokser uten at de rasler rundt.</t>
        </is>
      </c>
    </row>
    <row r="76">
      <c r="A76" t="inlineStr">
        <is>
          <t>SRC_AUTOCAR_EV2_REVIEW</t>
        </is>
      </c>
      <c r="B76" t="inlineStr">
        <is>
          <t>PROFESSIONAL_REVIEW</t>
        </is>
      </c>
      <c r="C76" t="inlineStr">
        <is>
          <t>Tested: 2026 Kia EV2 - Full review, price &amp; features</t>
        </is>
      </c>
      <c r="D76" t="inlineStr">
        <is>
          <t>Autocar</t>
        </is>
      </c>
      <c r="E76" t="inlineStr">
        <is>
          <t>https://www.autocar.co.uk/car-review/kia/ev2</t>
        </is>
      </c>
      <c r="G76" t="inlineStr">
        <is>
          <t>2026-07-07</t>
        </is>
      </c>
      <c r="H76" t="inlineStr">
        <is>
          <t>Beskriver en høyere sitteposisjon enn typiske små elbiler, god utsikt takket være oppreiste dørstolper og høye vinduer, og et helelektrisk justerbart førersete med korsryggstøtte på GT-Line-utgaven som stemmer overens med ratt/pedaler.</t>
        </is>
      </c>
    </row>
  </sheetData>
  <autoFilter ref="A1:H1"/>
  <dataValidations count="1">
    <dataValidation sqref="B2:B1048576" showDropDown="0" showInputMessage="0" showErrorMessage="1" allowBlank="1" type="list">
      <formula1>Enum_SourceType</formula1>
    </dataValidation>
  </dataValidations>
  <pageMargins left="0.7" right="0.7" top="0.75" bottom="0.75" header="0.3" footer="0.3"/>
</worksheet>
</file>

<file path=xl/worksheets/sheet11.xml><?xml version="1.0" encoding="utf-8"?>
<worksheet xmlns="http://schemas.openxmlformats.org/spreadsheetml/2006/main">
  <sheetPr>
    <outlinePr summaryBelow="1" summaryRight="1"/>
    <pageSetUpPr/>
  </sheetPr>
  <dimension ref="A1:H96"/>
  <sheetViews>
    <sheetView showGridLines="1" workbookViewId="0">
      <pane ySplit="1" topLeftCell="A2" activePane="bottomLeft" state="frozen"/>
      <selection pane="bottomLeft" activeCell="A2" sqref="A2"/>
    </sheetView>
  </sheetViews>
  <sheetFormatPr baseColWidth="8" defaultRowHeight="15"/>
  <cols>
    <col width="20" customWidth="1" min="1" max="1"/>
    <col width="24" customWidth="1" min="2" max="2"/>
    <col width="20" customWidth="1" min="3" max="3"/>
    <col width="20" customWidth="1" min="4" max="4"/>
    <col width="20" customWidth="1" min="5" max="5"/>
    <col width="14" customWidth="1" min="6" max="6"/>
    <col width="18" customWidth="1" min="7" max="7"/>
    <col width="72" customWidth="1" min="8" max="8"/>
  </cols>
  <sheetData>
    <row r="1" ht="22" customHeight="1">
      <c r="A1" s="1" t="inlineStr">
        <is>
          <t>ScoreID</t>
        </is>
      </c>
      <c r="B1" s="1" t="inlineStr">
        <is>
          <t>ConfigurationID</t>
        </is>
      </c>
      <c r="C1" s="1" t="inlineStr">
        <is>
          <t>CriterionID</t>
        </is>
      </c>
      <c r="D1" s="1" t="inlineStr">
        <is>
          <t>ReviewID</t>
        </is>
      </c>
      <c r="E1" s="1" t="inlineStr">
        <is>
          <t>FrameworkVersion</t>
        </is>
      </c>
      <c r="F1" s="1" t="inlineStr">
        <is>
          <t>RawScore</t>
        </is>
      </c>
      <c r="G1" s="1" t="inlineStr">
        <is>
          <t>WeightedScore</t>
        </is>
      </c>
      <c r="H1" s="1" t="inlineStr">
        <is>
          <t>Explanation</t>
        </is>
      </c>
    </row>
    <row r="2">
      <c r="A2" t="inlineStr">
        <is>
          <t>SCORE_000001</t>
        </is>
      </c>
      <c r="B2" t="inlineStr">
        <is>
          <t>TESLA_MODEL_3_LONG_RANGE_RWD</t>
        </is>
      </c>
      <c r="C2" t="inlineStr">
        <is>
          <t>W001</t>
        </is>
      </c>
      <c r="D2" t="inlineStr">
        <is>
          <t>REV_000001</t>
        </is>
      </c>
      <c r="E2" t="inlineStr">
        <is>
          <t>1.4</t>
        </is>
      </c>
      <c r="F2">
        <f>ROUND(INDEX('07_Reviews'!$E:$E,MATCH(D2,'07_Reviews'!$A:$A,0))/5*100,2)</f>
        <v/>
      </c>
      <c r="G2">
        <f>ROUND(F2*INDEX('01_Criteria'!$F:$F,MATCH(C2,'01_Criteria'!$A:$A,0))/100,2)</f>
        <v/>
      </c>
      <c r="H2" t="inlineStr">
        <is>
          <t>Review score 4/5 (normalized RawScore = 80.0/100 on a documented 1-5 scale, since the framework does not prescribe a numeric scale). WeightedScore = RawScore x Weight(8)/100 = 6.4. Traceable to REV_000001 -&gt; supporting Evidence -&gt; cited Source.</t>
        </is>
      </c>
    </row>
    <row r="3">
      <c r="A3" t="inlineStr">
        <is>
          <t>SCORE_000002</t>
        </is>
      </c>
      <c r="B3" t="inlineStr">
        <is>
          <t>TESLA_MODEL_3_LONG_RANGE_RWD</t>
        </is>
      </c>
      <c r="C3" t="inlineStr">
        <is>
          <t>W002</t>
        </is>
      </c>
      <c r="D3" t="inlineStr">
        <is>
          <t>REV_000002</t>
        </is>
      </c>
      <c r="E3" t="inlineStr">
        <is>
          <t>1.4</t>
        </is>
      </c>
      <c r="F3">
        <f>ROUND(INDEX('07_Reviews'!$E:$E,MATCH(D3,'07_Reviews'!$A:$A,0))/5*100,2)</f>
        <v/>
      </c>
      <c r="G3">
        <f>ROUND(F3*INDEX('01_Criteria'!$F:$F,MATCH(C3,'01_Criteria'!$A:$A,0))/100,2)</f>
        <v/>
      </c>
      <c r="H3" t="inlineStr">
        <is>
          <t>Review score 4/5 (normalized RawScore = 80.0/100 on a documented 1-5 scale, since the framework does not prescribe a numeric scale). WeightedScore = RawScore x Weight(7)/100 = 5.6. Traceable to REV_000002 -&gt; supporting Evidence -&gt; cited Source.</t>
        </is>
      </c>
    </row>
    <row r="4">
      <c r="A4" t="inlineStr">
        <is>
          <t>SCORE_000003</t>
        </is>
      </c>
      <c r="B4" t="inlineStr">
        <is>
          <t>TESLA_MODEL_3_LONG_RANGE_RWD</t>
        </is>
      </c>
      <c r="C4" t="inlineStr">
        <is>
          <t>W003</t>
        </is>
      </c>
      <c r="D4" t="inlineStr">
        <is>
          <t>REV_000003</t>
        </is>
      </c>
      <c r="E4" t="inlineStr">
        <is>
          <t>1.4</t>
        </is>
      </c>
      <c r="F4">
        <f>ROUND(INDEX('07_Reviews'!$E:$E,MATCH(D4,'07_Reviews'!$A:$A,0))/5*100,2)</f>
        <v/>
      </c>
      <c r="G4">
        <f>ROUND(F4*INDEX('01_Criteria'!$F:$F,MATCH(C4,'01_Criteria'!$A:$A,0))/100,2)</f>
        <v/>
      </c>
      <c r="H4" t="inlineStr">
        <is>
          <t>Review score 3/5 (normalized RawScore = 60.0/100 on a documented 1-5 scale, since the framework does not prescribe a numeric scale). WeightedScore = RawScore x Weight(5)/100 = 3.0. Traceable to REV_000003 -&gt; supporting Evidence -&gt; cited Source.</t>
        </is>
      </c>
    </row>
    <row r="5">
      <c r="A5" t="inlineStr">
        <is>
          <t>SCORE_000004</t>
        </is>
      </c>
      <c r="B5" t="inlineStr">
        <is>
          <t>TESLA_MODEL_3_LONG_RANGE_RWD</t>
        </is>
      </c>
      <c r="C5" t="inlineStr">
        <is>
          <t>W004</t>
        </is>
      </c>
      <c r="D5" t="inlineStr">
        <is>
          <t>REV_000004</t>
        </is>
      </c>
      <c r="E5" t="inlineStr">
        <is>
          <t>1.4</t>
        </is>
      </c>
      <c r="F5">
        <f>ROUND(INDEX('07_Reviews'!$E:$E,MATCH(D5,'07_Reviews'!$A:$A,0))/5*100,2)</f>
        <v/>
      </c>
      <c r="G5">
        <f>ROUND(F5*INDEX('01_Criteria'!$F:$F,MATCH(C5,'01_Criteria'!$A:$A,0))/100,2)</f>
        <v/>
      </c>
      <c r="H5" t="inlineStr">
        <is>
          <t>Review score 4/5 (normalized RawScore = 80.0/100 on a documented 1-5 scale, since the framework does not prescribe a numeric scale). WeightedScore = RawScore x Weight(5)/100 = 4.0. Traceable to REV_000004 -&gt; supporting Evidence -&gt; cited Source.</t>
        </is>
      </c>
    </row>
    <row r="6">
      <c r="A6" t="inlineStr">
        <is>
          <t>SCORE_000005</t>
        </is>
      </c>
      <c r="B6" t="inlineStr">
        <is>
          <t>TESLA_MODEL_3_LONG_RANGE_RWD</t>
        </is>
      </c>
      <c r="C6" t="inlineStr">
        <is>
          <t>W005</t>
        </is>
      </c>
      <c r="D6" t="inlineStr">
        <is>
          <t>REV_000005</t>
        </is>
      </c>
      <c r="E6" t="inlineStr">
        <is>
          <t>1.4</t>
        </is>
      </c>
      <c r="F6">
        <f>ROUND(INDEX('07_Reviews'!$E:$E,MATCH(D6,'07_Reviews'!$A:$A,0))/5*100,2)</f>
        <v/>
      </c>
      <c r="G6">
        <f>ROUND(F6*INDEX('01_Criteria'!$F:$F,MATCH(C6,'01_Criteria'!$A:$A,0))/100,2)</f>
        <v/>
      </c>
      <c r="H6" t="inlineStr">
        <is>
          <t>Review score 3/5 (normalized RawScore = 60.0/100 on a documented 1-5 scale, since the framework does not prescribe a numeric scale). WeightedScore = RawScore x Weight(7)/100 = 4.2. Traceable to REV_000005 -&gt; supporting Evidence -&gt; cited Source.</t>
        </is>
      </c>
    </row>
    <row r="7">
      <c r="A7" t="inlineStr">
        <is>
          <t>SCORE_000006</t>
        </is>
      </c>
      <c r="B7" t="inlineStr">
        <is>
          <t>TESLA_MODEL_3_LONG_RANGE_RWD</t>
        </is>
      </c>
      <c r="C7" t="inlineStr">
        <is>
          <t>W007</t>
        </is>
      </c>
      <c r="D7" t="inlineStr">
        <is>
          <t>REV_000006</t>
        </is>
      </c>
      <c r="E7" t="inlineStr">
        <is>
          <t>1.4</t>
        </is>
      </c>
      <c r="F7">
        <f>ROUND(INDEX('07_Reviews'!$E:$E,MATCH(D7,'07_Reviews'!$A:$A,0))/5*100,2)</f>
        <v/>
      </c>
      <c r="G7">
        <f>ROUND(F7*INDEX('01_Criteria'!$F:$F,MATCH(C7,'01_Criteria'!$A:$A,0))/100,2)</f>
        <v/>
      </c>
      <c r="H7" t="inlineStr">
        <is>
          <t>Review score 1/5 (normalized RawScore = 20.0/100 on a documented 1-5 scale, since the framework does not prescribe a numeric scale). WeightedScore = RawScore x Weight(3)/100 = 0.6. Traceable to REV_000006 -&gt; supporting Evidence -&gt; cited Source.</t>
        </is>
      </c>
    </row>
    <row r="8">
      <c r="A8" t="inlineStr">
        <is>
          <t>SCORE_000007</t>
        </is>
      </c>
      <c r="B8" t="inlineStr">
        <is>
          <t>TESLA_MODEL_3_LONG_RANGE_RWD</t>
        </is>
      </c>
      <c r="C8" t="inlineStr">
        <is>
          <t>W020</t>
        </is>
      </c>
      <c r="D8" t="inlineStr">
        <is>
          <t>REV_000007</t>
        </is>
      </c>
      <c r="E8" t="inlineStr">
        <is>
          <t>1.4</t>
        </is>
      </c>
      <c r="F8">
        <f>ROUND(INDEX('07_Reviews'!$E:$E,MATCH(D8,'07_Reviews'!$A:$A,0))/5*100,2)</f>
        <v/>
      </c>
      <c r="G8">
        <f>ROUND(F8*INDEX('01_Criteria'!$F:$F,MATCH(C8,'01_Criteria'!$A:$A,0))/100,2)</f>
        <v/>
      </c>
      <c r="H8" t="inlineStr">
        <is>
          <t>Review score 4/5 (normalized RawScore = 80.0/100 on a documented 1-5 scale, since the framework does not prescribe a numeric scale). WeightedScore = RawScore x Weight(2)/100 = 1.6. Traceable to REV_000007 -&gt; supporting Evidence -&gt; cited Source.</t>
        </is>
      </c>
    </row>
    <row r="9">
      <c r="A9" t="inlineStr">
        <is>
          <t>SCORE_000008</t>
        </is>
      </c>
      <c r="B9" t="inlineStr">
        <is>
          <t>RENAULT_4_TECHNO</t>
        </is>
      </c>
      <c r="C9" t="inlineStr">
        <is>
          <t>W001</t>
        </is>
      </c>
      <c r="D9" t="inlineStr">
        <is>
          <t>REV_000008</t>
        </is>
      </c>
      <c r="E9" t="inlineStr">
        <is>
          <t>1.4</t>
        </is>
      </c>
      <c r="F9">
        <f>ROUND(INDEX('07_Reviews'!$E:$E,MATCH(D9,'07_Reviews'!$A:$A,0))/5*100,2)</f>
        <v/>
      </c>
      <c r="G9">
        <f>ROUND(F9*INDEX('01_Criteria'!$F:$F,MATCH(C9,'01_Criteria'!$A:$A,0))/100,2)</f>
        <v/>
      </c>
      <c r="H9" t="inlineStr">
        <is>
          <t>Traceable to REV_000008 -&gt; supporting Evidence -&gt; cited Source. RawScore/WeightedScore computed via the ADR-005 formula engine.</t>
        </is>
      </c>
    </row>
    <row r="10">
      <c r="A10" t="inlineStr">
        <is>
          <t>SCORE_000009</t>
        </is>
      </c>
      <c r="B10" t="inlineStr">
        <is>
          <t>RENAULT_4_TECHNO</t>
        </is>
      </c>
      <c r="C10" t="inlineStr">
        <is>
          <t>W002</t>
        </is>
      </c>
      <c r="D10" t="inlineStr">
        <is>
          <t>REV_000009</t>
        </is>
      </c>
      <c r="E10" t="inlineStr">
        <is>
          <t>1.4</t>
        </is>
      </c>
      <c r="F10">
        <f>ROUND(INDEX('07_Reviews'!$E:$E,MATCH(D10,'07_Reviews'!$A:$A,0))/5*100,2)</f>
        <v/>
      </c>
      <c r="G10">
        <f>ROUND(F10*INDEX('01_Criteria'!$F:$F,MATCH(C10,'01_Criteria'!$A:$A,0))/100,2)</f>
        <v/>
      </c>
      <c r="H10" t="inlineStr">
        <is>
          <t>Traceable to REV_000009 -&gt; supporting Evidence -&gt; cited Source. RawScore/WeightedScore computed via the ADR-005 formula engine.</t>
        </is>
      </c>
    </row>
    <row r="11">
      <c r="A11" t="inlineStr">
        <is>
          <t>SCORE_000010</t>
        </is>
      </c>
      <c r="B11" t="inlineStr">
        <is>
          <t>RENAULT_4_TECHNO</t>
        </is>
      </c>
      <c r="C11" t="inlineStr">
        <is>
          <t>W003</t>
        </is>
      </c>
      <c r="D11" t="inlineStr">
        <is>
          <t>REV_000010</t>
        </is>
      </c>
      <c r="E11" t="inlineStr">
        <is>
          <t>1.4</t>
        </is>
      </c>
      <c r="F11">
        <f>ROUND(INDEX('07_Reviews'!$E:$E,MATCH(D11,'07_Reviews'!$A:$A,0))/5*100,2)</f>
        <v/>
      </c>
      <c r="G11">
        <f>ROUND(F11*INDEX('01_Criteria'!$F:$F,MATCH(C11,'01_Criteria'!$A:$A,0))/100,2)</f>
        <v/>
      </c>
      <c r="H11" t="inlineStr">
        <is>
          <t>Traceable to REV_000010 -&gt; supporting Evidence -&gt; cited Source. RawScore/WeightedScore computed via the ADR-005 formula engine.</t>
        </is>
      </c>
    </row>
    <row r="12">
      <c r="A12" t="inlineStr">
        <is>
          <t>SCORE_000011</t>
        </is>
      </c>
      <c r="B12" t="inlineStr">
        <is>
          <t>RENAULT_4_TECHNO</t>
        </is>
      </c>
      <c r="C12" t="inlineStr">
        <is>
          <t>W004</t>
        </is>
      </c>
      <c r="D12" t="inlineStr">
        <is>
          <t>REV_000011</t>
        </is>
      </c>
      <c r="E12" t="inlineStr">
        <is>
          <t>1.4</t>
        </is>
      </c>
      <c r="F12">
        <f>ROUND(INDEX('07_Reviews'!$E:$E,MATCH(D12,'07_Reviews'!$A:$A,0))/5*100,2)</f>
        <v/>
      </c>
      <c r="G12">
        <f>ROUND(F12*INDEX('01_Criteria'!$F:$F,MATCH(C12,'01_Criteria'!$A:$A,0))/100,2)</f>
        <v/>
      </c>
      <c r="H12" t="inlineStr">
        <is>
          <t>Traceable to REV_000011 -&gt; supporting Evidence -&gt; cited Source. RawScore/WeightedScore computed via the ADR-005 formula engine.</t>
        </is>
      </c>
    </row>
    <row r="13">
      <c r="A13" t="inlineStr">
        <is>
          <t>SCORE_000012</t>
        </is>
      </c>
      <c r="B13" t="inlineStr">
        <is>
          <t>RENAULT_4_TECHNO</t>
        </is>
      </c>
      <c r="C13" t="inlineStr">
        <is>
          <t>W005</t>
        </is>
      </c>
      <c r="D13" t="inlineStr">
        <is>
          <t>REV_000012</t>
        </is>
      </c>
      <c r="E13" t="inlineStr">
        <is>
          <t>1.4</t>
        </is>
      </c>
      <c r="F13">
        <f>ROUND(INDEX('07_Reviews'!$E:$E,MATCH(D13,'07_Reviews'!$A:$A,0))/5*100,2)</f>
        <v/>
      </c>
      <c r="G13">
        <f>ROUND(F13*INDEX('01_Criteria'!$F:$F,MATCH(C13,'01_Criteria'!$A:$A,0))/100,2)</f>
        <v/>
      </c>
      <c r="H13" t="inlineStr">
        <is>
          <t>Traceable to REV_000012 -&gt; supporting Evidence -&gt; cited Source. RawScore/WeightedScore computed via the ADR-005 formula engine.</t>
        </is>
      </c>
    </row>
    <row r="14">
      <c r="A14" t="inlineStr">
        <is>
          <t>SCORE_000013</t>
        </is>
      </c>
      <c r="B14" t="inlineStr">
        <is>
          <t>RENAULT_4_TECHNO</t>
        </is>
      </c>
      <c r="C14" t="inlineStr">
        <is>
          <t>W007</t>
        </is>
      </c>
      <c r="D14" t="inlineStr">
        <is>
          <t>REV_000013</t>
        </is>
      </c>
      <c r="E14" t="inlineStr">
        <is>
          <t>1.4</t>
        </is>
      </c>
      <c r="F14">
        <f>ROUND(INDEX('07_Reviews'!$E:$E,MATCH(D14,'07_Reviews'!$A:$A,0))/5*100,2)</f>
        <v/>
      </c>
      <c r="G14">
        <f>ROUND(F14*INDEX('01_Criteria'!$F:$F,MATCH(C14,'01_Criteria'!$A:$A,0))/100,2)</f>
        <v/>
      </c>
      <c r="H14" t="inlineStr">
        <is>
          <t>Traceable to REV_000013 -&gt; supporting Evidence -&gt; cited Source. RawScore/WeightedScore computed via the ADR-005 formula engine.</t>
        </is>
      </c>
    </row>
    <row r="15">
      <c r="A15" t="inlineStr">
        <is>
          <t>SCORE_000014</t>
        </is>
      </c>
      <c r="B15" t="inlineStr">
        <is>
          <t>RENAULT_4_TECHNO</t>
        </is>
      </c>
      <c r="C15" t="inlineStr">
        <is>
          <t>W020</t>
        </is>
      </c>
      <c r="D15" t="inlineStr">
        <is>
          <t>REV_000014</t>
        </is>
      </c>
      <c r="E15" t="inlineStr">
        <is>
          <t>1.4</t>
        </is>
      </c>
      <c r="F15">
        <f>ROUND(INDEX('07_Reviews'!$E:$E,MATCH(D15,'07_Reviews'!$A:$A,0))/5*100,2)</f>
        <v/>
      </c>
      <c r="G15">
        <f>ROUND(F15*INDEX('01_Criteria'!$F:$F,MATCH(C15,'01_Criteria'!$A:$A,0))/100,2)</f>
        <v/>
      </c>
      <c r="H15" t="inlineStr">
        <is>
          <t>Traceable to REV_000014 -&gt; supporting Evidence -&gt; cited Source. RawScore/WeightedScore computed via the ADR-005 formula engine.</t>
        </is>
      </c>
    </row>
    <row r="16">
      <c r="A16" t="inlineStr">
        <is>
          <t>SCORE_000016</t>
        </is>
      </c>
      <c r="B16" t="inlineStr">
        <is>
          <t>SKODA_ELROQ_SELECTION_60</t>
        </is>
      </c>
      <c r="C16" t="inlineStr">
        <is>
          <t>W001</t>
        </is>
      </c>
      <c r="D16" t="inlineStr">
        <is>
          <t>REV_000015</t>
        </is>
      </c>
      <c r="E16" t="inlineStr">
        <is>
          <t>1.4</t>
        </is>
      </c>
      <c r="F16">
        <f>ROUND(INDEX('07_Reviews'!$E:$E,MATCH(D16,'07_Reviews'!$A:$A,0))/5*100,2)</f>
        <v/>
      </c>
      <c r="G16">
        <f>ROUND(F16*INDEX('01_Criteria'!$F:$F,MATCH(C16,'01_Criteria'!$A:$A,0))/100,2)</f>
        <v/>
      </c>
      <c r="H16" t="inlineStr">
        <is>
          <t>Traceable to REV_000015 -&gt; supporting Evidence -&gt; cited Source. RawScore/WeightedScore computed via the ADR-005 formula engine.</t>
        </is>
      </c>
    </row>
    <row r="17">
      <c r="A17" t="inlineStr">
        <is>
          <t>SCORE_000017</t>
        </is>
      </c>
      <c r="B17" t="inlineStr">
        <is>
          <t>SKODA_ELROQ_SELECTION_60</t>
        </is>
      </c>
      <c r="C17" t="inlineStr">
        <is>
          <t>W002</t>
        </is>
      </c>
      <c r="D17" t="inlineStr">
        <is>
          <t>REV_000016</t>
        </is>
      </c>
      <c r="E17" t="inlineStr">
        <is>
          <t>1.4</t>
        </is>
      </c>
      <c r="F17">
        <f>ROUND(INDEX('07_Reviews'!$E:$E,MATCH(D17,'07_Reviews'!$A:$A,0))/5*100,2)</f>
        <v/>
      </c>
      <c r="G17">
        <f>ROUND(F17*INDEX('01_Criteria'!$F:$F,MATCH(C17,'01_Criteria'!$A:$A,0))/100,2)</f>
        <v/>
      </c>
      <c r="H17" t="inlineStr">
        <is>
          <t>Traceable to REV_000016 -&gt; supporting Evidence -&gt; cited Source. RawScore/WeightedScore computed via the ADR-005 formula engine.</t>
        </is>
      </c>
    </row>
    <row r="18">
      <c r="A18" t="inlineStr">
        <is>
          <t>SCORE_000018</t>
        </is>
      </c>
      <c r="B18" t="inlineStr">
        <is>
          <t>SKODA_ELROQ_SELECTION_60</t>
        </is>
      </c>
      <c r="C18" t="inlineStr">
        <is>
          <t>W003</t>
        </is>
      </c>
      <c r="D18" t="inlineStr">
        <is>
          <t>REV_000017</t>
        </is>
      </c>
      <c r="E18" t="inlineStr">
        <is>
          <t>1.4</t>
        </is>
      </c>
      <c r="F18">
        <f>ROUND(INDEX('07_Reviews'!$E:$E,MATCH(D18,'07_Reviews'!$A:$A,0))/5*100,2)</f>
        <v/>
      </c>
      <c r="G18">
        <f>ROUND(F18*INDEX('01_Criteria'!$F:$F,MATCH(C18,'01_Criteria'!$A:$A,0))/100,2)</f>
        <v/>
      </c>
      <c r="H18" t="inlineStr">
        <is>
          <t>Traceable to REV_000017 -&gt; supporting Evidence -&gt; cited Source. RawScore/WeightedScore computed via the ADR-005 formula engine.</t>
        </is>
      </c>
    </row>
    <row r="19">
      <c r="A19" t="inlineStr">
        <is>
          <t>SCORE_000019</t>
        </is>
      </c>
      <c r="B19" t="inlineStr">
        <is>
          <t>SKODA_ELROQ_SELECTION_60</t>
        </is>
      </c>
      <c r="C19" t="inlineStr">
        <is>
          <t>W004</t>
        </is>
      </c>
      <c r="D19" t="inlineStr">
        <is>
          <t>REV_000018</t>
        </is>
      </c>
      <c r="E19" t="inlineStr">
        <is>
          <t>1.4</t>
        </is>
      </c>
      <c r="F19">
        <f>ROUND(INDEX('07_Reviews'!$E:$E,MATCH(D19,'07_Reviews'!$A:$A,0))/5*100,2)</f>
        <v/>
      </c>
      <c r="G19">
        <f>ROUND(F19*INDEX('01_Criteria'!$F:$F,MATCH(C19,'01_Criteria'!$A:$A,0))/100,2)</f>
        <v/>
      </c>
      <c r="H19" t="inlineStr">
        <is>
          <t>Traceable to REV_000018 -&gt; supporting Evidence -&gt; cited Source. RawScore/WeightedScore computed via the ADR-005 formula engine.</t>
        </is>
      </c>
    </row>
    <row r="20">
      <c r="A20" t="inlineStr">
        <is>
          <t>SCORE_000020</t>
        </is>
      </c>
      <c r="B20" t="inlineStr">
        <is>
          <t>SKODA_ELROQ_SELECTION_60</t>
        </is>
      </c>
      <c r="C20" t="inlineStr">
        <is>
          <t>W005</t>
        </is>
      </c>
      <c r="D20" t="inlineStr">
        <is>
          <t>REV_000019</t>
        </is>
      </c>
      <c r="E20" t="inlineStr">
        <is>
          <t>1.4</t>
        </is>
      </c>
      <c r="F20">
        <f>ROUND(INDEX('07_Reviews'!$E:$E,MATCH(D20,'07_Reviews'!$A:$A,0))/5*100,2)</f>
        <v/>
      </c>
      <c r="G20">
        <f>ROUND(F20*INDEX('01_Criteria'!$F:$F,MATCH(C20,'01_Criteria'!$A:$A,0))/100,2)</f>
        <v/>
      </c>
      <c r="H20" t="inlineStr">
        <is>
          <t>Traceable to REV_000019 -&gt; supporting Evidence -&gt; cited Source. RawScore/WeightedScore computed via the ADR-005 formula engine.</t>
        </is>
      </c>
    </row>
    <row r="21">
      <c r="A21" t="inlineStr">
        <is>
          <t>SCORE_000021</t>
        </is>
      </c>
      <c r="B21" t="inlineStr">
        <is>
          <t>SKODA_ELROQ_SELECTION_60</t>
        </is>
      </c>
      <c r="C21" t="inlineStr">
        <is>
          <t>W007</t>
        </is>
      </c>
      <c r="D21" t="inlineStr">
        <is>
          <t>REV_000020</t>
        </is>
      </c>
      <c r="E21" t="inlineStr">
        <is>
          <t>1.4</t>
        </is>
      </c>
      <c r="F21">
        <f>ROUND(INDEX('07_Reviews'!$E:$E,MATCH(D21,'07_Reviews'!$A:$A,0))/5*100,2)</f>
        <v/>
      </c>
      <c r="G21">
        <f>ROUND(F21*INDEX('01_Criteria'!$F:$F,MATCH(C21,'01_Criteria'!$A:$A,0))/100,2)</f>
        <v/>
      </c>
      <c r="H21" t="inlineStr">
        <is>
          <t>Traceable to REV_000020 -&gt; supporting Evidence -&gt; cited Source. RawScore/WeightedScore computed via the ADR-005 formula engine.</t>
        </is>
      </c>
    </row>
    <row r="22">
      <c r="A22" t="inlineStr">
        <is>
          <t>SCORE_000022</t>
        </is>
      </c>
      <c r="B22" t="inlineStr">
        <is>
          <t>SKODA_ELROQ_SELECTION_60</t>
        </is>
      </c>
      <c r="C22" t="inlineStr">
        <is>
          <t>W020</t>
        </is>
      </c>
      <c r="D22" t="inlineStr">
        <is>
          <t>REV_000021</t>
        </is>
      </c>
      <c r="E22" t="inlineStr">
        <is>
          <t>1.4</t>
        </is>
      </c>
      <c r="F22">
        <f>ROUND(INDEX('07_Reviews'!$E:$E,MATCH(D22,'07_Reviews'!$A:$A,0))/5*100,2)</f>
        <v/>
      </c>
      <c r="G22">
        <f>ROUND(F22*INDEX('01_Criteria'!$F:$F,MATCH(C22,'01_Criteria'!$A:$A,0))/100,2)</f>
        <v/>
      </c>
      <c r="H22" t="inlineStr">
        <is>
          <t>Traceable to REV_000021 -&gt; supporting Evidence -&gt; cited Source. RawScore/WeightedScore computed via the ADR-005 formula engine.</t>
        </is>
      </c>
    </row>
    <row r="23">
      <c r="A23" t="inlineStr">
        <is>
          <t>SCORE_000023</t>
        </is>
      </c>
      <c r="B23" t="inlineStr">
        <is>
          <t>VOLVO_EX30_P8_AWD</t>
        </is>
      </c>
      <c r="C23" t="inlineStr">
        <is>
          <t>W001</t>
        </is>
      </c>
      <c r="D23" t="inlineStr">
        <is>
          <t>REV_000022</t>
        </is>
      </c>
      <c r="E23" t="inlineStr">
        <is>
          <t>1.4</t>
        </is>
      </c>
      <c r="F23">
        <f>ROUND(INDEX('07_Reviews'!$E:$E,MATCH(D23,'07_Reviews'!$A:$A,0))/5*100,2)</f>
        <v/>
      </c>
      <c r="G23">
        <f>ROUND(F23*INDEX('01_Criteria'!$F:$F,MATCH(C23,'01_Criteria'!$A:$A,0))/100,2)</f>
        <v/>
      </c>
      <c r="H23" t="inlineStr">
        <is>
          <t>Traceable to REV_000022 -&gt; supporting Evidence -&gt; cited Source. RawScore/WeightedScore computed via the ADR-005 formula engine.</t>
        </is>
      </c>
    </row>
    <row r="24">
      <c r="A24" t="inlineStr">
        <is>
          <t>SCORE_000024</t>
        </is>
      </c>
      <c r="B24" t="inlineStr">
        <is>
          <t>VOLVO_EX30_P8_AWD</t>
        </is>
      </c>
      <c r="C24" t="inlineStr">
        <is>
          <t>W002</t>
        </is>
      </c>
      <c r="D24" t="inlineStr">
        <is>
          <t>REV_000023</t>
        </is>
      </c>
      <c r="E24" t="inlineStr">
        <is>
          <t>1.4</t>
        </is>
      </c>
      <c r="F24">
        <f>ROUND(INDEX('07_Reviews'!$E:$E,MATCH(D24,'07_Reviews'!$A:$A,0))/5*100,2)</f>
        <v/>
      </c>
      <c r="G24">
        <f>ROUND(F24*INDEX('01_Criteria'!$F:$F,MATCH(C24,'01_Criteria'!$A:$A,0))/100,2)</f>
        <v/>
      </c>
      <c r="H24" t="inlineStr">
        <is>
          <t>Traceable to REV_000023 -&gt; supporting Evidence -&gt; cited Source. RawScore/WeightedScore computed via the ADR-005 formula engine.</t>
        </is>
      </c>
    </row>
    <row r="25">
      <c r="A25" t="inlineStr">
        <is>
          <t>SCORE_000025</t>
        </is>
      </c>
      <c r="B25" t="inlineStr">
        <is>
          <t>VOLVO_EX30_P8_AWD</t>
        </is>
      </c>
      <c r="C25" t="inlineStr">
        <is>
          <t>W003</t>
        </is>
      </c>
      <c r="D25" t="inlineStr">
        <is>
          <t>REV_000024</t>
        </is>
      </c>
      <c r="E25" t="inlineStr">
        <is>
          <t>1.4</t>
        </is>
      </c>
      <c r="F25">
        <f>ROUND(INDEX('07_Reviews'!$E:$E,MATCH(D25,'07_Reviews'!$A:$A,0))/5*100,2)</f>
        <v/>
      </c>
      <c r="G25">
        <f>ROUND(F25*INDEX('01_Criteria'!$F:$F,MATCH(C25,'01_Criteria'!$A:$A,0))/100,2)</f>
        <v/>
      </c>
      <c r="H25" t="inlineStr">
        <is>
          <t>Traceable to REV_000024 -&gt; supporting Evidence -&gt; cited Source. RawScore/WeightedScore computed via the ADR-005 formula engine.</t>
        </is>
      </c>
    </row>
    <row r="26">
      <c r="A26" t="inlineStr">
        <is>
          <t>SCORE_000026</t>
        </is>
      </c>
      <c r="B26" t="inlineStr">
        <is>
          <t>VOLVO_EX30_P8_AWD</t>
        </is>
      </c>
      <c r="C26" t="inlineStr">
        <is>
          <t>W004</t>
        </is>
      </c>
      <c r="D26" t="inlineStr">
        <is>
          <t>REV_000025</t>
        </is>
      </c>
      <c r="E26" t="inlineStr">
        <is>
          <t>1.4</t>
        </is>
      </c>
      <c r="F26">
        <f>ROUND(INDEX('07_Reviews'!$E:$E,MATCH(D26,'07_Reviews'!$A:$A,0))/5*100,2)</f>
        <v/>
      </c>
      <c r="G26">
        <f>ROUND(F26*INDEX('01_Criteria'!$F:$F,MATCH(C26,'01_Criteria'!$A:$A,0))/100,2)</f>
        <v/>
      </c>
      <c r="H26" t="inlineStr">
        <is>
          <t>Traceable to REV_000025 -&gt; supporting Evidence -&gt; cited Source. RawScore/WeightedScore computed via the ADR-005 formula engine.</t>
        </is>
      </c>
    </row>
    <row r="27">
      <c r="A27" t="inlineStr">
        <is>
          <t>SCORE_000027</t>
        </is>
      </c>
      <c r="B27" t="inlineStr">
        <is>
          <t>VOLVO_EX30_P8_AWD</t>
        </is>
      </c>
      <c r="C27" t="inlineStr">
        <is>
          <t>W005</t>
        </is>
      </c>
      <c r="D27" t="inlineStr">
        <is>
          <t>REV_000026</t>
        </is>
      </c>
      <c r="E27" t="inlineStr">
        <is>
          <t>1.4</t>
        </is>
      </c>
      <c r="F27">
        <f>ROUND(INDEX('07_Reviews'!$E:$E,MATCH(D27,'07_Reviews'!$A:$A,0))/5*100,2)</f>
        <v/>
      </c>
      <c r="G27">
        <f>ROUND(F27*INDEX('01_Criteria'!$F:$F,MATCH(C27,'01_Criteria'!$A:$A,0))/100,2)</f>
        <v/>
      </c>
      <c r="H27" t="inlineStr">
        <is>
          <t>Traceable to REV_000026 -&gt; supporting Evidence -&gt; cited Source. RawScore/WeightedScore computed via the ADR-005 formula engine.</t>
        </is>
      </c>
    </row>
    <row r="28">
      <c r="A28" t="inlineStr">
        <is>
          <t>SCORE_000028</t>
        </is>
      </c>
      <c r="B28" t="inlineStr">
        <is>
          <t>VOLVO_EX30_P8_AWD</t>
        </is>
      </c>
      <c r="C28" t="inlineStr">
        <is>
          <t>W007</t>
        </is>
      </c>
      <c r="D28" t="inlineStr">
        <is>
          <t>REV_000027</t>
        </is>
      </c>
      <c r="E28" t="inlineStr">
        <is>
          <t>1.4</t>
        </is>
      </c>
      <c r="F28">
        <f>ROUND(INDEX('07_Reviews'!$E:$E,MATCH(D28,'07_Reviews'!$A:$A,0))/5*100,2)</f>
        <v/>
      </c>
      <c r="G28">
        <f>ROUND(F28*INDEX('01_Criteria'!$F:$F,MATCH(C28,'01_Criteria'!$A:$A,0))/100,2)</f>
        <v/>
      </c>
      <c r="H28" t="inlineStr">
        <is>
          <t>Traceable to REV_000027 -&gt; supporting Evidence -&gt; cited Source. RawScore/WeightedScore computed via the ADR-005 formula engine.</t>
        </is>
      </c>
    </row>
    <row r="29">
      <c r="A29" t="inlineStr">
        <is>
          <t>SCORE_000029</t>
        </is>
      </c>
      <c r="B29" t="inlineStr">
        <is>
          <t>VOLVO_EX30_P8_AWD</t>
        </is>
      </c>
      <c r="C29" t="inlineStr">
        <is>
          <t>W020</t>
        </is>
      </c>
      <c r="D29" t="inlineStr">
        <is>
          <t>REV_000028</t>
        </is>
      </c>
      <c r="E29" t="inlineStr">
        <is>
          <t>1.4</t>
        </is>
      </c>
      <c r="F29">
        <f>ROUND(INDEX('07_Reviews'!$E:$E,MATCH(D29,'07_Reviews'!$A:$A,0))/5*100,2)</f>
        <v/>
      </c>
      <c r="G29">
        <f>ROUND(F29*INDEX('01_Criteria'!$F:$F,MATCH(C29,'01_Criteria'!$A:$A,0))/100,2)</f>
        <v/>
      </c>
      <c r="H29" t="inlineStr">
        <is>
          <t>Traceable to REV_000028 -&gt; supporting Evidence -&gt; cited Source. RawScore/WeightedScore computed via the ADR-005 formula engine.</t>
        </is>
      </c>
    </row>
    <row r="30">
      <c r="A30" t="inlineStr">
        <is>
          <t>SCORE_000030</t>
        </is>
      </c>
      <c r="B30" t="inlineStr">
        <is>
          <t>KIA_EV2_FWD_LONG_RANGE_GT_LINE</t>
        </is>
      </c>
      <c r="C30" t="inlineStr">
        <is>
          <t>W001</t>
        </is>
      </c>
      <c r="D30" t="inlineStr">
        <is>
          <t>REV_000029</t>
        </is>
      </c>
      <c r="E30" t="inlineStr">
        <is>
          <t>1.4</t>
        </is>
      </c>
      <c r="F30">
        <f>ROUND(INDEX('07_Reviews'!$E:$E,MATCH(D30,'07_Reviews'!$A:$A,0))/5*100,2)</f>
        <v/>
      </c>
      <c r="G30">
        <f>ROUND(F30*INDEX('01_Criteria'!$F:$F,MATCH(C30,'01_Criteria'!$A:$A,0))/100,2)</f>
        <v/>
      </c>
      <c r="H30" t="inlineStr">
        <is>
          <t>Traceable to REV_000029 -&gt; supporting Evidence -&gt; cited Source. RawScore/WeightedScore computed via the ADR-005 formula engine.</t>
        </is>
      </c>
    </row>
    <row r="31">
      <c r="A31" t="inlineStr">
        <is>
          <t>SCORE_000031</t>
        </is>
      </c>
      <c r="B31" t="inlineStr">
        <is>
          <t>KIA_EV2_FWD_LONG_RANGE_GT_LINE</t>
        </is>
      </c>
      <c r="C31" t="inlineStr">
        <is>
          <t>W002</t>
        </is>
      </c>
      <c r="D31" t="inlineStr">
        <is>
          <t>REV_000030</t>
        </is>
      </c>
      <c r="E31" t="inlineStr">
        <is>
          <t>1.4</t>
        </is>
      </c>
      <c r="F31">
        <f>ROUND(INDEX('07_Reviews'!$E:$E,MATCH(D31,'07_Reviews'!$A:$A,0))/5*100,2)</f>
        <v/>
      </c>
      <c r="G31">
        <f>ROUND(F31*INDEX('01_Criteria'!$F:$F,MATCH(C31,'01_Criteria'!$A:$A,0))/100,2)</f>
        <v/>
      </c>
      <c r="H31" t="inlineStr">
        <is>
          <t>Traceable to REV_000030 -&gt; supporting Evidence -&gt; cited Source. RawScore/WeightedScore computed via the ADR-005 formula engine.</t>
        </is>
      </c>
    </row>
    <row r="32">
      <c r="A32" t="inlineStr">
        <is>
          <t>SCORE_000032</t>
        </is>
      </c>
      <c r="B32" t="inlineStr">
        <is>
          <t>KIA_EV2_FWD_LONG_RANGE_GT_LINE</t>
        </is>
      </c>
      <c r="C32" t="inlineStr">
        <is>
          <t>W003</t>
        </is>
      </c>
      <c r="D32" t="inlineStr">
        <is>
          <t>REV_000031</t>
        </is>
      </c>
      <c r="E32" t="inlineStr">
        <is>
          <t>1.4</t>
        </is>
      </c>
      <c r="F32">
        <f>ROUND(INDEX('07_Reviews'!$E:$E,MATCH(D32,'07_Reviews'!$A:$A,0))/5*100,2)</f>
        <v/>
      </c>
      <c r="G32">
        <f>ROUND(F32*INDEX('01_Criteria'!$F:$F,MATCH(C32,'01_Criteria'!$A:$A,0))/100,2)</f>
        <v/>
      </c>
      <c r="H32" t="inlineStr">
        <is>
          <t>Traceable to REV_000031 -&gt; supporting Evidence -&gt; cited Source. RawScore/WeightedScore computed via the ADR-005 formula engine.</t>
        </is>
      </c>
    </row>
    <row r="33">
      <c r="A33" t="inlineStr">
        <is>
          <t>SCORE_000033</t>
        </is>
      </c>
      <c r="B33" t="inlineStr">
        <is>
          <t>KIA_EV2_FWD_LONG_RANGE_GT_LINE</t>
        </is>
      </c>
      <c r="C33" t="inlineStr">
        <is>
          <t>W004</t>
        </is>
      </c>
      <c r="D33" t="inlineStr">
        <is>
          <t>REV_000032</t>
        </is>
      </c>
      <c r="E33" t="inlineStr">
        <is>
          <t>1.4</t>
        </is>
      </c>
      <c r="F33">
        <f>ROUND(INDEX('07_Reviews'!$E:$E,MATCH(D33,'07_Reviews'!$A:$A,0))/5*100,2)</f>
        <v/>
      </c>
      <c r="G33">
        <f>ROUND(F33*INDEX('01_Criteria'!$F:$F,MATCH(C33,'01_Criteria'!$A:$A,0))/100,2)</f>
        <v/>
      </c>
      <c r="H33" t="inlineStr">
        <is>
          <t>Traceable to REV_000032 -&gt; supporting Evidence -&gt; cited Source. RawScore/WeightedScore computed via the ADR-005 formula engine.</t>
        </is>
      </c>
    </row>
    <row r="34">
      <c r="A34" t="inlineStr">
        <is>
          <t>SCORE_000034</t>
        </is>
      </c>
      <c r="B34" t="inlineStr">
        <is>
          <t>KIA_EV2_FWD_LONG_RANGE_GT_LINE</t>
        </is>
      </c>
      <c r="C34" t="inlineStr">
        <is>
          <t>W005</t>
        </is>
      </c>
      <c r="D34" t="inlineStr">
        <is>
          <t>REV_000033</t>
        </is>
      </c>
      <c r="E34" t="inlineStr">
        <is>
          <t>1.4</t>
        </is>
      </c>
      <c r="F34">
        <f>ROUND(INDEX('07_Reviews'!$E:$E,MATCH(D34,'07_Reviews'!$A:$A,0))/5*100,2)</f>
        <v/>
      </c>
      <c r="G34">
        <f>ROUND(F34*INDEX('01_Criteria'!$F:$F,MATCH(C34,'01_Criteria'!$A:$A,0))/100,2)</f>
        <v/>
      </c>
      <c r="H34" t="inlineStr">
        <is>
          <t>Traceable to REV_000033 -&gt; supporting Evidence -&gt; cited Source. RawScore/WeightedScore computed via the ADR-005 formula engine.</t>
        </is>
      </c>
    </row>
    <row r="35">
      <c r="A35" t="inlineStr">
        <is>
          <t>SCORE_000035</t>
        </is>
      </c>
      <c r="B35" t="inlineStr">
        <is>
          <t>KIA_EV2_FWD_LONG_RANGE_GT_LINE</t>
        </is>
      </c>
      <c r="C35" t="inlineStr">
        <is>
          <t>W007</t>
        </is>
      </c>
      <c r="D35" t="inlineStr">
        <is>
          <t>REV_000034</t>
        </is>
      </c>
      <c r="E35" t="inlineStr">
        <is>
          <t>1.4</t>
        </is>
      </c>
      <c r="F35">
        <f>ROUND(INDEX('07_Reviews'!$E:$E,MATCH(D35,'07_Reviews'!$A:$A,0))/5*100,2)</f>
        <v/>
      </c>
      <c r="G35">
        <f>ROUND(F35*INDEX('01_Criteria'!$F:$F,MATCH(C35,'01_Criteria'!$A:$A,0))/100,2)</f>
        <v/>
      </c>
      <c r="H35" t="inlineStr">
        <is>
          <t>Traceable to REV_000034 -&gt; supporting Evidence -&gt; cited Source. RawScore/WeightedScore computed via the ADR-005 formula engine.</t>
        </is>
      </c>
    </row>
    <row r="36">
      <c r="A36" t="inlineStr">
        <is>
          <t>SCORE_000036</t>
        </is>
      </c>
      <c r="B36" t="inlineStr">
        <is>
          <t>KIA_EV2_FWD_LONG_RANGE_GT_LINE</t>
        </is>
      </c>
      <c r="C36" t="inlineStr">
        <is>
          <t>W020</t>
        </is>
      </c>
      <c r="D36" t="inlineStr">
        <is>
          <t>REV_000035</t>
        </is>
      </c>
      <c r="E36" t="inlineStr">
        <is>
          <t>1.4</t>
        </is>
      </c>
      <c r="F36">
        <f>ROUND(INDEX('07_Reviews'!$E:$E,MATCH(D36,'07_Reviews'!$A:$A,0))/5*100,2)</f>
        <v/>
      </c>
      <c r="G36">
        <f>ROUND(F36*INDEX('01_Criteria'!$F:$F,MATCH(C36,'01_Criteria'!$A:$A,0))/100,2)</f>
        <v/>
      </c>
      <c r="H36" t="inlineStr">
        <is>
          <t>Traceable to REV_000035 -&gt; supporting Evidence -&gt; cited Source. RawScore/WeightedScore computed via the ADR-005 formula engine.</t>
        </is>
      </c>
    </row>
    <row r="37">
      <c r="A37" t="inlineStr">
        <is>
          <t>SCORE_000037</t>
        </is>
      </c>
      <c r="B37" t="inlineStr">
        <is>
          <t>TESLA_MODEL_3_LONG_RANGE_RWD</t>
        </is>
      </c>
      <c r="C37" t="inlineStr">
        <is>
          <t>W017</t>
        </is>
      </c>
      <c r="D37" t="inlineStr">
        <is>
          <t>REV_000036</t>
        </is>
      </c>
      <c r="E37" t="inlineStr">
        <is>
          <t>1.4</t>
        </is>
      </c>
      <c r="F37">
        <f>ROUND(INDEX('07_Reviews'!$E:$E,MATCH(D37,'07_Reviews'!$A:$A,0))/5*100,2)</f>
        <v/>
      </c>
      <c r="G37">
        <f>ROUND(F37*INDEX('01_Criteria'!$F:$F,MATCH(C37,'01_Criteria'!$A:$A,0))/100,2)</f>
        <v/>
      </c>
      <c r="H37" t="inlineStr">
        <is>
          <t>Traceable to REV_000036 -&gt; supporting Evidence -&gt; cited Source. RawScore/WeightedScore computed via the ADR-005 formula engine.</t>
        </is>
      </c>
    </row>
    <row r="38">
      <c r="A38" t="inlineStr">
        <is>
          <t>SCORE_000038</t>
        </is>
      </c>
      <c r="B38" t="inlineStr">
        <is>
          <t>RENAULT_4_TECHNO</t>
        </is>
      </c>
      <c r="C38" t="inlineStr">
        <is>
          <t>W017</t>
        </is>
      </c>
      <c r="D38" t="inlineStr">
        <is>
          <t>REV_000037</t>
        </is>
      </c>
      <c r="E38" t="inlineStr">
        <is>
          <t>1.4</t>
        </is>
      </c>
      <c r="F38">
        <f>ROUND(INDEX('07_Reviews'!$E:$E,MATCH(D38,'07_Reviews'!$A:$A,0))/5*100,2)</f>
        <v/>
      </c>
      <c r="G38">
        <f>ROUND(F38*INDEX('01_Criteria'!$F:$F,MATCH(C38,'01_Criteria'!$A:$A,0))/100,2)</f>
        <v/>
      </c>
      <c r="H38" t="inlineStr">
        <is>
          <t>Traceable to REV_000037 -&gt; supporting Evidence -&gt; cited Source. RawScore/WeightedScore computed via the ADR-005 formula engine.</t>
        </is>
      </c>
    </row>
    <row r="39">
      <c r="A39" t="inlineStr">
        <is>
          <t>SCORE_000039</t>
        </is>
      </c>
      <c r="B39" t="inlineStr">
        <is>
          <t>SKODA_ELROQ_SELECTION_60</t>
        </is>
      </c>
      <c r="C39" t="inlineStr">
        <is>
          <t>W017</t>
        </is>
      </c>
      <c r="D39" t="inlineStr">
        <is>
          <t>REV_000038</t>
        </is>
      </c>
      <c r="E39" t="inlineStr">
        <is>
          <t>1.4</t>
        </is>
      </c>
      <c r="F39">
        <f>ROUND(INDEX('07_Reviews'!$E:$E,MATCH(D39,'07_Reviews'!$A:$A,0))/5*100,2)</f>
        <v/>
      </c>
      <c r="G39">
        <f>ROUND(F39*INDEX('01_Criteria'!$F:$F,MATCH(C39,'01_Criteria'!$A:$A,0))/100,2)</f>
        <v/>
      </c>
      <c r="H39" t="inlineStr">
        <is>
          <t>Traceable to REV_000038 -&gt; supporting Evidence -&gt; cited Source. RawScore/WeightedScore computed via the ADR-005 formula engine.</t>
        </is>
      </c>
    </row>
    <row r="40">
      <c r="A40" t="inlineStr">
        <is>
          <t>SCORE_000040</t>
        </is>
      </c>
      <c r="B40" t="inlineStr">
        <is>
          <t>VOLVO_EX30_P8_AWD</t>
        </is>
      </c>
      <c r="C40" t="inlineStr">
        <is>
          <t>W017</t>
        </is>
      </c>
      <c r="D40" t="inlineStr">
        <is>
          <t>REV_000039</t>
        </is>
      </c>
      <c r="E40" t="inlineStr">
        <is>
          <t>1.4</t>
        </is>
      </c>
      <c r="F40">
        <f>ROUND(INDEX('07_Reviews'!$E:$E,MATCH(D40,'07_Reviews'!$A:$A,0))/5*100,2)</f>
        <v/>
      </c>
      <c r="G40">
        <f>ROUND(F40*INDEX('01_Criteria'!$F:$F,MATCH(C40,'01_Criteria'!$A:$A,0))/100,2)</f>
        <v/>
      </c>
      <c r="H40" t="inlineStr">
        <is>
          <t>Traceable to REV_000039 -&gt; supporting Evidence -&gt; cited Source. RawScore/WeightedScore computed via the ADR-005 formula engine.</t>
        </is>
      </c>
    </row>
    <row r="41">
      <c r="A41" t="inlineStr">
        <is>
          <t>SCORE_000041</t>
        </is>
      </c>
      <c r="B41" t="inlineStr">
        <is>
          <t>KIA_EV2_FWD_LONG_RANGE_GT_LINE</t>
        </is>
      </c>
      <c r="C41" t="inlineStr">
        <is>
          <t>W017</t>
        </is>
      </c>
      <c r="D41" t="inlineStr">
        <is>
          <t>REV_000040</t>
        </is>
      </c>
      <c r="E41" t="inlineStr">
        <is>
          <t>1.4</t>
        </is>
      </c>
      <c r="F41">
        <f>ROUND(INDEX('07_Reviews'!$E:$E,MATCH(D41,'07_Reviews'!$A:$A,0))/5*100,2)</f>
        <v/>
      </c>
      <c r="G41">
        <f>ROUND(F41*INDEX('01_Criteria'!$F:$F,MATCH(C41,'01_Criteria'!$A:$A,0))/100,2)</f>
        <v/>
      </c>
      <c r="H41" t="inlineStr">
        <is>
          <t>Traceable to REV_000040 -&gt; supporting Evidence -&gt; cited Source. RawScore/WeightedScore computed via the ADR-005 formula engine.</t>
        </is>
      </c>
    </row>
    <row r="42">
      <c r="A42" t="inlineStr">
        <is>
          <t>SCORE_000042</t>
        </is>
      </c>
      <c r="B42" t="inlineStr">
        <is>
          <t>TESLA_MODEL_3_LONG_RANGE_RWD</t>
        </is>
      </c>
      <c r="C42" t="inlineStr">
        <is>
          <t>W019</t>
        </is>
      </c>
      <c r="D42" t="inlineStr">
        <is>
          <t>REV_000041</t>
        </is>
      </c>
      <c r="E42" t="inlineStr">
        <is>
          <t>1.4</t>
        </is>
      </c>
      <c r="F42">
        <f>ROUND(INDEX('07_Reviews'!$E:$E,MATCH(D42,'07_Reviews'!$A:$A,0))/5*100,2)</f>
        <v/>
      </c>
      <c r="G42">
        <f>ROUND(F42*INDEX('01_Criteria'!$F:$F,MATCH(C42,'01_Criteria'!$A:$A,0))/100,2)</f>
        <v/>
      </c>
      <c r="H42" t="inlineStr">
        <is>
          <t>Traceable to REV_000041 -&gt; supporting Evidence -&gt; cited Source. RawScore/WeightedScore computed via the ADR-005 formula engine.</t>
        </is>
      </c>
    </row>
    <row r="43">
      <c r="A43" t="inlineStr">
        <is>
          <t>SCORE_000043</t>
        </is>
      </c>
      <c r="B43" t="inlineStr">
        <is>
          <t>RENAULT_4_TECHNO</t>
        </is>
      </c>
      <c r="C43" t="inlineStr">
        <is>
          <t>W019</t>
        </is>
      </c>
      <c r="D43" t="inlineStr">
        <is>
          <t>REV_000042</t>
        </is>
      </c>
      <c r="E43" t="inlineStr">
        <is>
          <t>1.4</t>
        </is>
      </c>
      <c r="F43">
        <f>ROUND(INDEX('07_Reviews'!$E:$E,MATCH(D43,'07_Reviews'!$A:$A,0))/5*100,2)</f>
        <v/>
      </c>
      <c r="G43">
        <f>ROUND(F43*INDEX('01_Criteria'!$F:$F,MATCH(C43,'01_Criteria'!$A:$A,0))/100,2)</f>
        <v/>
      </c>
      <c r="H43" t="inlineStr">
        <is>
          <t>Traceable to REV_000042 -&gt; supporting Evidence -&gt; cited Source. RawScore/WeightedScore computed via the ADR-005 formula engine.</t>
        </is>
      </c>
    </row>
    <row r="44">
      <c r="A44" t="inlineStr">
        <is>
          <t>SCORE_000044</t>
        </is>
      </c>
      <c r="B44" t="inlineStr">
        <is>
          <t>SKODA_ELROQ_SELECTION_60</t>
        </is>
      </c>
      <c r="C44" t="inlineStr">
        <is>
          <t>W019</t>
        </is>
      </c>
      <c r="D44" t="inlineStr">
        <is>
          <t>REV_000043</t>
        </is>
      </c>
      <c r="E44" t="inlineStr">
        <is>
          <t>1.4</t>
        </is>
      </c>
      <c r="F44">
        <f>ROUND(INDEX('07_Reviews'!$E:$E,MATCH(D44,'07_Reviews'!$A:$A,0))/5*100,2)</f>
        <v/>
      </c>
      <c r="G44">
        <f>ROUND(F44*INDEX('01_Criteria'!$F:$F,MATCH(C44,'01_Criteria'!$A:$A,0))/100,2)</f>
        <v/>
      </c>
      <c r="H44" t="inlineStr">
        <is>
          <t>Traceable to REV_000043 -&gt; supporting Evidence -&gt; cited Source. RawScore/WeightedScore computed via the ADR-005 formula engine.</t>
        </is>
      </c>
    </row>
    <row r="45">
      <c r="A45" t="inlineStr">
        <is>
          <t>SCORE_000045</t>
        </is>
      </c>
      <c r="B45" t="inlineStr">
        <is>
          <t>VOLVO_EX30_P8_AWD</t>
        </is>
      </c>
      <c r="C45" t="inlineStr">
        <is>
          <t>W019</t>
        </is>
      </c>
      <c r="D45" t="inlineStr">
        <is>
          <t>REV_000044</t>
        </is>
      </c>
      <c r="E45" t="inlineStr">
        <is>
          <t>1.4</t>
        </is>
      </c>
      <c r="F45">
        <f>ROUND(INDEX('07_Reviews'!$E:$E,MATCH(D45,'07_Reviews'!$A:$A,0))/5*100,2)</f>
        <v/>
      </c>
      <c r="G45">
        <f>ROUND(F45*INDEX('01_Criteria'!$F:$F,MATCH(C45,'01_Criteria'!$A:$A,0))/100,2)</f>
        <v/>
      </c>
      <c r="H45" t="inlineStr">
        <is>
          <t>Traceable to REV_000044 -&gt; supporting Evidence -&gt; cited Source. RawScore/WeightedScore computed via the ADR-005 formula engine.</t>
        </is>
      </c>
    </row>
    <row r="46">
      <c r="A46" t="inlineStr">
        <is>
          <t>SCORE_000046</t>
        </is>
      </c>
      <c r="B46" t="inlineStr">
        <is>
          <t>KIA_EV2_FWD_LONG_RANGE_GT_LINE</t>
        </is>
      </c>
      <c r="C46" t="inlineStr">
        <is>
          <t>W019</t>
        </is>
      </c>
      <c r="D46" t="inlineStr">
        <is>
          <t>REV_000045</t>
        </is>
      </c>
      <c r="E46" t="inlineStr">
        <is>
          <t>1.4</t>
        </is>
      </c>
      <c r="F46">
        <f>ROUND(INDEX('07_Reviews'!$E:$E,MATCH(D46,'07_Reviews'!$A:$A,0))/5*100,2)</f>
        <v/>
      </c>
      <c r="G46">
        <f>ROUND(F46*INDEX('01_Criteria'!$F:$F,MATCH(C46,'01_Criteria'!$A:$A,0))/100,2)</f>
        <v/>
      </c>
      <c r="H46" t="inlineStr">
        <is>
          <t>Traceable to REV_000045 -&gt; supporting Evidence -&gt; cited Source. RawScore/WeightedScore computed via the ADR-005 formula engine.</t>
        </is>
      </c>
    </row>
    <row r="47">
      <c r="A47" t="inlineStr">
        <is>
          <t>SCORE_000047</t>
        </is>
      </c>
      <c r="B47" t="inlineStr">
        <is>
          <t>VOLVO_EX30_P8_AWD</t>
        </is>
      </c>
      <c r="C47" t="inlineStr">
        <is>
          <t>W008</t>
        </is>
      </c>
      <c r="D47" t="inlineStr">
        <is>
          <t>REV_000046</t>
        </is>
      </c>
      <c r="E47" t="inlineStr">
        <is>
          <t>1.4</t>
        </is>
      </c>
      <c r="F47">
        <f>ROUND(INDEX('07_Reviews'!$E:$E,MATCH(D47,'07_Reviews'!$A:$A,0))/5*100,2)</f>
        <v/>
      </c>
      <c r="G47">
        <f>ROUND(F47*INDEX('01_Criteria'!$F:$F,MATCH(C47,'01_Criteria'!$A:$A,0))/100,2)</f>
        <v/>
      </c>
      <c r="H47" t="inlineStr">
        <is>
          <t>Traceable to REV_000046 -&gt; supporting Evidence -&gt; cited Source. RawScore/WeightedScore computed via the ADR-005 formula engine.</t>
        </is>
      </c>
    </row>
    <row r="48">
      <c r="A48" t="inlineStr">
        <is>
          <t>SCORE_000048</t>
        </is>
      </c>
      <c r="B48" t="inlineStr">
        <is>
          <t>TESLA_MODEL_3_LONG_RANGE_RWD</t>
        </is>
      </c>
      <c r="C48" t="inlineStr">
        <is>
          <t>W006</t>
        </is>
      </c>
      <c r="D48" t="inlineStr">
        <is>
          <t>REV_000047</t>
        </is>
      </c>
      <c r="E48" t="inlineStr">
        <is>
          <t>1.4</t>
        </is>
      </c>
      <c r="F48">
        <f>ROUND(INDEX('07_Reviews'!$E:$E,MATCH(D48,'07_Reviews'!$A:$A,0))/5*100,2)</f>
        <v/>
      </c>
      <c r="G48">
        <f>ROUND(F48*INDEX('01_Criteria'!$F:$F,MATCH(C48,'01_Criteria'!$A:$A,0))/100,2)</f>
        <v/>
      </c>
      <c r="H48" t="inlineStr">
        <is>
          <t>Traceable to REV_000047 -&gt; supporting Evidence -&gt; cited Source. RawScore/WeightedScore computed via the ADR-005 formula engine.</t>
        </is>
      </c>
    </row>
    <row r="49">
      <c r="A49" t="inlineStr">
        <is>
          <t>SCORE_000049</t>
        </is>
      </c>
      <c r="B49" t="inlineStr">
        <is>
          <t>TESLA_MODEL_3_LONG_RANGE_RWD</t>
        </is>
      </c>
      <c r="C49" t="inlineStr">
        <is>
          <t>W008</t>
        </is>
      </c>
      <c r="D49" t="inlineStr">
        <is>
          <t>REV_000048</t>
        </is>
      </c>
      <c r="E49" t="inlineStr">
        <is>
          <t>1.4</t>
        </is>
      </c>
      <c r="F49">
        <f>ROUND(INDEX('07_Reviews'!$E:$E,MATCH(D49,'07_Reviews'!$A:$A,0))/5*100,2)</f>
        <v/>
      </c>
      <c r="G49">
        <f>ROUND(F49*INDEX('01_Criteria'!$F:$F,MATCH(C49,'01_Criteria'!$A:$A,0))/100,2)</f>
        <v/>
      </c>
      <c r="H49" t="inlineStr">
        <is>
          <t>Traceable to REV_000048 -&gt; supporting Evidence -&gt; cited Source. RawScore/WeightedScore computed via the ADR-005 formula engine.</t>
        </is>
      </c>
    </row>
    <row r="50">
      <c r="A50" t="inlineStr">
        <is>
          <t>SCORE_000050</t>
        </is>
      </c>
      <c r="B50" t="inlineStr">
        <is>
          <t>TESLA_MODEL_3_LONG_RANGE_RWD</t>
        </is>
      </c>
      <c r="C50" t="inlineStr">
        <is>
          <t>W009</t>
        </is>
      </c>
      <c r="D50" t="inlineStr">
        <is>
          <t>REV_000049</t>
        </is>
      </c>
      <c r="E50" t="inlineStr">
        <is>
          <t>1.4</t>
        </is>
      </c>
      <c r="F50">
        <f>ROUND(INDEX('07_Reviews'!$E:$E,MATCH(D50,'07_Reviews'!$A:$A,0))/5*100,2)</f>
        <v/>
      </c>
      <c r="G50">
        <f>ROUND(F50*INDEX('01_Criteria'!$F:$F,MATCH(C50,'01_Criteria'!$A:$A,0))/100,2)</f>
        <v/>
      </c>
      <c r="H50" t="inlineStr">
        <is>
          <t>Traceable to REV_000049 -&gt; supporting Evidence -&gt; cited Source. RawScore/WeightedScore computed via the ADR-005 formula engine.</t>
        </is>
      </c>
    </row>
    <row r="51">
      <c r="A51" t="inlineStr">
        <is>
          <t>SCORE_000051</t>
        </is>
      </c>
      <c r="B51" t="inlineStr">
        <is>
          <t>RENAULT_4_TECHNO</t>
        </is>
      </c>
      <c r="C51" t="inlineStr">
        <is>
          <t>W006</t>
        </is>
      </c>
      <c r="D51" t="inlineStr">
        <is>
          <t>REV_000050</t>
        </is>
      </c>
      <c r="E51" t="inlineStr">
        <is>
          <t>1.4</t>
        </is>
      </c>
      <c r="F51">
        <f>ROUND(INDEX('07_Reviews'!$E:$E,MATCH(D51,'07_Reviews'!$A:$A,0))/5*100,2)</f>
        <v/>
      </c>
      <c r="G51">
        <f>ROUND(F51*INDEX('01_Criteria'!$F:$F,MATCH(C51,'01_Criteria'!$A:$A,0))/100,2)</f>
        <v/>
      </c>
      <c r="H51" t="inlineStr">
        <is>
          <t>Traceable to REV_000050 -&gt; supporting Evidence -&gt; cited Source. RawScore/WeightedScore computed via the ADR-005 formula engine.</t>
        </is>
      </c>
    </row>
    <row r="52">
      <c r="A52" t="inlineStr">
        <is>
          <t>SCORE_000052</t>
        </is>
      </c>
      <c r="B52" t="inlineStr">
        <is>
          <t>RENAULT_4_TECHNO</t>
        </is>
      </c>
      <c r="C52" t="inlineStr">
        <is>
          <t>W008</t>
        </is>
      </c>
      <c r="D52" t="inlineStr">
        <is>
          <t>REV_000051</t>
        </is>
      </c>
      <c r="E52" t="inlineStr">
        <is>
          <t>1.4</t>
        </is>
      </c>
      <c r="F52">
        <f>ROUND(INDEX('07_Reviews'!$E:$E,MATCH(D52,'07_Reviews'!$A:$A,0))/5*100,2)</f>
        <v/>
      </c>
      <c r="G52">
        <f>ROUND(F52*INDEX('01_Criteria'!$F:$F,MATCH(C52,'01_Criteria'!$A:$A,0))/100,2)</f>
        <v/>
      </c>
      <c r="H52" t="inlineStr">
        <is>
          <t>Traceable to REV_000051 -&gt; supporting Evidence -&gt; cited Source. RawScore/WeightedScore computed via the ADR-005 formula engine.</t>
        </is>
      </c>
    </row>
    <row r="53">
      <c r="A53" t="inlineStr">
        <is>
          <t>SCORE_000053</t>
        </is>
      </c>
      <c r="B53" t="inlineStr">
        <is>
          <t>RENAULT_4_TECHNO</t>
        </is>
      </c>
      <c r="C53" t="inlineStr">
        <is>
          <t>W009</t>
        </is>
      </c>
      <c r="D53" t="inlineStr">
        <is>
          <t>REV_000052</t>
        </is>
      </c>
      <c r="E53" t="inlineStr">
        <is>
          <t>1.4</t>
        </is>
      </c>
      <c r="F53">
        <f>ROUND(INDEX('07_Reviews'!$E:$E,MATCH(D53,'07_Reviews'!$A:$A,0))/5*100,2)</f>
        <v/>
      </c>
      <c r="G53">
        <f>ROUND(F53*INDEX('01_Criteria'!$F:$F,MATCH(C53,'01_Criteria'!$A:$A,0))/100,2)</f>
        <v/>
      </c>
      <c r="H53" t="inlineStr">
        <is>
          <t>Traceable to REV_000052 -&gt; supporting Evidence -&gt; cited Source. RawScore/WeightedScore computed via the ADR-005 formula engine.</t>
        </is>
      </c>
    </row>
    <row r="54">
      <c r="A54" t="inlineStr">
        <is>
          <t>SCORE_000054</t>
        </is>
      </c>
      <c r="B54" t="inlineStr">
        <is>
          <t>SKODA_ELROQ_SELECTION_60</t>
        </is>
      </c>
      <c r="C54" t="inlineStr">
        <is>
          <t>W006</t>
        </is>
      </c>
      <c r="D54" t="inlineStr">
        <is>
          <t>REV_000053</t>
        </is>
      </c>
      <c r="E54" t="inlineStr">
        <is>
          <t>1.4</t>
        </is>
      </c>
      <c r="F54">
        <f>ROUND(INDEX('07_Reviews'!$E:$E,MATCH(D54,'07_Reviews'!$A:$A,0))/5*100,2)</f>
        <v/>
      </c>
      <c r="G54">
        <f>ROUND(F54*INDEX('01_Criteria'!$F:$F,MATCH(C54,'01_Criteria'!$A:$A,0))/100,2)</f>
        <v/>
      </c>
      <c r="H54" t="inlineStr">
        <is>
          <t>Traceable to REV_000053 -&gt; supporting Evidence -&gt; cited Source. RawScore/WeightedScore computed via the ADR-005 formula engine.</t>
        </is>
      </c>
    </row>
    <row r="55">
      <c r="A55" t="inlineStr">
        <is>
          <t>SCORE_000055</t>
        </is>
      </c>
      <c r="B55" t="inlineStr">
        <is>
          <t>SKODA_ELROQ_SELECTION_60</t>
        </is>
      </c>
      <c r="C55" t="inlineStr">
        <is>
          <t>W008</t>
        </is>
      </c>
      <c r="D55" t="inlineStr">
        <is>
          <t>REV_000054</t>
        </is>
      </c>
      <c r="E55" t="inlineStr">
        <is>
          <t>1.4</t>
        </is>
      </c>
      <c r="F55">
        <f>ROUND(INDEX('07_Reviews'!$E:$E,MATCH(D55,'07_Reviews'!$A:$A,0))/5*100,2)</f>
        <v/>
      </c>
      <c r="G55">
        <f>ROUND(F55*INDEX('01_Criteria'!$F:$F,MATCH(C55,'01_Criteria'!$A:$A,0))/100,2)</f>
        <v/>
      </c>
      <c r="H55" t="inlineStr">
        <is>
          <t>Traceable to REV_000054 -&gt; supporting Evidence -&gt; cited Source. RawScore/WeightedScore computed via the ADR-005 formula engine.</t>
        </is>
      </c>
    </row>
    <row r="56">
      <c r="A56" t="inlineStr">
        <is>
          <t>SCORE_000056</t>
        </is>
      </c>
      <c r="B56" t="inlineStr">
        <is>
          <t>SKODA_ELROQ_SELECTION_60</t>
        </is>
      </c>
      <c r="C56" t="inlineStr">
        <is>
          <t>W009</t>
        </is>
      </c>
      <c r="D56" t="inlineStr">
        <is>
          <t>REV_000055</t>
        </is>
      </c>
      <c r="E56" t="inlineStr">
        <is>
          <t>1.4</t>
        </is>
      </c>
      <c r="F56">
        <f>ROUND(INDEX('07_Reviews'!$E:$E,MATCH(D56,'07_Reviews'!$A:$A,0))/5*100,2)</f>
        <v/>
      </c>
      <c r="G56">
        <f>ROUND(F56*INDEX('01_Criteria'!$F:$F,MATCH(C56,'01_Criteria'!$A:$A,0))/100,2)</f>
        <v/>
      </c>
      <c r="H56" t="inlineStr">
        <is>
          <t>Traceable to REV_000055 -&gt; supporting Evidence -&gt; cited Source. RawScore/WeightedScore computed via the ADR-005 formula engine.</t>
        </is>
      </c>
    </row>
    <row r="57">
      <c r="A57" t="inlineStr">
        <is>
          <t>SCORE_000057</t>
        </is>
      </c>
      <c r="B57" t="inlineStr">
        <is>
          <t>VOLVO_EX30_P8_AWD</t>
        </is>
      </c>
      <c r="C57" t="inlineStr">
        <is>
          <t>W006</t>
        </is>
      </c>
      <c r="D57" t="inlineStr">
        <is>
          <t>REV_000056</t>
        </is>
      </c>
      <c r="E57" t="inlineStr">
        <is>
          <t>1.4</t>
        </is>
      </c>
      <c r="F57">
        <f>ROUND(INDEX('07_Reviews'!$E:$E,MATCH(D57,'07_Reviews'!$A:$A,0))/5*100,2)</f>
        <v/>
      </c>
      <c r="G57">
        <f>ROUND(F57*INDEX('01_Criteria'!$F:$F,MATCH(C57,'01_Criteria'!$A:$A,0))/100,2)</f>
        <v/>
      </c>
      <c r="H57" t="inlineStr">
        <is>
          <t>Traceable to REV_000056 -&gt; supporting Evidence -&gt; cited Source. RawScore/WeightedScore computed via the ADR-005 formula engine.</t>
        </is>
      </c>
    </row>
    <row r="58">
      <c r="A58" t="inlineStr">
        <is>
          <t>SCORE_000058</t>
        </is>
      </c>
      <c r="B58" t="inlineStr">
        <is>
          <t>VOLVO_EX30_P8_AWD</t>
        </is>
      </c>
      <c r="C58" t="inlineStr">
        <is>
          <t>W009</t>
        </is>
      </c>
      <c r="D58" t="inlineStr">
        <is>
          <t>REV_000057</t>
        </is>
      </c>
      <c r="E58" t="inlineStr">
        <is>
          <t>1.4</t>
        </is>
      </c>
      <c r="F58">
        <f>ROUND(INDEX('07_Reviews'!$E:$E,MATCH(D58,'07_Reviews'!$A:$A,0))/5*100,2)</f>
        <v/>
      </c>
      <c r="G58">
        <f>ROUND(F58*INDEX('01_Criteria'!$F:$F,MATCH(C58,'01_Criteria'!$A:$A,0))/100,2)</f>
        <v/>
      </c>
      <c r="H58" t="inlineStr">
        <is>
          <t>Traceable to REV_000057 -&gt; supporting Evidence -&gt; cited Source. RawScore/WeightedScore computed via the ADR-005 formula engine.</t>
        </is>
      </c>
    </row>
    <row r="59">
      <c r="A59" t="inlineStr">
        <is>
          <t>SCORE_000059</t>
        </is>
      </c>
      <c r="B59" t="inlineStr">
        <is>
          <t>KIA_EV2_FWD_LONG_RANGE_GT_LINE</t>
        </is>
      </c>
      <c r="C59" t="inlineStr">
        <is>
          <t>W006</t>
        </is>
      </c>
      <c r="D59" t="inlineStr">
        <is>
          <t>REV_000058</t>
        </is>
      </c>
      <c r="E59" t="inlineStr">
        <is>
          <t>1.4</t>
        </is>
      </c>
      <c r="F59">
        <f>ROUND(INDEX('07_Reviews'!$E:$E,MATCH(D59,'07_Reviews'!$A:$A,0))/5*100,2)</f>
        <v/>
      </c>
      <c r="G59">
        <f>ROUND(F59*INDEX('01_Criteria'!$F:$F,MATCH(C59,'01_Criteria'!$A:$A,0))/100,2)</f>
        <v/>
      </c>
      <c r="H59" t="inlineStr">
        <is>
          <t>Traceable to REV_000058 -&gt; supporting Evidence -&gt; cited Source. RawScore/WeightedScore computed via the ADR-005 formula engine.</t>
        </is>
      </c>
    </row>
    <row r="60">
      <c r="A60" t="inlineStr">
        <is>
          <t>SCORE_000060</t>
        </is>
      </c>
      <c r="B60" t="inlineStr">
        <is>
          <t>KIA_EV2_FWD_LONG_RANGE_GT_LINE</t>
        </is>
      </c>
      <c r="C60" t="inlineStr">
        <is>
          <t>W008</t>
        </is>
      </c>
      <c r="D60" t="inlineStr">
        <is>
          <t>REV_000059</t>
        </is>
      </c>
      <c r="E60" t="inlineStr">
        <is>
          <t>1.4</t>
        </is>
      </c>
      <c r="F60">
        <f>ROUND(INDEX('07_Reviews'!$E:$E,MATCH(D60,'07_Reviews'!$A:$A,0))/5*100,2)</f>
        <v/>
      </c>
      <c r="G60">
        <f>ROUND(F60*INDEX('01_Criteria'!$F:$F,MATCH(C60,'01_Criteria'!$A:$A,0))/100,2)</f>
        <v/>
      </c>
      <c r="H60" t="inlineStr">
        <is>
          <t>Traceable to REV_000059 -&gt; supporting Evidence -&gt; cited Source. RawScore/WeightedScore computed via the ADR-005 formula engine.</t>
        </is>
      </c>
    </row>
    <row r="61">
      <c r="A61" t="inlineStr">
        <is>
          <t>SCORE_000061</t>
        </is>
      </c>
      <c r="B61" t="inlineStr">
        <is>
          <t>KIA_EV2_FWD_LONG_RANGE_GT_LINE</t>
        </is>
      </c>
      <c r="C61" t="inlineStr">
        <is>
          <t>W009</t>
        </is>
      </c>
      <c r="D61" t="inlineStr">
        <is>
          <t>REV_000060</t>
        </is>
      </c>
      <c r="E61" t="inlineStr">
        <is>
          <t>1.4</t>
        </is>
      </c>
      <c r="F61">
        <f>ROUND(INDEX('07_Reviews'!$E:$E,MATCH(D61,'07_Reviews'!$A:$A,0))/5*100,2)</f>
        <v/>
      </c>
      <c r="G61">
        <f>ROUND(F61*INDEX('01_Criteria'!$F:$F,MATCH(C61,'01_Criteria'!$A:$A,0))/100,2)</f>
        <v/>
      </c>
      <c r="H61" t="inlineStr">
        <is>
          <t>Traceable to REV_000060 -&gt; supporting Evidence -&gt; cited Source. RawScore/WeightedScore computed via the ADR-005 formula engine.</t>
        </is>
      </c>
    </row>
    <row r="62">
      <c r="A62" t="inlineStr">
        <is>
          <t>SCORE_000062</t>
        </is>
      </c>
      <c r="B62" t="inlineStr">
        <is>
          <t>TESLA_MODEL_3_LONG_RANGE_RWD</t>
        </is>
      </c>
      <c r="C62" t="inlineStr">
        <is>
          <t>W014</t>
        </is>
      </c>
      <c r="D62" t="inlineStr">
        <is>
          <t>REV_000061</t>
        </is>
      </c>
      <c r="E62" t="inlineStr">
        <is>
          <t>1.4</t>
        </is>
      </c>
      <c r="F62">
        <f>ROUND(INDEX('07_Reviews'!$E:$E,MATCH(D62,'07_Reviews'!$A:$A,0))/5*100,2)</f>
        <v/>
      </c>
      <c r="G62">
        <f>ROUND(F62*INDEX('01_Criteria'!$F:$F,MATCH(C62,'01_Criteria'!$A:$A,0))/100,2)</f>
        <v/>
      </c>
      <c r="H62" t="inlineStr">
        <is>
          <t>Traceable to REV_000061 -&gt; supporting Evidence -&gt; cited Source. RawScore/WeightedScore computed via the ADR-005 formula engine.</t>
        </is>
      </c>
    </row>
    <row r="63">
      <c r="A63" t="inlineStr">
        <is>
          <t>SCORE_000063</t>
        </is>
      </c>
      <c r="B63" t="inlineStr">
        <is>
          <t>TESLA_MODEL_3_LONG_RANGE_RWD</t>
        </is>
      </c>
      <c r="C63" t="inlineStr">
        <is>
          <t>W015</t>
        </is>
      </c>
      <c r="D63" t="inlineStr">
        <is>
          <t>REV_000062</t>
        </is>
      </c>
      <c r="E63" t="inlineStr">
        <is>
          <t>1.4</t>
        </is>
      </c>
      <c r="F63">
        <f>ROUND(INDEX('07_Reviews'!$E:$E,MATCH(D63,'07_Reviews'!$A:$A,0))/5*100,2)</f>
        <v/>
      </c>
      <c r="G63">
        <f>ROUND(F63*INDEX('01_Criteria'!$F:$F,MATCH(C63,'01_Criteria'!$A:$A,0))/100,2)</f>
        <v/>
      </c>
      <c r="H63" t="inlineStr">
        <is>
          <t>Traceable to REV_000062 -&gt; supporting Evidence -&gt; cited Source. RawScore/WeightedScore computed via the ADR-005 formula engine.</t>
        </is>
      </c>
    </row>
    <row r="64">
      <c r="A64" t="inlineStr">
        <is>
          <t>SCORE_000064</t>
        </is>
      </c>
      <c r="B64" t="inlineStr">
        <is>
          <t>RENAULT_4_TECHNO</t>
        </is>
      </c>
      <c r="C64" t="inlineStr">
        <is>
          <t>W014</t>
        </is>
      </c>
      <c r="D64" t="inlineStr">
        <is>
          <t>REV_000063</t>
        </is>
      </c>
      <c r="E64" t="inlineStr">
        <is>
          <t>1.4</t>
        </is>
      </c>
      <c r="F64">
        <f>ROUND(INDEX('07_Reviews'!$E:$E,MATCH(D64,'07_Reviews'!$A:$A,0))/5*100,2)</f>
        <v/>
      </c>
      <c r="G64">
        <f>ROUND(F64*INDEX('01_Criteria'!$F:$F,MATCH(C64,'01_Criteria'!$A:$A,0))/100,2)</f>
        <v/>
      </c>
      <c r="H64" t="inlineStr">
        <is>
          <t>Traceable to REV_000063 -&gt; supporting Evidence -&gt; cited Source. RawScore/WeightedScore computed via the ADR-005 formula engine.</t>
        </is>
      </c>
    </row>
    <row r="65">
      <c r="A65" t="inlineStr">
        <is>
          <t>SCORE_000065</t>
        </is>
      </c>
      <c r="B65" t="inlineStr">
        <is>
          <t>RENAULT_4_TECHNO</t>
        </is>
      </c>
      <c r="C65" t="inlineStr">
        <is>
          <t>W015</t>
        </is>
      </c>
      <c r="D65" t="inlineStr">
        <is>
          <t>REV_000064</t>
        </is>
      </c>
      <c r="E65" t="inlineStr">
        <is>
          <t>1.4</t>
        </is>
      </c>
      <c r="F65">
        <f>ROUND(INDEX('07_Reviews'!$E:$E,MATCH(D65,'07_Reviews'!$A:$A,0))/5*100,2)</f>
        <v/>
      </c>
      <c r="G65">
        <f>ROUND(F65*INDEX('01_Criteria'!$F:$F,MATCH(C65,'01_Criteria'!$A:$A,0))/100,2)</f>
        <v/>
      </c>
      <c r="H65" t="inlineStr">
        <is>
          <t>Traceable to REV_000064 -&gt; supporting Evidence -&gt; cited Source. RawScore/WeightedScore computed via the ADR-005 formula engine.</t>
        </is>
      </c>
    </row>
    <row r="66">
      <c r="A66" t="inlineStr">
        <is>
          <t>SCORE_000066</t>
        </is>
      </c>
      <c r="B66" t="inlineStr">
        <is>
          <t>SKODA_ELROQ_SELECTION_60</t>
        </is>
      </c>
      <c r="C66" t="inlineStr">
        <is>
          <t>W014</t>
        </is>
      </c>
      <c r="D66" t="inlineStr">
        <is>
          <t>REV_000065</t>
        </is>
      </c>
      <c r="E66" t="inlineStr">
        <is>
          <t>1.4</t>
        </is>
      </c>
      <c r="F66">
        <f>ROUND(INDEX('07_Reviews'!$E:$E,MATCH(D66,'07_Reviews'!$A:$A,0))/5*100,2)</f>
        <v/>
      </c>
      <c r="G66">
        <f>ROUND(F66*INDEX('01_Criteria'!$F:$F,MATCH(C66,'01_Criteria'!$A:$A,0))/100,2)</f>
        <v/>
      </c>
      <c r="H66" t="inlineStr">
        <is>
          <t>Traceable to REV_000065 -&gt; supporting Evidence -&gt; cited Source. RawScore/WeightedScore computed via the ADR-005 formula engine.</t>
        </is>
      </c>
    </row>
    <row r="67">
      <c r="A67" t="inlineStr">
        <is>
          <t>SCORE_000067</t>
        </is>
      </c>
      <c r="B67" t="inlineStr">
        <is>
          <t>SKODA_ELROQ_SELECTION_60</t>
        </is>
      </c>
      <c r="C67" t="inlineStr">
        <is>
          <t>W015</t>
        </is>
      </c>
      <c r="D67" t="inlineStr">
        <is>
          <t>REV_000066</t>
        </is>
      </c>
      <c r="E67" t="inlineStr">
        <is>
          <t>1.4</t>
        </is>
      </c>
      <c r="F67">
        <f>ROUND(INDEX('07_Reviews'!$E:$E,MATCH(D67,'07_Reviews'!$A:$A,0))/5*100,2)</f>
        <v/>
      </c>
      <c r="G67">
        <f>ROUND(F67*INDEX('01_Criteria'!$F:$F,MATCH(C67,'01_Criteria'!$A:$A,0))/100,2)</f>
        <v/>
      </c>
      <c r="H67" t="inlineStr">
        <is>
          <t>Traceable to REV_000066 -&gt; supporting Evidence -&gt; cited Source. RawScore/WeightedScore computed via the ADR-005 formula engine.</t>
        </is>
      </c>
    </row>
    <row r="68">
      <c r="A68" t="inlineStr">
        <is>
          <t>SCORE_000068</t>
        </is>
      </c>
      <c r="B68" t="inlineStr">
        <is>
          <t>VOLVO_EX30_P8_AWD</t>
        </is>
      </c>
      <c r="C68" t="inlineStr">
        <is>
          <t>W014</t>
        </is>
      </c>
      <c r="D68" t="inlineStr">
        <is>
          <t>REV_000067</t>
        </is>
      </c>
      <c r="E68" t="inlineStr">
        <is>
          <t>1.4</t>
        </is>
      </c>
      <c r="F68">
        <f>ROUND(INDEX('07_Reviews'!$E:$E,MATCH(D68,'07_Reviews'!$A:$A,0))/5*100,2)</f>
        <v/>
      </c>
      <c r="G68">
        <f>ROUND(F68*INDEX('01_Criteria'!$F:$F,MATCH(C68,'01_Criteria'!$A:$A,0))/100,2)</f>
        <v/>
      </c>
      <c r="H68" t="inlineStr">
        <is>
          <t>Traceable to REV_000067 -&gt; supporting Evidence -&gt; cited Source. RawScore/WeightedScore computed via the ADR-005 formula engine.</t>
        </is>
      </c>
    </row>
    <row r="69">
      <c r="A69" t="inlineStr">
        <is>
          <t>SCORE_000069</t>
        </is>
      </c>
      <c r="B69" t="inlineStr">
        <is>
          <t>VOLVO_EX30_P8_AWD</t>
        </is>
      </c>
      <c r="C69" t="inlineStr">
        <is>
          <t>W015</t>
        </is>
      </c>
      <c r="D69" t="inlineStr">
        <is>
          <t>REV_000068</t>
        </is>
      </c>
      <c r="E69" t="inlineStr">
        <is>
          <t>1.4</t>
        </is>
      </c>
      <c r="F69">
        <f>ROUND(INDEX('07_Reviews'!$E:$E,MATCH(D69,'07_Reviews'!$A:$A,0))/5*100,2)</f>
        <v/>
      </c>
      <c r="G69">
        <f>ROUND(F69*INDEX('01_Criteria'!$F:$F,MATCH(C69,'01_Criteria'!$A:$A,0))/100,2)</f>
        <v/>
      </c>
      <c r="H69" t="inlineStr">
        <is>
          <t>Traceable to REV_000068 -&gt; supporting Evidence -&gt; cited Source. RawScore/WeightedScore computed via the ADR-005 formula engine.</t>
        </is>
      </c>
    </row>
    <row r="70">
      <c r="A70" t="inlineStr">
        <is>
          <t>SCORE_000070</t>
        </is>
      </c>
      <c r="B70" t="inlineStr">
        <is>
          <t>KIA_EV2_FWD_LONG_RANGE_GT_LINE</t>
        </is>
      </c>
      <c r="C70" t="inlineStr">
        <is>
          <t>W014</t>
        </is>
      </c>
      <c r="D70" t="inlineStr">
        <is>
          <t>REV_000069</t>
        </is>
      </c>
      <c r="E70" t="inlineStr">
        <is>
          <t>1.4</t>
        </is>
      </c>
      <c r="F70">
        <f>ROUND(INDEX('07_Reviews'!$E:$E,MATCH(D70,'07_Reviews'!$A:$A,0))/5*100,2)</f>
        <v/>
      </c>
      <c r="G70">
        <f>ROUND(F70*INDEX('01_Criteria'!$F:$F,MATCH(C70,'01_Criteria'!$A:$A,0))/100,2)</f>
        <v/>
      </c>
      <c r="H70" t="inlineStr">
        <is>
          <t>Traceable to REV_000069 -&gt; supporting Evidence -&gt; cited Source. RawScore/WeightedScore computed via the ADR-005 formula engine.</t>
        </is>
      </c>
    </row>
    <row r="71">
      <c r="A71" t="inlineStr">
        <is>
          <t>SCORE_000071</t>
        </is>
      </c>
      <c r="B71" t="inlineStr">
        <is>
          <t>KIA_EV2_FWD_LONG_RANGE_GT_LINE</t>
        </is>
      </c>
      <c r="C71" t="inlineStr">
        <is>
          <t>W015</t>
        </is>
      </c>
      <c r="D71" t="inlineStr">
        <is>
          <t>REV_000070</t>
        </is>
      </c>
      <c r="E71" t="inlineStr">
        <is>
          <t>1.4</t>
        </is>
      </c>
      <c r="F71">
        <f>ROUND(INDEX('07_Reviews'!$E:$E,MATCH(D71,'07_Reviews'!$A:$A,0))/5*100,2)</f>
        <v/>
      </c>
      <c r="G71">
        <f>ROUND(F71*INDEX('01_Criteria'!$F:$F,MATCH(C71,'01_Criteria'!$A:$A,0))/100,2)</f>
        <v/>
      </c>
      <c r="H71" t="inlineStr">
        <is>
          <t>Traceable to REV_000070 -&gt; supporting Evidence -&gt; cited Source. RawScore/WeightedScore computed via the ADR-005 formula engine.</t>
        </is>
      </c>
    </row>
    <row r="72">
      <c r="A72" t="inlineStr">
        <is>
          <t>SCORE_000072</t>
        </is>
      </c>
      <c r="B72" t="inlineStr">
        <is>
          <t>TESLA_MODEL_3_LONG_RANGE_RWD</t>
        </is>
      </c>
      <c r="C72" t="inlineStr">
        <is>
          <t>W016</t>
        </is>
      </c>
      <c r="D72" t="inlineStr">
        <is>
          <t>REV_000071</t>
        </is>
      </c>
      <c r="E72" t="inlineStr">
        <is>
          <t>1.4</t>
        </is>
      </c>
      <c r="F72">
        <f>ROUND(INDEX('07_Reviews'!$E:$E,MATCH(D72,'07_Reviews'!$A:$A,0))/5*100,2)</f>
        <v/>
      </c>
      <c r="G72">
        <f>ROUND(F72*INDEX('01_Criteria'!$F:$F,MATCH(C72,'01_Criteria'!$A:$A,0))/100,2)</f>
        <v/>
      </c>
      <c r="H72" t="inlineStr">
        <is>
          <t>Traceable to REV_000071 -&gt; supporting Evidence -&gt; cited Source. RawScore/WeightedScore computed via the ADR-005 formula engine.</t>
        </is>
      </c>
    </row>
    <row r="73">
      <c r="A73" t="inlineStr">
        <is>
          <t>SCORE_000073</t>
        </is>
      </c>
      <c r="B73" t="inlineStr">
        <is>
          <t>RENAULT_4_TECHNO</t>
        </is>
      </c>
      <c r="C73" t="inlineStr">
        <is>
          <t>W016</t>
        </is>
      </c>
      <c r="D73" t="inlineStr">
        <is>
          <t>REV_000072</t>
        </is>
      </c>
      <c r="E73" t="inlineStr">
        <is>
          <t>1.4</t>
        </is>
      </c>
      <c r="F73">
        <f>ROUND(INDEX('07_Reviews'!$E:$E,MATCH(D73,'07_Reviews'!$A:$A,0))/5*100,2)</f>
        <v/>
      </c>
      <c r="G73">
        <f>ROUND(F73*INDEX('01_Criteria'!$F:$F,MATCH(C73,'01_Criteria'!$A:$A,0))/100,2)</f>
        <v/>
      </c>
      <c r="H73" t="inlineStr">
        <is>
          <t>Traceable to REV_000072 -&gt; supporting Evidence -&gt; cited Source. RawScore/WeightedScore computed via the ADR-005 formula engine.</t>
        </is>
      </c>
    </row>
    <row r="74">
      <c r="A74" t="inlineStr">
        <is>
          <t>SCORE_000074</t>
        </is>
      </c>
      <c r="B74" t="inlineStr">
        <is>
          <t>SKODA_ELROQ_SELECTION_60</t>
        </is>
      </c>
      <c r="C74" t="inlineStr">
        <is>
          <t>W016</t>
        </is>
      </c>
      <c r="D74" t="inlineStr">
        <is>
          <t>REV_000073</t>
        </is>
      </c>
      <c r="E74" t="inlineStr">
        <is>
          <t>1.4</t>
        </is>
      </c>
      <c r="F74">
        <f>ROUND(INDEX('07_Reviews'!$E:$E,MATCH(D74,'07_Reviews'!$A:$A,0))/5*100,2)</f>
        <v/>
      </c>
      <c r="G74">
        <f>ROUND(F74*INDEX('01_Criteria'!$F:$F,MATCH(C74,'01_Criteria'!$A:$A,0))/100,2)</f>
        <v/>
      </c>
      <c r="H74" t="inlineStr">
        <is>
          <t>Traceable to REV_000073 -&gt; supporting Evidence -&gt; cited Source. RawScore/WeightedScore computed via the ADR-005 formula engine.</t>
        </is>
      </c>
    </row>
    <row r="75">
      <c r="A75" t="inlineStr">
        <is>
          <t>SCORE_000075</t>
        </is>
      </c>
      <c r="B75" t="inlineStr">
        <is>
          <t>VOLVO_EX30_P8_AWD</t>
        </is>
      </c>
      <c r="C75" t="inlineStr">
        <is>
          <t>W016</t>
        </is>
      </c>
      <c r="D75" t="inlineStr">
        <is>
          <t>REV_000074</t>
        </is>
      </c>
      <c r="E75" t="inlineStr">
        <is>
          <t>1.4</t>
        </is>
      </c>
      <c r="F75">
        <f>ROUND(INDEX('07_Reviews'!$E:$E,MATCH(D75,'07_Reviews'!$A:$A,0))/5*100,2)</f>
        <v/>
      </c>
      <c r="G75">
        <f>ROUND(F75*INDEX('01_Criteria'!$F:$F,MATCH(C75,'01_Criteria'!$A:$A,0))/100,2)</f>
        <v/>
      </c>
      <c r="H75" t="inlineStr">
        <is>
          <t>Traceable to REV_000074 -&gt; supporting Evidence -&gt; cited Source. RawScore/WeightedScore computed via the ADR-005 formula engine.</t>
        </is>
      </c>
    </row>
    <row r="76">
      <c r="A76" t="inlineStr">
        <is>
          <t>SCORE_000076</t>
        </is>
      </c>
      <c r="B76" t="inlineStr">
        <is>
          <t>KIA_EV2_FWD_LONG_RANGE_GT_LINE</t>
        </is>
      </c>
      <c r="C76" t="inlineStr">
        <is>
          <t>W016</t>
        </is>
      </c>
      <c r="D76" t="inlineStr">
        <is>
          <t>REV_000075</t>
        </is>
      </c>
      <c r="E76" t="inlineStr">
        <is>
          <t>1.4</t>
        </is>
      </c>
      <c r="F76">
        <f>ROUND(INDEX('07_Reviews'!$E:$E,MATCH(D76,'07_Reviews'!$A:$A,0))/5*100,2)</f>
        <v/>
      </c>
      <c r="G76">
        <f>ROUND(F76*INDEX('01_Criteria'!$F:$F,MATCH(C76,'01_Criteria'!$A:$A,0))/100,2)</f>
        <v/>
      </c>
      <c r="H76" t="inlineStr">
        <is>
          <t>Traceable to REV_000075 -&gt; supporting Evidence -&gt; cited Source. RawScore/WeightedScore computed via the ADR-005 formula engine.</t>
        </is>
      </c>
    </row>
    <row r="77">
      <c r="A77" t="inlineStr">
        <is>
          <t>SCORE_000077</t>
        </is>
      </c>
      <c r="B77" t="inlineStr">
        <is>
          <t>TESLA_MODEL_3_LONG_RANGE_RWD</t>
        </is>
      </c>
      <c r="C77" t="inlineStr">
        <is>
          <t>W010</t>
        </is>
      </c>
      <c r="D77" t="inlineStr">
        <is>
          <t>REV_000076</t>
        </is>
      </c>
      <c r="E77" t="inlineStr">
        <is>
          <t>1.4</t>
        </is>
      </c>
      <c r="F77">
        <f>ROUND(INDEX('07_Reviews'!$E:$E,MATCH(D77,'07_Reviews'!$A:$A,0))/5*100,2)</f>
        <v/>
      </c>
      <c r="G77">
        <f>ROUND(F77*INDEX('01_Criteria'!$F:$F,MATCH(C77,'01_Criteria'!$A:$A,0))/100,2)</f>
        <v/>
      </c>
      <c r="H77" t="inlineStr">
        <is>
          <t>Traceable to REV_000076 -&gt; supporting Evidence -&gt; cited Source. RawScore/WeightedScore computed via the ADR-005 formula engine.</t>
        </is>
      </c>
    </row>
    <row r="78">
      <c r="A78" t="inlineStr">
        <is>
          <t>SCORE_000078</t>
        </is>
      </c>
      <c r="B78" t="inlineStr">
        <is>
          <t>TESLA_MODEL_3_LONG_RANGE_RWD</t>
        </is>
      </c>
      <c r="C78" t="inlineStr">
        <is>
          <t>W011</t>
        </is>
      </c>
      <c r="D78" t="inlineStr">
        <is>
          <t>REV_000077</t>
        </is>
      </c>
      <c r="E78" t="inlineStr">
        <is>
          <t>1.4</t>
        </is>
      </c>
      <c r="F78">
        <f>ROUND(INDEX('07_Reviews'!$E:$E,MATCH(D78,'07_Reviews'!$A:$A,0))/5*100,2)</f>
        <v/>
      </c>
      <c r="G78">
        <f>ROUND(F78*INDEX('01_Criteria'!$F:$F,MATCH(C78,'01_Criteria'!$A:$A,0))/100,2)</f>
        <v/>
      </c>
      <c r="H78" t="inlineStr">
        <is>
          <t>Traceable to REV_000077 -&gt; supporting Evidence -&gt; cited Source. RawScore/WeightedScore computed via the ADR-005 formula engine.</t>
        </is>
      </c>
    </row>
    <row r="79">
      <c r="A79" t="inlineStr">
        <is>
          <t>SCORE_000079</t>
        </is>
      </c>
      <c r="B79" t="inlineStr">
        <is>
          <t>TESLA_MODEL_3_LONG_RANGE_RWD</t>
        </is>
      </c>
      <c r="C79" t="inlineStr">
        <is>
          <t>W012</t>
        </is>
      </c>
      <c r="D79" t="inlineStr">
        <is>
          <t>REV_000078</t>
        </is>
      </c>
      <c r="E79" t="inlineStr">
        <is>
          <t>1.4</t>
        </is>
      </c>
      <c r="F79">
        <f>ROUND(INDEX('07_Reviews'!$E:$E,MATCH(D79,'07_Reviews'!$A:$A,0))/5*100,2)</f>
        <v/>
      </c>
      <c r="G79">
        <f>ROUND(F79*INDEX('01_Criteria'!$F:$F,MATCH(C79,'01_Criteria'!$A:$A,0))/100,2)</f>
        <v/>
      </c>
      <c r="H79" t="inlineStr">
        <is>
          <t>Traceable to REV_000078 -&gt; supporting Evidence -&gt; cited Source. RawScore/WeightedScore computed via the ADR-005 formula engine.</t>
        </is>
      </c>
    </row>
    <row r="80">
      <c r="A80" t="inlineStr">
        <is>
          <t>SCORE_000080</t>
        </is>
      </c>
      <c r="B80" t="inlineStr">
        <is>
          <t>TESLA_MODEL_3_LONG_RANGE_RWD</t>
        </is>
      </c>
      <c r="C80" t="inlineStr">
        <is>
          <t>W013</t>
        </is>
      </c>
      <c r="D80" t="inlineStr">
        <is>
          <t>REV_000079</t>
        </is>
      </c>
      <c r="E80" t="inlineStr">
        <is>
          <t>1.4</t>
        </is>
      </c>
      <c r="F80">
        <f>ROUND(INDEX('07_Reviews'!$E:$E,MATCH(D80,'07_Reviews'!$A:$A,0))/5*100,2)</f>
        <v/>
      </c>
      <c r="G80">
        <f>ROUND(F80*INDEX('01_Criteria'!$F:$F,MATCH(C80,'01_Criteria'!$A:$A,0))/100,2)</f>
        <v/>
      </c>
      <c r="H80" t="inlineStr">
        <is>
          <t>Traceable to REV_000079 -&gt; supporting Evidence -&gt; cited Source. RawScore/WeightedScore computed via the ADR-005 formula engine.</t>
        </is>
      </c>
    </row>
    <row r="81">
      <c r="A81" t="inlineStr">
        <is>
          <t>SCORE_000081</t>
        </is>
      </c>
      <c r="B81" t="inlineStr">
        <is>
          <t>RENAULT_4_TECHNO</t>
        </is>
      </c>
      <c r="C81" t="inlineStr">
        <is>
          <t>W010</t>
        </is>
      </c>
      <c r="D81" t="inlineStr">
        <is>
          <t>REV_000080</t>
        </is>
      </c>
      <c r="E81" t="inlineStr">
        <is>
          <t>1.4</t>
        </is>
      </c>
      <c r="F81">
        <f>ROUND(INDEX('07_Reviews'!$E:$E,MATCH(D81,'07_Reviews'!$A:$A,0))/5*100,2)</f>
        <v/>
      </c>
      <c r="G81">
        <f>ROUND(F81*INDEX('01_Criteria'!$F:$F,MATCH(C81,'01_Criteria'!$A:$A,0))/100,2)</f>
        <v/>
      </c>
      <c r="H81" t="inlineStr">
        <is>
          <t>Traceable to REV_000080 -&gt; supporting Evidence -&gt; cited Source. RawScore/WeightedScore computed via the ADR-005 formula engine.</t>
        </is>
      </c>
    </row>
    <row r="82">
      <c r="A82" t="inlineStr">
        <is>
          <t>SCORE_000082</t>
        </is>
      </c>
      <c r="B82" t="inlineStr">
        <is>
          <t>RENAULT_4_TECHNO</t>
        </is>
      </c>
      <c r="C82" t="inlineStr">
        <is>
          <t>W011</t>
        </is>
      </c>
      <c r="D82" t="inlineStr">
        <is>
          <t>REV_000081</t>
        </is>
      </c>
      <c r="E82" t="inlineStr">
        <is>
          <t>1.4</t>
        </is>
      </c>
      <c r="F82">
        <f>ROUND(INDEX('07_Reviews'!$E:$E,MATCH(D82,'07_Reviews'!$A:$A,0))/5*100,2)</f>
        <v/>
      </c>
      <c r="G82">
        <f>ROUND(F82*INDEX('01_Criteria'!$F:$F,MATCH(C82,'01_Criteria'!$A:$A,0))/100,2)</f>
        <v/>
      </c>
      <c r="H82" t="inlineStr">
        <is>
          <t>Traceable to REV_000081 -&gt; supporting Evidence -&gt; cited Source. RawScore/WeightedScore computed via the ADR-005 formula engine.</t>
        </is>
      </c>
    </row>
    <row r="83">
      <c r="A83" t="inlineStr">
        <is>
          <t>SCORE_000083</t>
        </is>
      </c>
      <c r="B83" t="inlineStr">
        <is>
          <t>RENAULT_4_TECHNO</t>
        </is>
      </c>
      <c r="C83" t="inlineStr">
        <is>
          <t>W012</t>
        </is>
      </c>
      <c r="D83" t="inlineStr">
        <is>
          <t>REV_000082</t>
        </is>
      </c>
      <c r="E83" t="inlineStr">
        <is>
          <t>1.4</t>
        </is>
      </c>
      <c r="F83">
        <f>ROUND(INDEX('07_Reviews'!$E:$E,MATCH(D83,'07_Reviews'!$A:$A,0))/5*100,2)</f>
        <v/>
      </c>
      <c r="G83">
        <f>ROUND(F83*INDEX('01_Criteria'!$F:$F,MATCH(C83,'01_Criteria'!$A:$A,0))/100,2)</f>
        <v/>
      </c>
      <c r="H83" t="inlineStr">
        <is>
          <t>Traceable to REV_000082 -&gt; supporting Evidence -&gt; cited Source. RawScore/WeightedScore computed via the ADR-005 formula engine.</t>
        </is>
      </c>
    </row>
    <row r="84">
      <c r="A84" t="inlineStr">
        <is>
          <t>SCORE_000084</t>
        </is>
      </c>
      <c r="B84" t="inlineStr">
        <is>
          <t>RENAULT_4_TECHNO</t>
        </is>
      </c>
      <c r="C84" t="inlineStr">
        <is>
          <t>W013</t>
        </is>
      </c>
      <c r="D84" t="inlineStr">
        <is>
          <t>REV_000083</t>
        </is>
      </c>
      <c r="E84" t="inlineStr">
        <is>
          <t>1.4</t>
        </is>
      </c>
      <c r="F84">
        <f>ROUND(INDEX('07_Reviews'!$E:$E,MATCH(D84,'07_Reviews'!$A:$A,0))/5*100,2)</f>
        <v/>
      </c>
      <c r="G84">
        <f>ROUND(F84*INDEX('01_Criteria'!$F:$F,MATCH(C84,'01_Criteria'!$A:$A,0))/100,2)</f>
        <v/>
      </c>
      <c r="H84" t="inlineStr">
        <is>
          <t>Traceable to REV_000083 -&gt; supporting Evidence -&gt; cited Source. RawScore/WeightedScore computed via the ADR-005 formula engine.</t>
        </is>
      </c>
    </row>
    <row r="85">
      <c r="A85" t="inlineStr">
        <is>
          <t>SCORE_000085</t>
        </is>
      </c>
      <c r="B85" t="inlineStr">
        <is>
          <t>SKODA_ELROQ_SELECTION_60</t>
        </is>
      </c>
      <c r="C85" t="inlineStr">
        <is>
          <t>W010</t>
        </is>
      </c>
      <c r="D85" t="inlineStr">
        <is>
          <t>REV_000084</t>
        </is>
      </c>
      <c r="E85" t="inlineStr">
        <is>
          <t>1.4</t>
        </is>
      </c>
      <c r="F85">
        <f>ROUND(INDEX('07_Reviews'!$E:$E,MATCH(D85,'07_Reviews'!$A:$A,0))/5*100,2)</f>
        <v/>
      </c>
      <c r="G85">
        <f>ROUND(F85*INDEX('01_Criteria'!$F:$F,MATCH(C85,'01_Criteria'!$A:$A,0))/100,2)</f>
        <v/>
      </c>
      <c r="H85" t="inlineStr">
        <is>
          <t>Traceable to REV_000084 -&gt; supporting Evidence -&gt; cited Source. RawScore/WeightedScore computed via the ADR-005 formula engine.</t>
        </is>
      </c>
    </row>
    <row r="86">
      <c r="A86" t="inlineStr">
        <is>
          <t>SCORE_000086</t>
        </is>
      </c>
      <c r="B86" t="inlineStr">
        <is>
          <t>SKODA_ELROQ_SELECTION_60</t>
        </is>
      </c>
      <c r="C86" t="inlineStr">
        <is>
          <t>W011</t>
        </is>
      </c>
      <c r="D86" t="inlineStr">
        <is>
          <t>REV_000085</t>
        </is>
      </c>
      <c r="E86" t="inlineStr">
        <is>
          <t>1.4</t>
        </is>
      </c>
      <c r="F86">
        <f>ROUND(INDEX('07_Reviews'!$E:$E,MATCH(D86,'07_Reviews'!$A:$A,0))/5*100,2)</f>
        <v/>
      </c>
      <c r="G86">
        <f>ROUND(F86*INDEX('01_Criteria'!$F:$F,MATCH(C86,'01_Criteria'!$A:$A,0))/100,2)</f>
        <v/>
      </c>
      <c r="H86" t="inlineStr">
        <is>
          <t>Traceable to REV_000085 -&gt; supporting Evidence -&gt; cited Source. RawScore/WeightedScore computed via the ADR-005 formula engine.</t>
        </is>
      </c>
    </row>
    <row r="87">
      <c r="A87" t="inlineStr">
        <is>
          <t>SCORE_000087</t>
        </is>
      </c>
      <c r="B87" t="inlineStr">
        <is>
          <t>SKODA_ELROQ_SELECTION_60</t>
        </is>
      </c>
      <c r="C87" t="inlineStr">
        <is>
          <t>W012</t>
        </is>
      </c>
      <c r="D87" t="inlineStr">
        <is>
          <t>REV_000086</t>
        </is>
      </c>
      <c r="E87" t="inlineStr">
        <is>
          <t>1.4</t>
        </is>
      </c>
      <c r="F87">
        <f>ROUND(INDEX('07_Reviews'!$E:$E,MATCH(D87,'07_Reviews'!$A:$A,0))/5*100,2)</f>
        <v/>
      </c>
      <c r="G87">
        <f>ROUND(F87*INDEX('01_Criteria'!$F:$F,MATCH(C87,'01_Criteria'!$A:$A,0))/100,2)</f>
        <v/>
      </c>
      <c r="H87" t="inlineStr">
        <is>
          <t>Traceable to REV_000086 -&gt; supporting Evidence -&gt; cited Source. RawScore/WeightedScore computed via the ADR-005 formula engine.</t>
        </is>
      </c>
    </row>
    <row r="88">
      <c r="A88" t="inlineStr">
        <is>
          <t>SCORE_000088</t>
        </is>
      </c>
      <c r="B88" t="inlineStr">
        <is>
          <t>SKODA_ELROQ_SELECTION_60</t>
        </is>
      </c>
      <c r="C88" t="inlineStr">
        <is>
          <t>W013</t>
        </is>
      </c>
      <c r="D88" t="inlineStr">
        <is>
          <t>REV_000087</t>
        </is>
      </c>
      <c r="E88" t="inlineStr">
        <is>
          <t>1.4</t>
        </is>
      </c>
      <c r="F88">
        <f>ROUND(INDEX('07_Reviews'!$E:$E,MATCH(D88,'07_Reviews'!$A:$A,0))/5*100,2)</f>
        <v/>
      </c>
      <c r="G88">
        <f>ROUND(F88*INDEX('01_Criteria'!$F:$F,MATCH(C88,'01_Criteria'!$A:$A,0))/100,2)</f>
        <v/>
      </c>
      <c r="H88" t="inlineStr">
        <is>
          <t>Traceable to REV_000087 -&gt; supporting Evidence -&gt; cited Source. RawScore/WeightedScore computed via the ADR-005 formula engine.</t>
        </is>
      </c>
    </row>
    <row r="89">
      <c r="A89" t="inlineStr">
        <is>
          <t>SCORE_000089</t>
        </is>
      </c>
      <c r="B89" t="inlineStr">
        <is>
          <t>VOLVO_EX30_P8_AWD</t>
        </is>
      </c>
      <c r="C89" t="inlineStr">
        <is>
          <t>W010</t>
        </is>
      </c>
      <c r="D89" t="inlineStr">
        <is>
          <t>REV_000088</t>
        </is>
      </c>
      <c r="E89" t="inlineStr">
        <is>
          <t>1.4</t>
        </is>
      </c>
      <c r="F89">
        <f>ROUND(INDEX('07_Reviews'!$E:$E,MATCH(D89,'07_Reviews'!$A:$A,0))/5*100,2)</f>
        <v/>
      </c>
      <c r="G89">
        <f>ROUND(F89*INDEX('01_Criteria'!$F:$F,MATCH(C89,'01_Criteria'!$A:$A,0))/100,2)</f>
        <v/>
      </c>
      <c r="H89" t="inlineStr">
        <is>
          <t>Traceable to REV_000088 -&gt; supporting Evidence -&gt; cited Source. RawScore/WeightedScore computed via the ADR-005 formula engine.</t>
        </is>
      </c>
    </row>
    <row r="90">
      <c r="A90" t="inlineStr">
        <is>
          <t>SCORE_000090</t>
        </is>
      </c>
      <c r="B90" t="inlineStr">
        <is>
          <t>VOLVO_EX30_P8_AWD</t>
        </is>
      </c>
      <c r="C90" t="inlineStr">
        <is>
          <t>W011</t>
        </is>
      </c>
      <c r="D90" t="inlineStr">
        <is>
          <t>REV_000089</t>
        </is>
      </c>
      <c r="E90" t="inlineStr">
        <is>
          <t>1.4</t>
        </is>
      </c>
      <c r="F90">
        <f>ROUND(INDEX('07_Reviews'!$E:$E,MATCH(D90,'07_Reviews'!$A:$A,0))/5*100,2)</f>
        <v/>
      </c>
      <c r="G90">
        <f>ROUND(F90*INDEX('01_Criteria'!$F:$F,MATCH(C90,'01_Criteria'!$A:$A,0))/100,2)</f>
        <v/>
      </c>
      <c r="H90" t="inlineStr">
        <is>
          <t>Traceable to REV_000089 -&gt; supporting Evidence -&gt; cited Source. RawScore/WeightedScore computed via the ADR-005 formula engine.</t>
        </is>
      </c>
    </row>
    <row r="91">
      <c r="A91" t="inlineStr">
        <is>
          <t>SCORE_000091</t>
        </is>
      </c>
      <c r="B91" t="inlineStr">
        <is>
          <t>VOLVO_EX30_P8_AWD</t>
        </is>
      </c>
      <c r="C91" t="inlineStr">
        <is>
          <t>W012</t>
        </is>
      </c>
      <c r="D91" t="inlineStr">
        <is>
          <t>REV_000090</t>
        </is>
      </c>
      <c r="E91" t="inlineStr">
        <is>
          <t>1.4</t>
        </is>
      </c>
      <c r="F91">
        <f>ROUND(INDEX('07_Reviews'!$E:$E,MATCH(D91,'07_Reviews'!$A:$A,0))/5*100,2)</f>
        <v/>
      </c>
      <c r="G91">
        <f>ROUND(F91*INDEX('01_Criteria'!$F:$F,MATCH(C91,'01_Criteria'!$A:$A,0))/100,2)</f>
        <v/>
      </c>
      <c r="H91" t="inlineStr">
        <is>
          <t>Traceable to REV_000090 -&gt; supporting Evidence -&gt; cited Source. RawScore/WeightedScore computed via the ADR-005 formula engine.</t>
        </is>
      </c>
    </row>
    <row r="92">
      <c r="A92" t="inlineStr">
        <is>
          <t>SCORE_000092</t>
        </is>
      </c>
      <c r="B92" t="inlineStr">
        <is>
          <t>VOLVO_EX30_P8_AWD</t>
        </is>
      </c>
      <c r="C92" t="inlineStr">
        <is>
          <t>W013</t>
        </is>
      </c>
      <c r="D92" t="inlineStr">
        <is>
          <t>REV_000091</t>
        </is>
      </c>
      <c r="E92" t="inlineStr">
        <is>
          <t>1.4</t>
        </is>
      </c>
      <c r="F92">
        <f>ROUND(INDEX('07_Reviews'!$E:$E,MATCH(D92,'07_Reviews'!$A:$A,0))/5*100,2)</f>
        <v/>
      </c>
      <c r="G92">
        <f>ROUND(F92*INDEX('01_Criteria'!$F:$F,MATCH(C92,'01_Criteria'!$A:$A,0))/100,2)</f>
        <v/>
      </c>
      <c r="H92" t="inlineStr">
        <is>
          <t>Traceable to REV_000091 -&gt; supporting Evidence -&gt; cited Source. RawScore/WeightedScore computed via the ADR-005 formula engine.</t>
        </is>
      </c>
    </row>
    <row r="93">
      <c r="A93" t="inlineStr">
        <is>
          <t>SCORE_000093</t>
        </is>
      </c>
      <c r="B93" t="inlineStr">
        <is>
          <t>KIA_EV2_FWD_LONG_RANGE_GT_LINE</t>
        </is>
      </c>
      <c r="C93" t="inlineStr">
        <is>
          <t>W010</t>
        </is>
      </c>
      <c r="D93" t="inlineStr">
        <is>
          <t>REV_000092</t>
        </is>
      </c>
      <c r="E93" t="inlineStr">
        <is>
          <t>1.4</t>
        </is>
      </c>
      <c r="F93">
        <f>ROUND(INDEX('07_Reviews'!$E:$E,MATCH(D93,'07_Reviews'!$A:$A,0))/5*100,2)</f>
        <v/>
      </c>
      <c r="G93">
        <f>ROUND(F93*INDEX('01_Criteria'!$F:$F,MATCH(C93,'01_Criteria'!$A:$A,0))/100,2)</f>
        <v/>
      </c>
      <c r="H93" t="inlineStr">
        <is>
          <t>Traceable to REV_000092 -&gt; supporting Evidence -&gt; cited Source. RawScore/WeightedScore computed via the ADR-005 formula engine.</t>
        </is>
      </c>
    </row>
    <row r="94">
      <c r="A94" t="inlineStr">
        <is>
          <t>SCORE_000094</t>
        </is>
      </c>
      <c r="B94" t="inlineStr">
        <is>
          <t>KIA_EV2_FWD_LONG_RANGE_GT_LINE</t>
        </is>
      </c>
      <c r="C94" t="inlineStr">
        <is>
          <t>W011</t>
        </is>
      </c>
      <c r="D94" t="inlineStr">
        <is>
          <t>REV_000093</t>
        </is>
      </c>
      <c r="E94" t="inlineStr">
        <is>
          <t>1.4</t>
        </is>
      </c>
      <c r="F94">
        <f>ROUND(INDEX('07_Reviews'!$E:$E,MATCH(D94,'07_Reviews'!$A:$A,0))/5*100,2)</f>
        <v/>
      </c>
      <c r="G94">
        <f>ROUND(F94*INDEX('01_Criteria'!$F:$F,MATCH(C94,'01_Criteria'!$A:$A,0))/100,2)</f>
        <v/>
      </c>
      <c r="H94" t="inlineStr">
        <is>
          <t>Traceable to REV_000093 -&gt; supporting Evidence -&gt; cited Source. RawScore/WeightedScore computed via the ADR-005 formula engine.</t>
        </is>
      </c>
    </row>
    <row r="95">
      <c r="A95" t="inlineStr">
        <is>
          <t>SCORE_000095</t>
        </is>
      </c>
      <c r="B95" t="inlineStr">
        <is>
          <t>KIA_EV2_FWD_LONG_RANGE_GT_LINE</t>
        </is>
      </c>
      <c r="C95" t="inlineStr">
        <is>
          <t>W012</t>
        </is>
      </c>
      <c r="D95" t="inlineStr">
        <is>
          <t>REV_000094</t>
        </is>
      </c>
      <c r="E95" t="inlineStr">
        <is>
          <t>1.4</t>
        </is>
      </c>
      <c r="F95">
        <f>ROUND(INDEX('07_Reviews'!$E:$E,MATCH(D95,'07_Reviews'!$A:$A,0))/5*100,2)</f>
        <v/>
      </c>
      <c r="G95">
        <f>ROUND(F95*INDEX('01_Criteria'!$F:$F,MATCH(C95,'01_Criteria'!$A:$A,0))/100,2)</f>
        <v/>
      </c>
      <c r="H95" t="inlineStr">
        <is>
          <t>Traceable to REV_000094 -&gt; supporting Evidence -&gt; cited Source. RawScore/WeightedScore computed via the ADR-005 formula engine.</t>
        </is>
      </c>
    </row>
    <row r="96">
      <c r="A96" t="inlineStr">
        <is>
          <t>SCORE_000096</t>
        </is>
      </c>
      <c r="B96" t="inlineStr">
        <is>
          <t>KIA_EV2_FWD_LONG_RANGE_GT_LINE</t>
        </is>
      </c>
      <c r="C96" t="inlineStr">
        <is>
          <t>W013</t>
        </is>
      </c>
      <c r="D96" t="inlineStr">
        <is>
          <t>REV_000095</t>
        </is>
      </c>
      <c r="E96" t="inlineStr">
        <is>
          <t>1.4</t>
        </is>
      </c>
      <c r="F96">
        <f>ROUND(INDEX('07_Reviews'!$E:$E,MATCH(D96,'07_Reviews'!$A:$A,0))/5*100,2)</f>
        <v/>
      </c>
      <c r="G96">
        <f>ROUND(F96*INDEX('01_Criteria'!$F:$F,MATCH(C96,'01_Criteria'!$A:$A,0))/100,2)</f>
        <v/>
      </c>
      <c r="H96" t="inlineStr">
        <is>
          <t>Traceable to REV_000095 -&gt; supporting Evidence -&gt; cited Source. RawScore/WeightedScore computed via the ADR-005 formula engine.</t>
        </is>
      </c>
    </row>
  </sheetData>
  <autoFilter ref="A1:H1"/>
  <pageMargins left="0.7" right="0.7" top="0.75" bottom="0.75" header="0.3" footer="0.3"/>
</worksheet>
</file>

<file path=xl/worksheets/sheet12.xml><?xml version="1.0" encoding="utf-8"?>
<worksheet xmlns="http://schemas.openxmlformats.org/spreadsheetml/2006/main">
  <sheetPr>
    <outlinePr summaryBelow="1" summaryRight="1"/>
    <pageSetUpPr/>
  </sheetPr>
  <dimension ref="A1:G17"/>
  <sheetViews>
    <sheetView showGridLines="1" workbookViewId="0">
      <pane ySplit="1" topLeftCell="A2" activePane="bottomLeft" state="frozen"/>
      <selection pane="bottomLeft" activeCell="A2" sqref="A2"/>
    </sheetView>
  </sheetViews>
  <sheetFormatPr baseColWidth="8" defaultRowHeight="15"/>
  <cols>
    <col width="20" customWidth="1" min="1" max="1"/>
    <col width="16" customWidth="1" min="2" max="2"/>
    <col width="20" customWidth="1" min="3" max="3"/>
    <col width="50" customWidth="1" min="4" max="4"/>
    <col width="60" customWidth="1" min="5" max="5"/>
    <col width="24" customWidth="1" min="6" max="6"/>
    <col width="60" customWidth="1" min="7" max="7"/>
  </cols>
  <sheetData>
    <row r="1" ht="22" customHeight="1">
      <c r="A1" s="1" t="inlineStr">
        <is>
          <t>DecisionID</t>
        </is>
      </c>
      <c r="B1" s="1" t="inlineStr">
        <is>
          <t>Date</t>
        </is>
      </c>
      <c r="C1" s="1" t="inlineStr">
        <is>
          <t>FrameworkVersion</t>
        </is>
      </c>
      <c r="D1" s="1" t="inlineStr">
        <is>
          <t>Change</t>
        </is>
      </c>
      <c r="E1" s="1" t="inlineStr">
        <is>
          <t>Reason</t>
        </is>
      </c>
      <c r="F1" s="1" t="inlineStr">
        <is>
          <t>DecisionOwner</t>
        </is>
      </c>
      <c r="G1" s="1" t="inlineStr">
        <is>
          <t>Notes</t>
        </is>
      </c>
    </row>
    <row r="2">
      <c r="B2" t="inlineStr">
        <is>
          <t>2026-07-04</t>
        </is>
      </c>
      <c r="C2" t="inlineStr">
        <is>
          <t>0.2</t>
        </is>
      </c>
      <c r="D2" t="inlineStr">
        <is>
          <t>Initial analysis-system workbook structure</t>
        </is>
      </c>
      <c r="E2" t="inlineStr">
        <is>
          <t>Built robust template with criteria, equipment definitions, evidence and scoring tabs</t>
        </is>
      </c>
      <c r="F2" t="inlineStr">
        <is>
          <t>Bjørn/ChatGPT</t>
        </is>
      </c>
    </row>
    <row r="3">
      <c r="A3" t="inlineStr">
        <is>
          <t>DEC_ISSUE_001</t>
        </is>
      </c>
      <c r="B3" t="inlineStr">
        <is>
          <t>2026-07-06</t>
        </is>
      </c>
      <c r="C3" t="inlineStr">
        <is>
          <t>1.0</t>
        </is>
      </c>
      <c r="D3" t="inlineStr">
        <is>
          <t>Synchronized workbook structure with Framework Version 1.0</t>
        </is>
      </c>
      <c r="E3" t="inlineStr">
        <is>
          <t>Issue #1 workbook schema sync</t>
        </is>
      </c>
      <c r="F3" t="inlineStr">
        <is>
          <t>Codex</t>
        </is>
      </c>
    </row>
    <row r="4">
      <c r="A4" t="inlineStr">
        <is>
          <t>DEC_IMPL_002</t>
        </is>
      </c>
      <c r="B4" t="inlineStr">
        <is>
          <t>2026-07-06</t>
        </is>
      </c>
      <c r="C4" t="inlineStr">
        <is>
          <t>1.2</t>
        </is>
      </c>
      <c r="D4" t="inlineStr">
        <is>
          <t>Implemented Configuration Status (ADR-004 / IMPL-002)</t>
        </is>
      </c>
      <c r="E4" t="inlineStr">
        <is>
          <t>Closed the gap between the documented Configuration Status enumeration and the workbook schema; added Status column to 03_Configurations</t>
        </is>
      </c>
      <c r="F4" t="inlineStr">
        <is>
          <t>Claude</t>
        </is>
      </c>
      <c r="G4" t="inlineStr">
        <is>
          <t>Populated existing Tesla Model 3 configurations as AVAILABLE, backed by the Tesla Norway configurator source already cited in their Notes.</t>
        </is>
      </c>
    </row>
    <row r="5">
      <c r="A5" t="inlineStr">
        <is>
          <t>DEC_GAP_E_001</t>
        </is>
      </c>
      <c r="B5" t="inlineStr">
        <is>
          <t>2026-07-06</t>
        </is>
      </c>
      <c r="C5" t="inlineStr">
        <is>
          <t>1.2</t>
        </is>
      </c>
      <c r="D5" t="inlineStr">
        <is>
          <t>Reconciled Garasje category in docs/02_criteria-and-weighting.md</t>
        </is>
      </c>
      <c r="E5" t="inlineStr">
        <is>
          <t>The vertical-slice review found 01_Criteria already contains a live, weighted "Garasje" category (W019, weight 3) that docs/02 did not document as its own category - only as a sub-example under Practicality. Documentation-only fix; no weights or 01_Criteria data changed.</t>
        </is>
      </c>
      <c r="F5" t="inlineStr">
        <is>
          <t>Claude</t>
        </is>
      </c>
      <c r="G5" t="inlineStr">
        <is>
          <t>Gap E from the post-vertical-slice architecture review. No ADR required (descriptive reconciliation of already-live data, not a methodology change).</t>
        </is>
      </c>
    </row>
    <row r="6">
      <c r="A6" t="inlineStr">
        <is>
          <t>DEC_ADR_006</t>
        </is>
      </c>
      <c r="B6" t="inlineStr">
        <is>
          <t>2026-07-06</t>
        </is>
      </c>
      <c r="C6" t="inlineStr">
        <is>
          <t>1.3</t>
        </is>
      </c>
      <c r="D6" t="inlineStr">
        <is>
          <t>Implemented ADR-006 (Evidence Schema Reconciliation)</t>
        </is>
      </c>
      <c r="E6" t="inlineStr">
        <is>
          <t>08_Evidence diverged from documented schema (Claim/Evidence split, unused ReviewID column violating the documented one-way Review-&gt;Evidence flow). Reconciled to the documented Observation column; ReviewID column removed.</t>
        </is>
      </c>
      <c r="F6" t="inlineStr">
        <is>
          <t>Claude</t>
        </is>
      </c>
      <c r="G6" t="inlineStr">
        <is>
          <t>Migrated 10 existing Evidence records from the vertical slice to the merged Observation format. Ratified comma-separated EvidenceID on 07_Reviews as the 1:N representation.</t>
        </is>
      </c>
    </row>
    <row r="7">
      <c r="A7" t="inlineStr">
        <is>
          <t>DEC_ADR_005</t>
        </is>
      </c>
      <c r="B7" t="inlineStr">
        <is>
          <t>2026-07-06</t>
        </is>
      </c>
      <c r="C7" t="inlineStr">
        <is>
          <t>1.4</t>
        </is>
      </c>
      <c r="D7" t="inlineStr">
        <is>
          <t>Implemented ADR-005 (Scoring Mechanics)</t>
        </is>
      </c>
      <c r="E7" t="inlineStr">
        <is>
          <t>No documented numeric scale, no calculation engine, and no Overall Score entity/worksheet existed despite implementation-contract.md requiring calculated Overall Scores. Ratified 1-5 Review.Score scale and rounding rule; converted 10_Scoring RawScore/WeightedScore to formulas; added 12_OverallScores with mandatory CoveragePercent.</t>
        </is>
      </c>
      <c r="F7" t="inlineStr">
        <is>
          <t>Claude</t>
        </is>
      </c>
      <c r="G7" t="inlineStr">
        <is>
          <t>Regression-checked: the 7 existing vertical-slice Score rows reproduce the known values (25.4 total WeightedScore, 37% coverage) under the new formulas.</t>
        </is>
      </c>
    </row>
    <row r="8">
      <c r="A8" t="inlineStr">
        <is>
          <t>DEC_DATA_003</t>
        </is>
      </c>
      <c r="B8" t="inlineStr">
        <is>
          <t>2026-07-06</t>
        </is>
      </c>
      <c r="C8" t="inlineStr">
        <is>
          <t>1.4</t>
        </is>
      </c>
      <c r="D8" t="inlineStr">
        <is>
          <t>Added second Vehicle (Renault 4 E-Tech Electric) end-to-end through the full pipeline</t>
        </is>
      </c>
      <c r="E8" t="inlineStr">
        <is>
          <t>Stress-test of the fixed Evidence/Scoring pipeline (ADR-005, ADR-006) with an independently-researched vehicle. Added Vehicle, all 6 real Norwegian-market Configurations, Technical facts, Evidence, Reviews and Scores for RENAULT_4_TECHNO.</t>
        </is>
      </c>
      <c r="F8" t="inlineStr">
        <is>
          <t>Claude</t>
        </is>
      </c>
      <c r="G8" t="inlineStr">
        <is>
          <t>Evolution trims (both battery variants) confirmed to fail Hard Requirement M004 (no adaptive cruise control) via the official price list - recorded as real Configurations but deliberately not scored. RENAULT_4_TECHNO scored: 27.8 weighted points, 37% coverage (same 7 criteria as the Tesla Model 3 Long Range RWD slice, for comparability). A genuine source disagreement on ride comfort (Motor.no vs RAC Drive) was documented rather than resolved.</t>
        </is>
      </c>
    </row>
    <row r="9">
      <c r="A9" t="inlineStr">
        <is>
          <t>DEC_DATA_004</t>
        </is>
      </c>
      <c r="B9" t="inlineStr">
        <is>
          <t>2026-07-06</t>
        </is>
      </c>
      <c r="C9" t="inlineStr">
        <is>
          <t>1.4</t>
        </is>
      </c>
      <c r="D9" t="inlineStr">
        <is>
          <t>Added Skoda Elroq and Volvo EX30 end-to-end for cross-vehicle comparison</t>
        </is>
      </c>
      <c r="E9" t="inlineStr">
        <is>
          <t>Extended the thin-slice comparison (same 7 criteria) to Skoda Elroq (Selection 60) and Volvo EX30 (P8 AWD), alongside existing Tesla Model 3 (Long Range RWD) and Renault 4 (Techno) data. All 4 real Norway configurations added per vehicle where applicable (Skoda: 4, Volvo: 3), full Technical facts, Evidence, Reviews, Scores and OverallScores for one representative configuration each.</t>
        </is>
      </c>
      <c r="F9" t="inlineStr">
        <is>
          <t>Claude</t>
        </is>
      </c>
      <c r="G9" t="inlineStr">
        <is>
          <t>Skoda Elroq length (4488mm) passes the 4500mm hard requirement by only 12mm - flagged as a near-miss. A second genuine cross-source disagreement was documented (Motor.no vs What Car? on Elroq road noise), mirroring the Renault comfort discrepancy. Volvo EX30 representative configuration (P8 AWD) was chosen because it matches what Motor.no actually tested, not for cross-vehicle class parity - noted as an asymmetry versus the other 3 vehicles picks (mid-tier RWD/long-range).</t>
        </is>
      </c>
    </row>
    <row r="10">
      <c r="A10" t="inlineStr">
        <is>
          <t>DEC_DATA_005</t>
        </is>
      </c>
      <c r="B10" t="inlineStr">
        <is>
          <t>2026-07-06</t>
        </is>
      </c>
      <c r="C10" t="inlineStr">
        <is>
          <t>1.4</t>
        </is>
      </c>
      <c r="D10" t="inlineStr">
        <is>
          <t>Populated 05_Equipment using the existing 06_EquipmentDefinitions catalog</t>
        </is>
      </c>
      <c r="E10" t="inlineStr">
        <is>
          <t>06_EquipmentDefinitions was already fully authored (20 definitions) - not empty as previously assumed. Mapped 05_Equipment availability to 3 existing definitions (EQ_ACC, EQ_REAR_CAMERA, EQ_CARPLAY) only where already-gathered research provided a sourced answer.</t>
        </is>
      </c>
      <c r="F10" t="inlineStr">
        <is>
          <t>Claude</t>
        </is>
      </c>
      <c r="G10" t="inlineStr">
        <is>
          <t>38 Equipment rows added across Tesla, Renault, Skoda and Volvo configurations, including RENAULT_4_EVOLUTION_URBAN/COMFORT (both EQ_ACC=UNAVAILABLE, formally documenting the Hard Requirement M004 failure already noted in 03_Configurations Notes). Remaining 17 EquipmentDefinitions left unpopulated - no sourced data gathered for them yet.</t>
        </is>
      </c>
    </row>
    <row r="11">
      <c r="A11" t="inlineStr">
        <is>
          <t>DEC_DATA_006</t>
        </is>
      </c>
      <c r="B11" t="inlineStr">
        <is>
          <t>2026-07-06</t>
        </is>
      </c>
      <c r="C11" t="inlineStr">
        <is>
          <t>1.4</t>
        </is>
      </c>
      <c r="D11" t="inlineStr">
        <is>
          <t>Populated Kia EV2 from a real dealer sales quote (user-supplied PDF)</t>
        </is>
      </c>
      <c r="E11" t="inlineStr">
        <is>
          <t>A genuine, dated Bertel O. Steen (Kia dealer) sales quote for EV2 FWD Long Range GT Line reconciled the earlier "not on Kia Norway model list" uncertainty - Vehicle status updated from UNKNOWN to AVAILABLE.</t>
        </is>
      </c>
      <c r="F11" t="inlineStr">
        <is>
          <t>Claude</t>
        </is>
      </c>
      <c r="G11" t="inlineStr">
        <is>
          <t>Added KIA_EV2_FWD_LONG_RANGE_GT_LINE configuration with BasePrice/ConfiguredPrice split (trim price vs. this specific buyers customized quote incl. 4-seat conversion and winter wheels), and 14 Equipment rows from the itemized equipment list. No Technical (battery/range/charging/dimensions) facts were available in the quote document - explicitly left Unknown rather than assumed. Customer personal contact details deliberately excluded from all workbook citations.</t>
        </is>
      </c>
    </row>
    <row r="12">
      <c r="A12" t="inlineStr">
        <is>
          <t>DEC_DATA_007</t>
        </is>
      </c>
      <c r="B12" t="inlineStr">
        <is>
          <t>2026-07-06</t>
        </is>
      </c>
      <c r="C12" t="inlineStr">
        <is>
          <t>1.4</t>
        </is>
      </c>
      <c r="D12" t="inlineStr">
        <is>
          <t>Populated Kia EV2 Technical facts from Kia official web store, correcting unit-label errors</t>
        </is>
      </c>
      <c r="E12" t="inlineStr">
        <is>
          <t>Verified nettbutikk.kia.no/ev2/oppsummering directly (config code A2231F29). Confirmed the page itself mislabels several units (kg instead of L for boot/frunk, kW instead of kWh for battery, kWh/km instead of kWh/100km for consumption) - a bug on Kia's own site, not a user transcription error.</t>
        </is>
      </c>
      <c r="F12" t="inlineStr">
        <is>
          <t>Claude</t>
        </is>
      </c>
      <c r="G12" t="inlineStr">
        <is>
          <t>7 Technical rows added. Battery net (62kWh) and WLTP consumption (15.2kWh/100km) corrections verified via arithmetic cross-check against the stated 453km range - high confidence in the correction logic. Boot/Frunk volume corrections (kg-&gt;L) recorded at LOW confidence since no independent cross-check was available for those two.</t>
        </is>
      </c>
    </row>
    <row r="13">
      <c r="A13" t="inlineStr">
        <is>
          <t>DEC_DATA_008</t>
        </is>
      </c>
      <c r="B13" t="inlineStr">
        <is>
          <t>2026-07-06</t>
        </is>
      </c>
      <c r="C13" t="inlineStr">
        <is>
          <t>1.4</t>
        </is>
      </c>
      <c r="D13" t="inlineStr">
        <is>
          <t>Added Kia EV2 Evidence/Review/Score - now 5th vehicle in the thin-slice comparison</t>
        </is>
      </c>
      <c r="E13" t="inlineStr">
        <is>
          <t>Completed the same 7-criterion pipeline (Motor.no, What Car?, RAC Drive) for KIA_EV2_FWD_LONG_RANGE_GT_LINE, alongside Tesla, Renault, Skoda and Volvo.</t>
        </is>
      </c>
      <c r="F13" t="inlineStr">
        <is>
          <t>Claude</t>
        </is>
      </c>
      <c r="G13" t="inlineStr">
        <is>
          <t>DC fast-charging power was never stated on the Kia configurator - W020 scored at reduced (LOW) confidence reflecting this gap. A third genuine cross-source ride-comfort disagreement was documented (Motor.no tested Standard Range as stiff/bouncy; What Car? found the suspension soft or supple) - same pattern as Renault and Skoda.</t>
        </is>
      </c>
    </row>
    <row r="14">
      <c r="A14" t="inlineStr">
        <is>
          <t>DEC_M003_VERIFY</t>
        </is>
      </c>
      <c r="B14" t="inlineStr">
        <is>
          <t>2026-07-06</t>
        </is>
      </c>
      <c r="C14" t="inlineStr">
        <is>
          <t>1.4</t>
        </is>
      </c>
      <c r="D14" t="inlineStr">
        <is>
          <t>Attempted M003 (winter highway range hard requirement) verification for all 5 scored configurations</t>
        </is>
      </c>
      <c r="E14" t="inlineStr">
        <is>
          <t>Only 1 of 5 (Volvo EX30 P8 AWD) had a clean, trim-matched independent winter test (elbil.no) - passes comfortably at ~338km. Renault 4 Techno has a flagged, non-matching proxy data point (287km, wrong trim, mild not winter conditions) that is a concerning signal, not a confirmed pass. Skoda Elroq, Tesla Model 3, and Kia EV2 have no reliable independent winter data at all.</t>
        </is>
      </c>
      <c r="F14" t="inlineStr">
        <is>
          <t>Claude</t>
        </is>
      </c>
      <c r="G14" t="inlineStr">
        <is>
          <t>Per user direction: Renault proxy recorded with explicit caveats rather than discarded; the other 3 remain genuinely Unknown rather than assumed. No configuration was removed from scoring - none was confirmed to fail M003, so all 5 proceed to Del 2 (Price/Value) as planned. Winter range verification for Skoda/Tesla/Kia should be revisited when better sources become available.</t>
        </is>
      </c>
    </row>
    <row r="15">
      <c r="A15" t="inlineStr">
        <is>
          <t>DEC_W017_SCORE</t>
        </is>
      </c>
      <c r="B15" t="inlineStr">
        <is>
          <t>2026-07-06</t>
        </is>
      </c>
      <c r="C15" t="inlineStr">
        <is>
          <t>1.4</t>
        </is>
      </c>
      <c r="D15" t="inlineStr">
        <is>
          <t>Scored Price/Value (W017, weight 10) for all 5 configurations</t>
        </is>
      </c>
      <c r="E15" t="inlineStr">
        <is>
          <t>Judged price relative to range/charging/equipment delivered in class per user direction, not pure price ranking. Discovered and fixed a real gap: Tesla Model 3 Long Range RWD had no price data at all since DATA-001 - fetched 400539 kr from the official Tesla configurator.</t>
        </is>
      </c>
      <c r="F15" t="inlineStr">
        <is>
          <t>Claude</t>
        </is>
      </c>
      <c r="G15" t="inlineStr">
        <is>
          <t>Coverage now 47% (8 of 20 weighted criteria). Volvo EX30 P8 AWD scored lowest on this criterion - its price premium goes toward performance (0-100 time), which the framework explicitly excludes as a meaningful ownership factor, so that premium is not counted as good value here.</t>
        </is>
      </c>
    </row>
    <row r="16">
      <c r="A16" t="inlineStr">
        <is>
          <t>DEC_M002_VIOLATION</t>
        </is>
      </c>
      <c r="B16" t="inlineStr">
        <is>
          <t>2026-07-06</t>
        </is>
      </c>
      <c r="C16" t="inlineStr">
        <is>
          <t>1.4</t>
        </is>
      </c>
      <c r="D16" t="inlineStr">
        <is>
          <t>CRITICAL: Discovered Tesla Model 3 fails Hard Requirement M002 (length 4720mm &gt; 4500mm limit) - all 4 configurations affected</t>
        </is>
      </c>
      <c r="E16" t="inlineStr">
        <is>
          <t>While scoring Garasje (W019), cross-checked recorded vehicle lengths against the M002 hard requirement for the first time this session. Tesla Model 3 length (4720mm, sourced from Tesla's own official page early in the session) exceeds the 4500mm maximum by 220mm. Per docs/02_criteria-and-weighting.md, failing configurations should not proceed to weighted evaluation - yet TESLA_MODEL_3_LONG_RANGE_RWD has been scored on 8 criteria throughout this session.</t>
        </is>
      </c>
      <c r="F16" t="inlineStr">
        <is>
          <t>Claude</t>
        </is>
      </c>
      <c r="G16" t="inlineStr">
        <is>
          <t>Per user direction: all 4 Tesla configurations kept in 03_Configurations and the comparison, but explicitly flagged in both Configuration Notes and 12_OverallScores.Notes as hard-requirement non-compliant. No Score/Review rows were deleted or altered - existing history remains intact and traceable. User will personally weigh the 220mm overage rather than have it silently resolved. This is a process gap worth addressing going forward: Hard Requirements should be checked before, not after, weighted scoring begins for a new vehicle.</t>
        </is>
      </c>
    </row>
    <row r="17">
      <c r="A17" t="inlineStr">
        <is>
          <t>DEC_W019_SCORE</t>
        </is>
      </c>
      <c r="B17" t="inlineStr">
        <is>
          <t>2026-07-06</t>
        </is>
      </c>
      <c r="C17" t="inlineStr">
        <is>
          <t>1.4</t>
        </is>
      </c>
      <c r="D17" t="inlineStr">
        <is>
          <t>Scored Garasje (W019, weight 3) for all 5 configurations - purely computed from Length margin vs 4500mm</t>
        </is>
      </c>
      <c r="E17" t="inlineStr">
        <is>
          <t>Deterministic scoring based on official Length figures already gathered (or newly sourced for Kia EV2: 4065mm from official Kia UK spec PDF). Rubric: &gt;=400mm margin=5, 250-399mm=4, 100-249mm=3, 1-99mm=2, &lt;=0mm(over limit)=1.</t>
        </is>
      </c>
      <c r="F17" t="inlineStr">
        <is>
          <t>Claude</t>
        </is>
      </c>
      <c r="G17" t="inlineStr">
        <is>
          <t>This is what surfaced the Tesla M002 violation (see DEC_M002_VIOLATION) - Tesla scored 1/5 since it EXCEEDS the limit, not just has minimal margin. Skoda scored only 2/5 despite passing M002, since its 12mm margin is negligible in practice. Kia scored 5/5 with the largest margin (435mm) of the five.</t>
        </is>
      </c>
    </row>
  </sheetData>
  <autoFilter ref="A1:G3"/>
  <pageMargins left="0.7" right="0.7" top="0.75" bottom="0.75" header="0.3" footer="0.3"/>
</worksheet>
</file>

<file path=xl/worksheets/sheet13.xml><?xml version="1.0" encoding="utf-8"?>
<worksheet xmlns="http://schemas.openxmlformats.org/spreadsheetml/2006/main">
  <sheetPr>
    <outlinePr summaryBelow="1" summaryRight="1"/>
    <pageSetUpPr/>
  </sheetPr>
  <dimension ref="A1:H6"/>
  <sheetViews>
    <sheetView workbookViewId="0">
      <pane ySplit="1" topLeftCell="A2" activePane="bottomLeft" state="frozen"/>
      <selection pane="bottomLeft" activeCell="A1" sqref="A1"/>
    </sheetView>
  </sheetViews>
  <sheetFormatPr baseColWidth="8" defaultRowHeight="15"/>
  <cols>
    <col width="20" customWidth="1" min="1" max="1"/>
    <col width="32" customWidth="1" min="2" max="2"/>
    <col width="16" customWidth="1" min="3" max="3"/>
    <col width="14" customWidth="1" min="4" max="4"/>
    <col width="16" customWidth="1" min="5" max="5"/>
    <col width="16" customWidth="1" min="6" max="6"/>
    <col width="14" customWidth="1" min="7" max="7"/>
    <col width="70" customWidth="1" min="8" max="8"/>
  </cols>
  <sheetData>
    <row r="1">
      <c r="A1" s="1" t="inlineStr">
        <is>
          <t>OverallScoreID</t>
        </is>
      </c>
      <c r="B1" s="1" t="inlineStr">
        <is>
          <t>ConfigurationID</t>
        </is>
      </c>
      <c r="C1" s="1" t="inlineStr">
        <is>
          <t>FrameworkVersion</t>
        </is>
      </c>
      <c r="D1" s="1" t="inlineStr">
        <is>
          <t>OverallScore</t>
        </is>
      </c>
      <c r="E1" s="1" t="inlineStr">
        <is>
          <t>CoveragePercent</t>
        </is>
      </c>
      <c r="F1" s="1" t="inlineStr">
        <is>
          <t>CriteriaScored</t>
        </is>
      </c>
      <c r="G1" s="1" t="inlineStr">
        <is>
          <t>CriteriaTotal</t>
        </is>
      </c>
      <c r="H1" s="1" t="inlineStr">
        <is>
          <t>Notes</t>
        </is>
      </c>
    </row>
    <row r="2">
      <c r="A2" t="inlineStr">
        <is>
          <t>OVSC_000001</t>
        </is>
      </c>
      <c r="B2" t="inlineStr">
        <is>
          <t>TESLA_MODEL_3_LONG_RANGE_RWD</t>
        </is>
      </c>
      <c r="C2" t="inlineStr">
        <is>
          <t>1.4</t>
        </is>
      </c>
      <c r="D2">
        <f>SUMIFS('10_Scoring'!$G$2:$G$1000,'10_Scoring'!$B$2:$B$1000,B2,'10_Scoring'!$E$2:$E$1000,C2)</f>
        <v/>
      </c>
      <c r="E2">
        <f>ROUND(SUMPRODUCT(('10_Scoring'!$B$2:$B$1000=B2)*('10_Scoring'!$E$2:$E$1000=C2)*IFERROR(INDEX('01_Criteria'!$F$2:$F$1000,MATCH('10_Scoring'!$C$2:$C$1000,'01_Criteria'!$A$2:$A$1000,0)),0))/SUMIFS('01_Criteria'!$F$2:$F$1000,'01_Criteria'!$E$2:$E$1000,"WEIGHTED",'01_Criteria'!$H$2:$H$1000,"TRUE")*100,2)</f>
        <v/>
      </c>
      <c r="F2">
        <f>COUNTIFS('10_Scoring'!$B$2:$B$1000,B2,'10_Scoring'!$E$2:$E$1000,C2)</f>
        <v/>
      </c>
      <c r="G2">
        <f>COUNTIFS('01_Criteria'!$E$2:$E$1000,"WEIGHTED",'01_Criteria'!$H$2:$H$1000,"TRUE")</f>
        <v/>
      </c>
      <c r="H2">
        <f>"HARD REQUIREMENT FAILED (M002: length 4720mm &gt; 4500mm) - NOT ELIGIBLE, kept only for user comparison. "&amp;IF(E2&lt;100,"Partial evaluation - "&amp;F2&amp;" of "&amp;G2&amp;" WEIGHTED+Active criteria scored ("&amp;E2&amp;"% of total weight).","Complete evaluation - all WEIGHTED+Active criteria scored.")</f>
        <v/>
      </c>
    </row>
    <row r="3">
      <c r="A3" t="inlineStr">
        <is>
          <t>OVSC_000002</t>
        </is>
      </c>
      <c r="B3" t="inlineStr">
        <is>
          <t>RENAULT_4_TECHNO</t>
        </is>
      </c>
      <c r="C3" t="inlineStr">
        <is>
          <t>1.4</t>
        </is>
      </c>
      <c r="D3">
        <f>SUMIFS('10_Scoring'!$G$2:$G$1000,'10_Scoring'!$B$2:$B$1000,B3,'10_Scoring'!$E$2:$E$1000,C3)</f>
        <v/>
      </c>
      <c r="E3">
        <f>ROUND(SUMPRODUCT(('10_Scoring'!$B$2:$B$1000=B3)*('10_Scoring'!$E$2:$E$1000=C3)*IFERROR(INDEX('01_Criteria'!$F$2:$F$1000,MATCH('10_Scoring'!$C$2:$C$1000,'01_Criteria'!$A$2:$A$1000,0)),0))/SUMIFS('01_Criteria'!$F$2:$F$1000,'01_Criteria'!$E$2:$E$1000,"WEIGHTED",'01_Criteria'!$H$2:$H$1000,"TRUE")*100,2)</f>
        <v/>
      </c>
      <c r="F3">
        <f>COUNTIFS('10_Scoring'!$B$2:$B$1000,B3,'10_Scoring'!$E$2:$E$1000,C3)</f>
        <v/>
      </c>
      <c r="G3">
        <f>COUNTIFS('01_Criteria'!$E$2:$E$1000,"WEIGHTED",'01_Criteria'!$H$2:$H$1000,"TRUE")</f>
        <v/>
      </c>
      <c r="H3">
        <f>IF(E3&lt;100,"Partial evaluation - "&amp;F3&amp;" of "&amp;G3&amp;" WEIGHTED+Active criteria scored ("&amp;E3&amp;"% of total weight).","Complete evaluation - all WEIGHTED+Active criteria scored.")</f>
        <v/>
      </c>
    </row>
    <row r="4">
      <c r="A4" t="inlineStr">
        <is>
          <t>OVSC_000003</t>
        </is>
      </c>
      <c r="B4" t="inlineStr">
        <is>
          <t>SKODA_ELROQ_SELECTION_60</t>
        </is>
      </c>
      <c r="C4" t="inlineStr">
        <is>
          <t>1.4</t>
        </is>
      </c>
      <c r="D4">
        <f>SUMIFS('10_Scoring'!$G$2:$G$1000,'10_Scoring'!$B$2:$B$1000,B4,'10_Scoring'!$E$2:$E$1000,C4)</f>
        <v/>
      </c>
      <c r="E4">
        <f>ROUND(SUMPRODUCT(('10_Scoring'!$B$2:$B$1000=B4)*('10_Scoring'!$E$2:$E$1000=C4)*IFERROR(INDEX('01_Criteria'!$F$2:$F$1000,MATCH('10_Scoring'!$C$2:$C$1000,'01_Criteria'!$A$2:$A$1000,0)),0))/SUMIFS('01_Criteria'!$F$2:$F$1000,'01_Criteria'!$E$2:$E$1000,"WEIGHTED",'01_Criteria'!$H$2:$H$1000,"TRUE")*100,2)</f>
        <v/>
      </c>
      <c r="F4">
        <f>COUNTIFS('10_Scoring'!$B$2:$B$1000,B4,'10_Scoring'!$E$2:$E$1000,C4)</f>
        <v/>
      </c>
      <c r="G4">
        <f>COUNTIFS('01_Criteria'!$E$2:$E$1000,"WEIGHTED",'01_Criteria'!$H$2:$H$1000,"TRUE")</f>
        <v/>
      </c>
      <c r="H4">
        <f>IF(E4&lt;100,"Partial evaluation - "&amp;F4&amp;" of "&amp;G4&amp;" WEIGHTED+Active criteria scored ("&amp;E4&amp;"% of total weight).","Complete evaluation - all WEIGHTED+Active criteria scored.")</f>
        <v/>
      </c>
    </row>
    <row r="5">
      <c r="A5" t="inlineStr">
        <is>
          <t>OVSC_000004</t>
        </is>
      </c>
      <c r="B5" t="inlineStr">
        <is>
          <t>VOLVO_EX30_P8_AWD</t>
        </is>
      </c>
      <c r="C5" t="inlineStr">
        <is>
          <t>1.4</t>
        </is>
      </c>
      <c r="D5">
        <f>SUMIFS('10_Scoring'!$G$2:$G$1000,'10_Scoring'!$B$2:$B$1000,B5,'10_Scoring'!$E$2:$E$1000,C5)</f>
        <v/>
      </c>
      <c r="E5">
        <f>ROUND(SUMPRODUCT(('10_Scoring'!$B$2:$B$1000=B5)*('10_Scoring'!$E$2:$E$1000=C5)*IFERROR(INDEX('01_Criteria'!$F$2:$F$1000,MATCH('10_Scoring'!$C$2:$C$1000,'01_Criteria'!$A$2:$A$1000,0)),0))/SUMIFS('01_Criteria'!$F$2:$F$1000,'01_Criteria'!$E$2:$E$1000,"WEIGHTED",'01_Criteria'!$H$2:$H$1000,"TRUE")*100,2)</f>
        <v/>
      </c>
      <c r="F5">
        <f>COUNTIFS('10_Scoring'!$B$2:$B$1000,B5,'10_Scoring'!$E$2:$E$1000,C5)</f>
        <v/>
      </c>
      <c r="G5">
        <f>COUNTIFS('01_Criteria'!$E$2:$E$1000,"WEIGHTED",'01_Criteria'!$H$2:$H$1000,"TRUE")</f>
        <v/>
      </c>
      <c r="H5">
        <f>IF(E5&lt;100,"Partial evaluation - "&amp;F5&amp;" of "&amp;G5&amp;" WEIGHTED+Active criteria scored ("&amp;E5&amp;"% of total weight).","Complete evaluation - all WEIGHTED+Active criteria scored.")</f>
        <v/>
      </c>
    </row>
    <row r="6">
      <c r="A6" t="inlineStr">
        <is>
          <t>OVSC_000005</t>
        </is>
      </c>
      <c r="B6" t="inlineStr">
        <is>
          <t>KIA_EV2_FWD_LONG_RANGE_GT_LINE</t>
        </is>
      </c>
      <c r="C6" t="inlineStr">
        <is>
          <t>1.4</t>
        </is>
      </c>
      <c r="D6">
        <f>SUMIFS('10_Scoring'!$G$2:$G$1000,'10_Scoring'!$B$2:$B$1000,B6,'10_Scoring'!$E$2:$E$1000,C6)</f>
        <v/>
      </c>
      <c r="E6">
        <f>ROUND(SUMPRODUCT(('10_Scoring'!$B$2:$B$1000=B6)*('10_Scoring'!$E$2:$E$1000=C6)*IFERROR(INDEX('01_Criteria'!$F$2:$F$1000,MATCH('10_Scoring'!$C$2:$C$1000,'01_Criteria'!$A$2:$A$1000,0)),0))/SUMIFS('01_Criteria'!$F$2:$F$1000,'01_Criteria'!$E$2:$E$1000,"WEIGHTED",'01_Criteria'!$H$2:$H$1000,"TRUE")*100,2)</f>
        <v/>
      </c>
      <c r="F6">
        <f>COUNTIFS('10_Scoring'!$B$2:$B$1000,B6,'10_Scoring'!$E$2:$E$1000,C6)</f>
        <v/>
      </c>
      <c r="G6">
        <f>COUNTIFS('01_Criteria'!$E$2:$E$1000,"WEIGHTED",'01_Criteria'!$H$2:$H$1000,"TRUE")</f>
        <v/>
      </c>
      <c r="H6">
        <f>IF(E6&lt;100,"Partial evaluation - "&amp;F6&amp;" of "&amp;G6&amp;" WEIGHTED+Active criteria scored ("&amp;E6&amp;"% of total weight).","Complete evaluation - all WEIGHTED+Active criteria scored.")</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Codex</dc:creator>
  <dc:title>EV Decision Framework Reference Implementation</dc:title>
  <dc:description>Reference workbook synchronized to documented Framework Version 1.0 structure.</dc:description>
  <dc:subject>Framework Version 1.0 workbook schema</dc:subject>
  <dcterms:created xsi:type="dcterms:W3CDTF">2026-07-06T06:43:27Z</dcterms:created>
  <dcterms:modified xsi:type="dcterms:W3CDTF">2026-07-07T07:57:02Z</dcterms:modified>
  <cp:lastModifiedBy>Codex</cp:lastModifiedBy>
  <cp:keywords>EV Decision Framework; FrameworkVersion 1.0; workbook schema</cp:keywords>
</cp:coreProperties>
</file>