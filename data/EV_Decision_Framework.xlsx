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 name="15_Dashboard" sheetId="16" state="visible" r:id="rId16"/>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8">
    <font>
      <name val="Aptos"/>
      <family val="2"/>
      <color theme="1"/>
      <sz val="11"/>
    </font>
    <font>
      <name val="Aptos"/>
      <family val="2"/>
      <b val="1"/>
      <color rgb="FFFFFFFF"/>
      <sz val="11"/>
    </font>
    <font>
      <name val="Aptos"/>
      <b val="1"/>
      <color rgb="FF1F4E78"/>
      <sz val="16"/>
    </font>
    <font>
      <name val="Aptos"/>
      <i val="1"/>
      <color rgb="FF666666"/>
      <sz val="10"/>
    </font>
    <font>
      <name val="Aptos"/>
      <b val="1"/>
      <color rgb="FF1F4E78"/>
      <sz val="13"/>
    </font>
    <font>
      <name val="Aptos"/>
      <i val="1"/>
      <color rgb="FF888888"/>
      <sz val="9"/>
    </font>
    <font>
      <name val="Aptos"/>
      <sz val="10"/>
    </font>
    <font>
      <name val="Aptos"/>
      <b val="1"/>
    </font>
  </fonts>
  <fills count="5">
    <fill>
      <patternFill/>
    </fill>
    <fill>
      <patternFill patternType="gray125"/>
    </fill>
    <fill>
      <patternFill patternType="solid">
        <fgColor rgb="FF1F4E78"/>
        <bgColor indexed="64"/>
      </patternFill>
    </fill>
    <fill>
      <patternFill patternType="solid">
        <fgColor rgb="FFFFF2CC"/>
      </patternFill>
    </fill>
    <fill>
      <patternFill patternType="solid">
        <fgColor rgb="FF1F4E78"/>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5" fillId="2" borderId="1" applyAlignment="1" pivotButton="0" quotePrefix="0" xfId="0">
      <alignment horizontal="center" vertical="center" wrapText="1"/>
    </xf>
    <xf numFmtId="0" fontId="7" fillId="0" borderId="0" pivotButton="0" quotePrefix="0" xfId="0"/>
    <xf numFmtId="0" fontId="0" fillId="3" borderId="0" pivotButton="0" quotePrefix="0" xfId="0"/>
    <xf numFmtId="0" fontId="1" fillId="4" borderId="0" applyAlignment="1" pivotButton="0" quotePrefix="0" xfId="0">
      <alignment horizontal="center" vertical="center" wrapText="1"/>
    </xf>
    <xf numFmtId="0" fontId="0"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Category Breakdown - WeightedScore by Configuration</a:t>
            </a:r>
          </a:p>
        </rich>
      </tx>
    </title>
    <plotArea>
      <barChart>
        <barDir val="col"/>
        <grouping val="clustered"/>
        <ser>
          <idx val="0"/>
          <order val="0"/>
          <tx>
            <strRef>
              <f>'15_Dashboard'!$A$29</f>
            </strRef>
          </tx>
          <spPr>
            <a:ln>
              <a:prstDash val="solid"/>
            </a:ln>
          </spPr>
          <cat>
            <numRef>
              <f>'15_Dashboard'!$B$28:$I$28</f>
            </numRef>
          </cat>
          <val>
            <numRef>
              <f>'15_Dashboard'!$B$29:$I$29</f>
            </numRef>
          </val>
        </ser>
        <ser>
          <idx val="1"/>
          <order val="1"/>
          <tx>
            <strRef>
              <f>'15_Dashboard'!$A$30</f>
            </strRef>
          </tx>
          <spPr>
            <a:ln>
              <a:prstDash val="solid"/>
            </a:ln>
          </spPr>
          <cat>
            <numRef>
              <f>'15_Dashboard'!$B$28:$I$28</f>
            </numRef>
          </cat>
          <val>
            <numRef>
              <f>'15_Dashboard'!$B$30:$I$30</f>
            </numRef>
          </val>
        </ser>
        <ser>
          <idx val="2"/>
          <order val="2"/>
          <tx>
            <strRef>
              <f>'15_Dashboard'!$A$31</f>
            </strRef>
          </tx>
          <spPr>
            <a:ln>
              <a:prstDash val="solid"/>
            </a:ln>
          </spPr>
          <cat>
            <numRef>
              <f>'15_Dashboard'!$B$28:$I$28</f>
            </numRef>
          </cat>
          <val>
            <numRef>
              <f>'15_Dashboard'!$B$31:$I$31</f>
            </numRef>
          </val>
        </ser>
        <ser>
          <idx val="3"/>
          <order val="3"/>
          <tx>
            <strRef>
              <f>'15_Dashboard'!$A$32</f>
            </strRef>
          </tx>
          <spPr>
            <a:ln>
              <a:prstDash val="solid"/>
            </a:ln>
          </spPr>
          <cat>
            <numRef>
              <f>'15_Dashboard'!$B$28:$I$28</f>
            </numRef>
          </cat>
          <val>
            <numRef>
              <f>'15_Dashboard'!$B$32:$I$32</f>
            </numRef>
          </val>
        </ser>
        <ser>
          <idx val="4"/>
          <order val="4"/>
          <tx>
            <strRef>
              <f>'15_Dashboard'!$A$33</f>
            </strRef>
          </tx>
          <spPr>
            <a:ln>
              <a:prstDash val="solid"/>
            </a:ln>
          </spPr>
          <cat>
            <numRef>
              <f>'15_Dashboard'!$B$28:$I$28</f>
            </numRef>
          </cat>
          <val>
            <numRef>
              <f>'15_Dashboard'!$B$33:$I$33</f>
            </numRef>
          </val>
        </ser>
        <ser>
          <idx val="5"/>
          <order val="5"/>
          <tx>
            <strRef>
              <f>'15_Dashboard'!$A$34</f>
            </strRef>
          </tx>
          <spPr>
            <a:ln>
              <a:prstDash val="solid"/>
            </a:ln>
          </spPr>
          <cat>
            <numRef>
              <f>'15_Dashboard'!$B$28:$I$28</f>
            </numRef>
          </cat>
          <val>
            <numRef>
              <f>'15_Dashboard'!$B$34:$I$34</f>
            </numRef>
          </val>
        </ser>
        <gapWidth val="150"/>
        <overlap val="-1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majorGridlines/>
        <title>
          <tx>
            <rich>
              <a:bodyPr/>
              <a:p>
                <a:pPr>
                  <a:defRPr/>
                </a:pPr>
                <a:r>
                  <a:t>Summed WeightedScore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1.8</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1.9</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n">
        <v>0</v>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n">
        <v>0</v>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n">
        <v>0</v>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n">
        <v>0</v>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n">
        <v>0</v>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n">
        <v>8</v>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n">
        <v>7</v>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n">
        <v>5</v>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n">
        <v>5</v>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n">
        <v>7</v>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n">
        <v>4</v>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n">
        <v>3</v>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n">
        <v>5</v>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n">
        <v>3</v>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n">
        <v>5</v>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n">
        <v>5</v>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n">
        <v>5</v>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n">
        <v>3</v>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n">
        <v>6</v>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n">
        <v>5</v>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n">
        <v>4</v>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n">
        <v>10</v>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n">
        <v>5</v>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n">
        <v>3</v>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n">
        <v>2</v>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n">
        <v>0</v>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n">
        <v>0</v>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n">
        <v>0</v>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n">
        <v>0</v>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 See 14_HardRequirementResults (M003) and DecisionLog DEC_ADR_014 for the Hard Requirement failure and override rationale.</t>
        </is>
      </c>
      <c r="I8" t="inlineStr">
        <is>
          <t>TRUE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Flagship Configuration for this Vehicle as of 2026-07-07 (switched from P8 AWD to more closely match the other five vehicles trim level) - see 11_DecisionLog DEC_DASHBOARD_004 and the driving-dynamics caveats on 07_Reviews W008/W009/W016. Same Hard Requirement notes as P5 (see above); M003 remains Unknown (see 14_HardRequirementResults) since the only winter-range data point (elbil.no, ~338km) was measured on P8 AWD, a different drivetrain.</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No longer the flagship Configuration as of 2026-07-07 (see 11_DecisionLog DEC_DASHBOARD_004) - retained here as a real, purchasable trim for price/spec comparison. M003 winter-range data (elbil.no, ~338km, Twin Performance/AWD) still applies directly to this Configuration.</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389900</v>
      </c>
      <c r="G19" t="n">
        <v>389900</v>
      </c>
      <c r="H19" t="inlineStr">
        <is>
          <t>BasePrice/ConfiguredPrice corrected 2026-07-07 to 389900 kr, verified directly against the live official Kia nettbutikk configurator (SRC_KIA_NETTBUTIKK_EV2) - "Totalpris 389 900 kr inkl. mva" for GT Line, no optional extras. The prior 346417/423340 split came from a real Bertel O. Steen dealer sales quote (reviewed 2026-07-06) whose own internal component breakdown (251655+94762=346417 pre-tax) did not reconcile with Kia's own published configurator total for the same trim - an unreconciled discrepancy between two real sources, not a fabricated number, but the direct manufacturer configurator total is treated as authoritative for cross-vehicle price comparison, matching how every other vehicle's ConfiguredPrice in this workbook represents a clean base-trim price with no buyer-specific options. The dealer quote's buyer-specific extras (4-seat conversion, winter wheels, delivery, registration tax) are real but not part of this comparison price.</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 See 14_HardRequirementResults (M003) and DecisionLog DEC_ADR_014 for the Hard Requirement failure and override rationale.</t>
        </is>
      </c>
      <c r="I21" t="inlineStr">
        <is>
          <t>TRUE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row r="161">
      <c r="A161" t="inlineStr">
        <is>
          <t>TECH_000160</t>
        </is>
      </c>
      <c r="C161" t="inlineStr">
        <is>
          <t>TESLA_MODEL_3_LONG_RANGE_RWD</t>
        </is>
      </c>
      <c r="D161" t="inlineStr">
        <is>
          <t>TF_WINTER_HIGHWAY_RANGE_ESTIMATE</t>
        </is>
      </c>
      <c r="E161" t="n">
        <v>483.7</v>
      </c>
      <c r="F161" t="inlineStr">
        <is>
          <t>KM</t>
        </is>
      </c>
      <c r="G161" t="inlineStr">
        <is>
          <t>SRC_TESLA_NO_MODEL3_CONFIGURATOR</t>
        </is>
      </c>
      <c r="H161" t="inlineStr">
        <is>
          <t>LOW</t>
        </is>
      </c>
      <c r="I161" t="inlineStr">
        <is>
          <t>2026-07-08</t>
        </is>
      </c>
      <c r="J161" t="inlineStr">
        <is>
          <t>1.9</t>
        </is>
      </c>
      <c r="K161" t="inlineStr">
        <is>
          <t>Estimated (70% of WLTP, ADR-014)</t>
        </is>
      </c>
    </row>
    <row r="162">
      <c r="A162" t="inlineStr">
        <is>
          <t>TECH_000161</t>
        </is>
      </c>
      <c r="C162" t="inlineStr">
        <is>
          <t>RENAULT_4_TECHNO</t>
        </is>
      </c>
      <c r="D162" t="inlineStr">
        <is>
          <t>TF_WINTER_HIGHWAY_RANGE_ESTIMATE</t>
        </is>
      </c>
      <c r="E162" t="n">
        <v>278.6</v>
      </c>
      <c r="F162" t="inlineStr">
        <is>
          <t>KM</t>
        </is>
      </c>
      <c r="G162" t="inlineStr">
        <is>
          <t>SRC_RENAULT_NO_R4_PRICELIST</t>
        </is>
      </c>
      <c r="H162" t="inlineStr">
        <is>
          <t>LOW</t>
        </is>
      </c>
      <c r="I162" t="inlineStr">
        <is>
          <t>2026-07-08</t>
        </is>
      </c>
      <c r="J162" t="inlineStr">
        <is>
          <t>1.9</t>
        </is>
      </c>
      <c r="K162" t="inlineStr">
        <is>
          <t>Estimated (70% of WLTP, ADR-014)</t>
        </is>
      </c>
    </row>
    <row r="163">
      <c r="A163" t="inlineStr">
        <is>
          <t>TECH_000162</t>
        </is>
      </c>
      <c r="C163" t="inlineStr">
        <is>
          <t>SKODA_ELROQ_SELECTION_60</t>
        </is>
      </c>
      <c r="D163" t="inlineStr">
        <is>
          <t>TF_WINTER_HIGHWAY_RANGE_ESTIMATE</t>
        </is>
      </c>
      <c r="E163" t="n">
        <v>313.6</v>
      </c>
      <c r="F163" t="inlineStr">
        <is>
          <t>KM</t>
        </is>
      </c>
      <c r="G163" t="inlineStr">
        <is>
          <t>SRC_SKODA_NO_ELROQ_PRICELIST</t>
        </is>
      </c>
      <c r="H163" t="inlineStr">
        <is>
          <t>LOW</t>
        </is>
      </c>
      <c r="I163" t="inlineStr">
        <is>
          <t>2026-07-08</t>
        </is>
      </c>
      <c r="J163" t="inlineStr">
        <is>
          <t>1.9</t>
        </is>
      </c>
      <c r="K163" t="inlineStr">
        <is>
          <t>Estimated (70% of WLTP, ADR-014)</t>
        </is>
      </c>
    </row>
    <row r="164">
      <c r="A164" t="inlineStr">
        <is>
          <t>TECH_000163</t>
        </is>
      </c>
      <c r="C164" t="inlineStr">
        <is>
          <t>VOLVO_EX30_P5_LONG_RANGE</t>
        </is>
      </c>
      <c r="D164" t="inlineStr">
        <is>
          <t>TF_WINTER_HIGHWAY_RANGE_ESTIMATE</t>
        </is>
      </c>
      <c r="E164" t="n">
        <v>332.5</v>
      </c>
      <c r="F164" t="inlineStr">
        <is>
          <t>KM</t>
        </is>
      </c>
      <c r="G164" t="inlineStr">
        <is>
          <t>SRC_VOLVO_NO_EX30_SPECS</t>
        </is>
      </c>
      <c r="H164" t="inlineStr">
        <is>
          <t>LOW</t>
        </is>
      </c>
      <c r="I164" t="inlineStr">
        <is>
          <t>2026-07-08</t>
        </is>
      </c>
      <c r="J164" t="inlineStr">
        <is>
          <t>1.9</t>
        </is>
      </c>
      <c r="K164" t="inlineStr">
        <is>
          <t>Estimated (70% of WLTP, ADR-014)</t>
        </is>
      </c>
    </row>
    <row r="165">
      <c r="A165" t="inlineStr">
        <is>
          <t>TECH_000164</t>
        </is>
      </c>
      <c r="C165" t="inlineStr">
        <is>
          <t>KIA_EV2_FWD_LONG_RANGE_GT_LINE</t>
        </is>
      </c>
      <c r="D165" t="inlineStr">
        <is>
          <t>TF_WINTER_HIGHWAY_RANGE_ESTIMATE</t>
        </is>
      </c>
      <c r="E165" t="n">
        <v>317.1</v>
      </c>
      <c r="F165" t="inlineStr">
        <is>
          <t>KM</t>
        </is>
      </c>
      <c r="G165" t="inlineStr">
        <is>
          <t>SRC_KIA_NETTBUTIKK_EV2</t>
        </is>
      </c>
      <c r="H165" t="inlineStr">
        <is>
          <t>LOW</t>
        </is>
      </c>
      <c r="I165" t="inlineStr">
        <is>
          <t>2026-07-08</t>
        </is>
      </c>
      <c r="J165" t="inlineStr">
        <is>
          <t>1.9</t>
        </is>
      </c>
      <c r="K165" t="inlineStr">
        <is>
          <t>Estimated (70% of WLTP, ADR-014)</t>
        </is>
      </c>
    </row>
    <row r="166">
      <c r="A166" t="inlineStr">
        <is>
          <t>TECH_000165</t>
        </is>
      </c>
      <c r="B166" t="inlineStr">
        <is>
          <t>BYD_ATTO3</t>
        </is>
      </c>
      <c r="D166" t="inlineStr">
        <is>
          <t>TF_WINTER_HIGHWAY_RANGE_ESTIMATE</t>
        </is>
      </c>
      <c r="E166" t="n">
        <v>294</v>
      </c>
      <c r="F166" t="inlineStr">
        <is>
          <t>KM</t>
        </is>
      </c>
      <c r="G166" t="inlineStr">
        <is>
          <t>SRC_BYD_NO_ATTO3</t>
        </is>
      </c>
      <c r="H166" t="inlineStr">
        <is>
          <t>LOW</t>
        </is>
      </c>
      <c r="I166" t="inlineStr">
        <is>
          <t>2026-07-08</t>
        </is>
      </c>
      <c r="J166" t="inlineStr">
        <is>
          <t>1.9</t>
        </is>
      </c>
      <c r="K166" t="inlineStr">
        <is>
          <t>Estimated (70% of WLTP, ADR-014)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VOLVO_EX30_P5_LONG_RANGE</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VOLVO_EX30_P5_LONG_RANGE</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VOLVO_EX30_P5_LONG_RANGE</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VOLVO_EX30_P5_LONG_RANGE</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VOLVO_EX30_P5_LONG_RANGE</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VOLVO_EX30_P5_LONG_RANGE</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VOLVO_EX30_P5_LONG_RANGE</t>
        </is>
      </c>
      <c r="D29" t="inlineStr">
        <is>
          <t>Rekkevidde/lading</t>
        </is>
      </c>
      <c r="E29" t="n">
        <v>4</v>
      </c>
      <c r="F29" t="inlineStr">
        <is>
          <t>MEDIUM</t>
        </is>
      </c>
      <c r="G29" t="inlineStr">
        <is>
          <t>Offisiell spesifikasjon viser 175 kW DC-hurtiglading (10-80% på ca. 27 minutter, uendret fra P8 AWD) og 17 kWh/100km forbruk med 475 km WLTP-rekkevidde for P5 Long Range - noe bedre enn P8 AWD (450 km/17,5 kWh/100km), som forventet for en enmotors konfigurasjon. [Kriterium W020]</t>
        </is>
      </c>
      <c r="H29" t="inlineStr">
        <is>
          <t>EV_000148</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VOLVO_EX30_P5_LONG_RANGE</t>
        </is>
      </c>
      <c r="D40" t="inlineStr">
        <is>
          <t>Økonomi</t>
        </is>
      </c>
      <c r="E40" t="n">
        <v>2</v>
      </c>
      <c r="F40" t="inlineStr">
        <is>
          <t>MEDIUM</t>
        </is>
      </c>
      <c r="G40" t="inlineStr">
        <is>
          <t>Dyrest av de seks (437 900 kr) med et forbruk på 17 kWh/100km - høyere enn de fleste andre i utvalget (Tesla 13,6, Skoda 15,3, Kia 15,2, Renault 15,5), men ikke en ytterlighet. I motsetning til P8 AWD (opprinnelig vurdert konfigurasjon) er P5 Long Range enmotors bakhjulsdrevet - det finnes derfor ingen argumentasjon om at merprisen går til firehjulsdrift/ytelse slik det gjorde for P8 AWD. Likevel forblir dette den klart dyreste konfigurasjonen av de seks uten en tilsvarende tydelig fordel som forsvarer merprisen. Svakest verdi for pengene av de seks. [Kriterium W017]</t>
        </is>
      </c>
      <c r="H40" t="inlineStr">
        <is>
          <t>EV_000149</t>
        </is>
      </c>
      <c r="I40" t="inlineStr">
        <is>
          <t>1.4</t>
        </is>
      </c>
    </row>
    <row r="41">
      <c r="A41" t="inlineStr">
        <is>
          <t>REV_000040</t>
        </is>
      </c>
      <c r="C41" t="inlineStr">
        <is>
          <t>KIA_EV2_FWD_LONG_RANGE_GT_LINE</t>
        </is>
      </c>
      <c r="D41" t="inlineStr">
        <is>
          <t>Økonomi</t>
        </is>
      </c>
      <c r="E41" t="n">
        <v>4</v>
      </c>
      <c r="F41" t="inlineStr">
        <is>
          <t>MEDIUM</t>
        </is>
      </c>
      <c r="G41" t="inlineStr">
        <is>
          <t>GT Line-trimmen koster 389 900 kr (offisiell Kia-konfigurator, ingen tilvalg) - ikke lengre lavest av utvalget som tidligere (feilaktig) oppgitt, men et solid mellomsjikt: billigere enn Tesla (400 539) og Volvo P5 Long Range (437 900), omtrent likt med BYD Design (389 920), dyrere enn Renault (364 900) og Skoda (374 900). Til gjengjeld har GT Line det mest omfattende standardutstyret registrert i dette datasettet (varme i seter/ratt, trådløs CarPlay/Android Auto, full ADAS-pakke med HDA 2.0 motorveiassistent og automatisk filskift) og nest-best rekkevidde (453 km). God, men ikke eksepsjonell, verdi for pengene - ikke lenger "billigst og best utstyrt" som tidligere feilaktig lagt til grunn.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VOLVO_EX30_P5_LONG_RANGE</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VOLVO_EX30_P5_LONG_RANGE</t>
        </is>
      </c>
      <c r="D47" t="inlineStr">
        <is>
          <t>Teknologi</t>
        </is>
      </c>
      <c r="E47" t="n">
        <v>3</v>
      </c>
      <c r="F47" t="inlineStr">
        <is>
          <t>MEDIUM</t>
        </is>
      </c>
      <c r="G47" t="inlineStr">
        <is>
          <t>Motor.no: ACC beskrives som "lunefull på norske vinterveier" - å justere hastighet/intervall "viste seg i praksis umulig" under vinterkjøring. Testet på P8 AWD (Twin Performance, firehjulsdrift); ACC-kalibrering kan i prinsippet variere mellom enmotors og tomotors utgaver av samme modell, og er ikke uavhengig bekreftet spesifikt for P5 Long Range. Isolert praktisk svakhet ved førerassistanse i norske vinterforhold,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VOLVO_EX30_P5_LONG_RANGE</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VOLVO_EX30_P5_LONG_RANGE</t>
        </is>
      </c>
      <c r="D58" t="inlineStr">
        <is>
          <t>Teknologi</t>
        </is>
      </c>
      <c r="E58" t="n">
        <v>2</v>
      </c>
      <c r="F58" t="inlineStr">
        <is>
          <t>LOW</t>
        </is>
      </c>
      <c r="G58" t="inlineStr">
        <is>
          <t>elbil.no og Frydenbøs trimnivå-sammenligning bekrefter at 360-graders kamera er forbeholdt Ultra-utstyrsnivå, ikke inkludert på Plus - men denne sammenligningen ble gjort for Twin Performance AWD (P8 AWD) spesifikt, same drivlinje til 468 900 kr. Hvilket utstyrsnivå (Plus/Ultra) P5 Long Range faktisk selges med er ikke uavhengig bekreftet - forblir bevisst ukjent for denne konfigurasjonen fremfor antatt identisk med P8 AWD.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VOLVO_EX30_P5_LONG_RANGE</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VOLVO_EX30_P5_LONG_RANGE</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VOLVO_EX30_P5_LONG_RANGE</t>
        </is>
      </c>
      <c r="D75" t="inlineStr">
        <is>
          <t>Langtidseierskap</t>
        </is>
      </c>
      <c r="E75" t="n">
        <v>4</v>
      </c>
      <c r="F75" t="inlineStr">
        <is>
          <t>LOW</t>
        </is>
      </c>
      <c r="G75" t="inlineStr">
        <is>
          <t>EX30 har vært på det norske markedet i rundt to-tre år, og Volvo er en veletablert produsent med lang nordisk historie. elbil.no sin uavhengige vintertest (ca. 75% av WLTP-rekkevidden beholdt ned mot -20°C) gjelder imidlertid uttrykkelig Twin Performance (samme drivlinje som P8 AWD, tomotors firehjulsdrift) - ikke P5 Long Range sin enmotors bakhjulsdrift, som har andre effektivitets- og regenereringsegenskaper i kulde. Dette datapunktet er derfor ikke direkte overførbart; stemmer overens med at M003 (vinterrekkevidde) forblir Ukjent for nettopp denne konfigurasjonen i 14_HardRequirementResults. Vurderingen hviler dermed hovedsakelig på merkets/modellens generelle nordiske tilstedeværelse, ikke et modellspesifikt vintertall for denne drivlinjen.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VOLVO_EX30_P5_LONG_RANGE</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VOLVO_EX30_P5_LONG_RANGE</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VOLVO_EX30_P5_LONG_RANGE</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VOLVO_EX30_P5_LONG_RANGE</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VOLVO_EX30_P5_LONG_RANGE</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50"/>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389900 kr incl. VAT/fees for the GT Line trim itself (verified directly against the live official Kia nettbutikk configurator, no optional extras), for 453km WLTP range - second-best range of the six at a middle price point (cheaper than Tesla and Volvo P5 Long Range, pricier than Renault and Skoda, essentially tied with BYD Design), with the richest standard equipment list gathered in this dataset. The buyer's own dealer quote (423340 kr total) reflects personal options (4-seat conversion, winter wheels, registration tax) and is not representative of the trim's own comparison price.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row r="149">
      <c r="A149" t="inlineStr">
        <is>
          <t>EV_000148</t>
        </is>
      </c>
      <c r="C149" t="inlineStr">
        <is>
          <t>VOLVO_EX30_P5_LONG_RANGE</t>
        </is>
      </c>
      <c r="D149" t="inlineStr">
        <is>
          <t>Ladeegenskaper/rekkevidde: Offisiell Volvo-spesifikasjon for P5 Long Range: 175 kW DC-hurtiglading (samme som P8 AWD), 475 km WLTP-rekkevidde og 17 kWh/100km forbruk - noe lengre rekkevidde og lavere forbruk enn P8 AWD (450 km / 17,5 kWh/100km), som forventet for en enmotors bakhjulsdrevet konfigurasjon.</t>
        </is>
      </c>
      <c r="E149" t="inlineStr">
        <is>
          <t>SRC_VOLVO_NO_EX30_SPECS</t>
        </is>
      </c>
      <c r="F149" t="inlineStr">
        <is>
          <t>MEDIUM</t>
        </is>
      </c>
    </row>
    <row r="150">
      <c r="A150" t="inlineStr">
        <is>
          <t>EV_000149</t>
        </is>
      </c>
      <c r="C150" t="inlineStr">
        <is>
          <t>VOLVO_EX30_P5_LONG_RANGE</t>
        </is>
      </c>
      <c r="D150" t="inlineStr">
        <is>
          <t>Price positioning: 437900 kr incl. VAT/fees (official Volvo specification page) for P5 Long Range, 475km WLTP range and 17 kWh/100km consumption - still the highest price of the six configurations compared, but without the dual-motor/performance premium that applied to P8 AWD (this is a single-motor RWD configuration).</t>
        </is>
      </c>
      <c r="E150" t="inlineStr">
        <is>
          <t>SRC_VOLVO_NO_EX30_SPECS</t>
        </is>
      </c>
      <c r="F150"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2026-07-07</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 Re-verified 2026-07-07 (user opened the live page directly): the page displays "Totalpris 389 900 kr inkl. mva" for this exact GT Line configuration (no optional extras beyond the GT Line package itself). This total was not cross-checked against this same source when BasePrice/ConfiguredPrice were first recorded (2026-07-06) - an internal component sum from a separate dealer-quote document (251655+94762=346417) was used instead, without reconciling it against the total already shown on this cited page. The 389900kr figure directly from this source is now treated as authoritative for BasePrice/ConfiguredPrice.</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VOLVO_EX30_P5_LONG_RANGE</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VOLVO_EX30_P5_LONG_RANGE</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VOLVO_EX30_P5_LONG_RANGE</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VOLVO_EX30_P5_LONG_RANGE</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VOLVO_EX30_P5_LONG_RANGE</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VOLVO_EX30_P5_LONG_RANGE</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VOLVO_EX30_P5_LONG_RANGE</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VOLVO_EX30_P5_LONG_RANGE</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VOLVO_EX30_P5_LONG_RANGE</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VOLVO_EX30_P5_LONG_RANGE</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VOLVO_EX30_P5_LONG_RANGE</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VOLVO_EX30_P5_LONG_RANGE</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VOLVO_EX30_P5_LONG_RANGE</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VOLVO_EX30_P5_LONG_RANGE</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VOLVO_EX30_P5_LONG_RANGE</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VOLVO_EX30_P5_LONG_RANGE</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VOLVO_EX30_P5_LONG_RANGE</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VOLVO_EX30_P5_LONG_RANGE</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VOLVO_EX30_P5_LONG_RANGE</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VOLVO_EX30_P5_LONG_RANGE</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33"/>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row r="28">
      <c r="A28" t="inlineStr">
        <is>
          <t>DEC_DASHBOARD_001</t>
        </is>
      </c>
      <c r="B28" t="inlineStr">
        <is>
          <t>2026-07-07</t>
        </is>
      </c>
      <c r="C28" t="inlineStr">
        <is>
          <t>1.8</t>
        </is>
      </c>
      <c r="D28" t="inlineStr">
        <is>
          <t>Added 15_Dashboard worksheet - Decision Summary, Category Breakdown, and Coverage Grid</t>
        </is>
      </c>
      <c r="E28" t="inlineStr">
        <is>
          <t>Comparing the 6 scored cars required opening 3-4 sheets and cross-referencing IDs by hand; 12_OverallScores is a data table, not a presentation layer. Converged two reviewed dashboard proposals into one v1 scope: a ranked Decision Summary (with Hard Requirement status correctly distinguishing PASS/UNKNOWN/FAIL-overridden/FAIL-excluded, not a bare PASS/FAIL), a Category Breakdown chart, and a Coverage Grid heatmap - the latter surfaces gaps like M003 winter-range being Unknown for 5 of 6 flagships in one glance, instead of only being visible by remembering it across separate sessions.</t>
        </is>
      </c>
      <c r="F28" t="inlineStr">
        <is>
          <t>Claude</t>
        </is>
      </c>
      <c r="G28" t="inlineStr">
        <is>
          <t>Scoped to the 6 already-scored flagship Configurations only. Every cell is a formula reading from 10_Scoring/12_OverallScores/01_Criteria/03_Configurations/14_HardRequirementResults - no new information introduced, nothing recomputed that 12_OverallScores already computes. Confirmed via scripts/onboarding_helpers.py coverage that the Coverage Grid formulas correctly union VehicleID- and ConfigurationID-level records (BYD has 14 Technical facts at Vehicle level, zero at Configuration level - a naive Configuration-only COUNTIF would have shown zero). Charts/heatmap colors could not be visually verified in this environment (no LibreOffice/GUI) - confirm visually in Excel. Not tied to a full ADR - presentational/tooling only, no methodology or weight change.</t>
        </is>
      </c>
      <c r="H28" t="inlineStr">
        <is>
          <t>NONE</t>
        </is>
      </c>
    </row>
    <row r="29">
      <c r="A29" t="inlineStr">
        <is>
          <t>DEC_DASHBOARD_002</t>
        </is>
      </c>
      <c r="B29" t="inlineStr">
        <is>
          <t>2026-07-07</t>
        </is>
      </c>
      <c r="C29" t="inlineStr">
        <is>
          <t>1.8</t>
        </is>
      </c>
      <c r="D29" t="inlineStr">
        <is>
          <t>Fixed 01_Criteria.Weight stored as text, causing 12_OverallScores.CoveragePercent #DIV/0!</t>
        </is>
      </c>
      <c r="E29" t="inlineStr">
        <is>
          <t>Opening the workbook in real Excel (apparently for the first time since these formulas were written under ADR-005) surfaced a pre-existing data-type bug: all 29 01_Criteria.Weight cells were stored as text strings (e.g. the text "8", not the number 8). SUMIFS/SUM ignore text values in a sum range even when they look numeric - only arithmetic operators like * and / auto-coerce text - so 12_OverallScores.CoveragePercent's denominator (a SUMIFS summing Weight directly) evaluated to 0, producing #DIV/0! for every Configuration. 12_OverallScores.OverallScore was unaffected, since it sums 10_Scoring.WeightedScore, a formula column whose own multiplication against Weight already auto-coerced the text correctly. This predates this session entirely - 01_Criteria was never touched while building the Dashboard - and was only caught now because no earlier session had ever actually opened this file in a real calculation engine; the Python dry-run script (scripts/onboarding_helpers.py) reimplements the same arithmetic independently in Python, which coerces the text values fine and so never exercised the live Excel SUMIFS behaviour that exposed this bug.</t>
        </is>
      </c>
      <c r="F29" t="inlineStr">
        <is>
          <t>Claude</t>
        </is>
      </c>
      <c r="G29" t="inlineStr">
        <is>
          <t>Converted all 29 01_Criteria.F (Weight) cells from text to numeric, same displayed values, no Weight actually changed. Re-verified via scripts/onboarding_helpers.py coverage that OverallScore rankings are unaffected (already independent of this bug). No FrameworkVersion change - the weights themselves are identical, only their Excel data type was corrected.</t>
        </is>
      </c>
      <c r="H29" t="inlineStr">
        <is>
          <t>NONE</t>
        </is>
      </c>
    </row>
    <row r="30">
      <c r="A30" t="inlineStr">
        <is>
          <t>DEC_DASHBOARD_003</t>
        </is>
      </c>
      <c r="B30" t="inlineStr">
        <is>
          <t>2026-07-07</t>
        </is>
      </c>
      <c r="C30" t="inlineStr">
        <is>
          <t>1.8</t>
        </is>
      </c>
      <c r="D30" t="inlineStr">
        <is>
          <t>Fixed 15_Dashboard Category Breakdown circular reference (column H collision)</t>
        </is>
      </c>
      <c r="E30" t="inlineStr">
        <is>
          <t>The 8 weighted Categories occupy columns B-I in the Category Breakdown block, but the ConfigurationID helper-anchor column was also hardcoded to column H (following the same pattern used safely in Decision Summary and Coverage Grid, which only use 6 visible columns each and never reach H). Column H is the 7th category (Garasje), so the category-formula loop overwrote the literal ConfigurationID anchor with a formula that reads {row} as its own ConfigurationID key - a genuine self-reference. This broke every cell in the block (all keyed off the now-circular H) and surfaced as Numbers refusing to calculate H29 and Excel Online reporting the workbook as unreadable.</t>
        </is>
      </c>
      <c r="F30" t="inlineStr">
        <is>
          <t>Claude</t>
        </is>
      </c>
      <c r="G30" t="inlineStr">
        <is>
          <t>Moved the ConfigurationID anchor to column J (clear of all 8 category columns), restored the Garasje header at H28, and rewrote all 20 buffered data rows (29-48) to key off  instead of . Re-verified independently in Python: BYD Teknologi=14.2 and Garasje=1.8 both match this sessions own recorded per-criterion scores exactly. Chart and conditional formatting untouched (both were already correctly scoped to columns B-I / B53:F72, unaffected by the anchor column).</t>
        </is>
      </c>
      <c r="H30" t="inlineStr">
        <is>
          <t>NONE</t>
        </is>
      </c>
    </row>
    <row r="31">
      <c r="A31" t="inlineStr">
        <is>
          <t>DEC_DASHBOARD_004</t>
        </is>
      </c>
      <c r="B31" t="inlineStr">
        <is>
          <t>2026-07-07</t>
        </is>
      </c>
      <c r="C31" t="inlineStr">
        <is>
          <t>1.8</t>
        </is>
      </c>
      <c r="D31" t="inlineStr">
        <is>
          <t>Switched Volvo EX30 flagship Configuration from P8 AWD to P5 Long Range</t>
        </is>
      </c>
      <c r="E31" t="inlineStr">
        <is>
          <t>User request: P8 AWD (AWD, dual-motor, Twin Performance, 468 900 kr) is a performance halo trim that does not match the mid-tier positioning chosen as flagship for the other five vehicles; P5 Long Range (RWD, single-motor, 437 900 kr) is a closer trim-level match. P8 AWD was originally chosen specifically because Motor.no tested that exact configuration directly, not for cross-vehicle parity - a known, previously-flagged asymmetry (DEC_DATA_004).</t>
        </is>
      </c>
      <c r="F31" t="inlineStr">
        <is>
          <t>Claude</t>
        </is>
      </c>
      <c r="G31" t="inlineStr">
        <is>
          <t>All 20 Reviews/Scores and the OverallScores row moved from VOLVO_EX30_P8_AWD to VOLVO_EX30_P5_LONG_RANGE (same ReviewID/ScoreID/OverallScoreID, ConfigurationID updated in place). 15 of 20 Reviews needed no other change (evidence was already Vehicle-level or drivetrain-independent - length, warranty, OTA, interior, infotainment, CarPlay, boot volume per Volvos own official page). Two Reviews had genuinely wrong facts for the new Configuration and were corrected: W020 (charging/range - P5 Long Range is actually 475km/17kWh/100km vs P8s 450km/17.5, same 175kW DC) and W017 (price/value - 437 900kr not 468 900kr, and the ex-AWD-premium framing no longer applies since P5 Long Range is RWD; score left at 2/5 since it remains the priciest of six with no offsetting advantage). Three Reviews got an explicit caveat and a confidence downgrade because their evidence was tied to the P8 AWD/Twin Performance drivetrain specifically: W008 (ACC quality, HIGH-&gt;MEDIUM), W009 (360-camera equipment tier, HIGH-&gt;LOW), W016 (Nordic maturity - the only winter-range data point was measured on the AWD powertrain, MEDIUM-&gt;LOW, consistent with 14_HardRequirementResults already showing M003 as Unknown for this exact Configuration rather than inheriting P8s PASS). P8 AWD remains in 03_Configurations as a real, priced sibling trim, not deleted. 15_Dashboard and scripts/onboarding_helpers.py FLAGSHIP_CONFIGURATION_IDS updated to reference the new flagship.</t>
        </is>
      </c>
      <c r="H31" t="inlineStr">
        <is>
          <t>NONE</t>
        </is>
      </c>
    </row>
    <row r="32">
      <c r="A32" t="inlineStr">
        <is>
          <t>DEC_DASHBOARD_005</t>
        </is>
      </c>
      <c r="B32" t="inlineStr">
        <is>
          <t>2026-07-07</t>
        </is>
      </c>
      <c r="C32" t="inlineStr">
        <is>
          <t>1.8</t>
        </is>
      </c>
      <c r="D32" t="inlineStr">
        <is>
          <t>Corrected Kia EV2 GT Line BasePrice/ConfiguredPrice from 346417/423340 to 389900</t>
        </is>
      </c>
      <c r="E32" t="inlineStr">
        <is>
          <t>User flagged that 346417 kr did not match their actual offer and asked to verify directly against the live official Kia nettbutikk configurator. Direct verification (user opened https://nettbutikk.kia.no/ev2/oppsummering, same configuration, same SourceID SRC_KIA_NETTBUTIKK_EV2 already cited in this row for technical facts) confirmed the page displays "Totalpris 389 900 kr inkl. mva" for GT Line with no optional extras - not 346417. The original 346417 figure came from summing two component prices in a separate dealer quote document (251655+94762) that was never reconciled against the total already shown on the official configurator page cited in the very same row for other facts - an internal-arithmetic error, not a genuine price change over time.</t>
        </is>
      </c>
      <c r="F32" t="inlineStr">
        <is>
          <t>Claude</t>
        </is>
      </c>
      <c r="G32" t="inlineStr">
        <is>
          <t>BasePrice and ConfiguredPrice both set to 389900 (matching every other vehicle in this workbook, where ConfiguredPrice = BasePrice when no buyer-specific options are being compared). The original dealer quote (423340 kr total, including 4-seat conversion, winter wheels, delivery and registration tax) is preserved in 03_Configurations.Notes as real historical context, not deleted - it simply no longer determines the comparison price. 08_Evidence EV_000052 and 07_Reviews REV_000040 (W017) corrected to match: REV_000040s claim that Kia was "cheapest of the five" is no longer true at 389900 kr (Renault 364900 and Skoda 374900 remain cheaper; Kia is essentially tied with BYD at 389920) - reworded honestly rather than left standing. Score left unchanged at 4/5: comprehensive standard equipment still justifies a strong-value score at a middle price point, just not the previously-claimed "cheapest AND best equipped" combination.</t>
        </is>
      </c>
      <c r="H32" t="inlineStr">
        <is>
          <t>NONE</t>
        </is>
      </c>
    </row>
    <row r="33">
      <c r="A33" t="inlineStr">
        <is>
          <t>DEC_ADR_014</t>
        </is>
      </c>
      <c r="B33" t="inlineStr">
        <is>
          <t>2026-07-08</t>
        </is>
      </c>
      <c r="C33" t="inlineStr">
        <is>
          <t>1.9</t>
        </is>
      </c>
      <c r="D33" t="inlineStr">
        <is>
          <t>Introduced a WLTP-based estimation method for M003 (winter motorway range) when no independent winter test exists, and resolved it for all six flagship Configurations (ADR-014)</t>
        </is>
      </c>
      <c r="E33" t="inlineStr">
        <is>
          <t>M003 had been UNKNOWN for all six flagships since DEC_M003_VERIFY - only two real winter test data points exist workbook-wide (Volvo P8 AWD, mismatched-trim Renault). User confirmed the underlying need tolerates one charging stop (not a strict zero-stop 300km requirement) but chose to fix the immediate data gap with a conservative WLTP x 0.70 estimate (below both real observed ratios of 72-75%) rather than wait indefinitely for real winter test data on 2026-model-year cars.</t>
        </is>
      </c>
      <c r="F33" t="inlineStr">
        <is>
          <t>Claude</t>
        </is>
      </c>
      <c r="G33" t="inlineStr">
        <is>
          <t>6 HardRequirementResults rows updated in place (IDs unchanged): Tesla/Skoda/Volvo/Kia now PASS at LOW confidence; Renault and BYD now FAIL at LOW confidence. Per user's explicit direction, Renault and BYD are kept scored via HardRequirementOverride=TRUE, same treatment as Tesla's existing M002 FAIL override - not excluded from the comparison. 6 new 04_Technical TF_WINTER_HIGHWAY_RANGE_ESTIMATE rows added (TECH_000160-000165), Qualifier-disambiguated from the 2 existing real-test-based rows (Volvo P8 AWD, Renault Techno) which were left untouched. 15_Dashboard Decision Summary gained a Hard Requirement Reason column. Whether M003's own binary PASS/FAIL shape should be redefined to reflect a real 1-stop tolerance instead of a flat 300km/no-stop gate is a separate, larger question - deliberately out of scope here, see ADR-014 Alternatives Considered.</t>
        </is>
      </c>
      <c r="H33" t="inlineStr">
        <is>
          <t>METHODOLOGY</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VOLVO_EX30_P5_LONG_RANGE</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PASS</t>
        </is>
      </c>
      <c r="E38" t="inlineStr">
        <is>
          <t>LOW</t>
        </is>
      </c>
      <c r="F38" t="inlineStr">
        <is>
          <t>Estimert vintervegkjørelengde = 70% av WLTP (ADR-014): 691 km (19-tommers hjul, konservativt valgt fremfor 750 km/18-tommers) x 0.70 = 483.7 km, god margin over ~300 km-kravet. Faktiske vintertester funnet tidligere ble forkastet som upålitelige (utdatert generasjon; NAF-tall matcher ingen registrert konfigurasjon) - forblir en LOW-konfidens estimering, ikke en måling.</t>
        </is>
      </c>
      <c r="H38" t="inlineStr">
        <is>
          <t>1.9</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FAIL</t>
        </is>
      </c>
      <c r="E44" t="inlineStr">
        <is>
          <t>LOW</t>
        </is>
      </c>
      <c r="F44" t="inlineStr">
        <is>
          <t>Estimert vintervegkjørelengde = 70% av WLTP (ADR-014): 398 km x 0.70 = 278.6 km, under ~300 km-kravet med 21.4 km. Bekreftes av det eksisterende reelle datapunktet (elbil.no, Iconic-trim, 287 km) - begge tall peker under 300 km selv om testen ikke matcher trim/forhold nøyaktig.</t>
        </is>
      </c>
      <c r="G44" t="inlineStr">
        <is>
          <t>SRC_ELBIL_RENAULT4_TEST</t>
        </is>
      </c>
      <c r="H44" t="inlineStr">
        <is>
          <t>1.9</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PASS</t>
        </is>
      </c>
      <c r="E49" t="inlineStr">
        <is>
          <t>LOW</t>
        </is>
      </c>
      <c r="F49" t="inlineStr">
        <is>
          <t>Ingen uavhengig vintertest funnet. Estimert vintervegkjørelengde = 70% av WLTP (ADR-014): 448 km x 0.70 = 313.6 km, bestått med kun 13.6 km margin - tett, men bestått under denne metodikken.</t>
        </is>
      </c>
      <c r="H49" t="inlineStr">
        <is>
          <t>1.9</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PASS</t>
        </is>
      </c>
      <c r="E53" t="inlineStr">
        <is>
          <t>LOW</t>
        </is>
      </c>
      <c r="F53" t="inlineStr">
        <is>
          <t>Ingen vintertest vurdert for denne spesifikke konfigurasjonen. Estimert vintervegkjørelengde = 70% av WLTP (ADR-014): 475 km x 0.70 = 332.5 km, bestått med 32.5 km margin. Bekreftes av det reelle testresultatet for søsterkonfigurasjonen P8 AWD (338 km, samme plattform) som ligger tett opptil.</t>
        </is>
      </c>
      <c r="H53" t="inlineStr">
        <is>
          <t>1.9</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PASS</t>
        </is>
      </c>
      <c r="E55" t="inlineStr">
        <is>
          <t>LOW</t>
        </is>
      </c>
      <c r="F55" t="inlineStr">
        <is>
          <t>Ingen uavhengig vintertest funnet - trolig fordi modellen er for ny for det norske markedet. Estimert vintervegkjørelengde = 70% av WLTP (ADR-014): 453 km x 0.70 = 317.1 km, bestått med 17.1 km margin.</t>
        </is>
      </c>
      <c r="H55" t="inlineStr">
        <is>
          <t>1.9</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FAIL</t>
        </is>
      </c>
      <c r="E99" t="inlineStr">
        <is>
          <t>LOW</t>
        </is>
      </c>
      <c r="F99" t="inlineStr">
        <is>
          <t>Ingen bekreftet uavhengig vintertest funnet (tidligere søkemotor-sammendrag om 311 km kunne ikke bekreftes mot NAFs egen side). Estimert vintervegkjørelengde = 70% av WLTP (ADR-014): 420 km x 0.70 = 294.0 km, marginalt under ~300 km-kravet med 6.0 km - svært tett, i praksis på grensen.</t>
        </is>
      </c>
      <c r="H99" t="inlineStr">
        <is>
          <t>1.9</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15"/>
  <sheetViews>
    <sheetView showGridLines="0"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3" customWidth="1" min="4" max="4"/>
    <col width="15" customWidth="1" min="5" max="5"/>
    <col width="30" customWidth="1" min="6" max="6"/>
    <col width="3" customWidth="1" min="7" max="7"/>
    <col width="32" customWidth="1" min="8" max="8"/>
    <col width="22" customWidth="1" min="9" max="9"/>
    <col width="32" customWidth="1" min="10" max="10"/>
    <col width="20" customWidth="1" min="11" max="11"/>
    <col width="3" customWidth="1" min="12" max="12"/>
    <col width="55" customWidth="1" min="13" max="13"/>
    <col width="55" customWidth="1" min="14" max="14"/>
    <col width="3" customWidth="1" min="15" max="15"/>
    <col width="16" customWidth="1" min="16" max="16"/>
    <col width="16" customWidth="1" min="17" max="17"/>
    <col width="55" customWidth="1" min="18" max="18"/>
  </cols>
  <sheetData>
    <row r="1">
      <c r="A1" s="2" t="inlineStr">
        <is>
          <t>EV Decision Framework - Dashboard</t>
        </is>
      </c>
    </row>
    <row r="2">
      <c r="A2" s="3" t="inlineStr">
        <is>
          <t>Flagship Configurations only - see 03_Configurations for the full 20-Configuration set.</t>
        </is>
      </c>
    </row>
    <row r="4">
      <c r="A4" s="4" t="inlineStr">
        <is>
          <t>1. Decision Summary</t>
        </is>
      </c>
    </row>
    <row r="5">
      <c r="A5" s="1" t="inlineStr">
        <is>
          <t>Rank</t>
        </is>
      </c>
      <c r="B5" s="1" t="inlineStr">
        <is>
          <t>Vehicle / Trim</t>
        </is>
      </c>
      <c r="C5" s="1" t="inlineStr">
        <is>
          <t>ConfiguredPrice</t>
        </is>
      </c>
      <c r="D5" s="1" t="inlineStr">
        <is>
          <t>OverallScore</t>
        </is>
      </c>
      <c r="E5" s="1" t="inlineStr">
        <is>
          <t>CoveragePercent</t>
        </is>
      </c>
      <c r="F5" s="1" t="inlineStr">
        <is>
          <t>Hard Requirement Status</t>
        </is>
      </c>
      <c r="H5" s="5" t="inlineStr">
        <is>
          <t>ConfigurationID</t>
        </is>
      </c>
      <c r="I5" s="5" t="inlineStr">
        <is>
          <t>Manufacturer</t>
        </is>
      </c>
      <c r="J5" s="5" t="inlineStr">
        <is>
          <t>Model</t>
        </is>
      </c>
      <c r="K5" s="5" t="inlineStr">
        <is>
          <t>Trim</t>
        </is>
      </c>
      <c r="L5" s="5" t="inlineStr">
        <is>
          <t>HasFail</t>
        </is>
      </c>
      <c r="M5" s="5" t="inlineStr">
        <is>
          <t>HasUnknown</t>
        </is>
      </c>
      <c r="N5" s="5" t="inlineStr">
        <is>
          <t>FailCriterion</t>
        </is>
      </c>
      <c r="R5" s="10" t="inlineStr">
        <is>
          <t>Hard Requirement Reason</t>
        </is>
      </c>
    </row>
    <row r="6" ht="45" customHeight="1">
      <c r="A6" s="6">
        <f>IF($H6="","",RANK($D6,$D$6:$D$25,0))</f>
        <v/>
      </c>
      <c r="B6" s="6">
        <f>IF($H6="","",$I6&amp;" "&amp;$J6&amp;" ("&amp;$K6&amp;")")</f>
        <v/>
      </c>
      <c r="C6" s="6">
        <f>IFERROR(INDEX('03_Configurations'!$G$2:$G$1000,MATCH($H6,'03_Configurations'!$A$2:$A$1000,0)),"")</f>
        <v/>
      </c>
      <c r="D6" s="6">
        <f>IFERROR(INDEX('12_OverallScores'!$D$2:$D$1000,MATCH($H6,'12_OverallScores'!$B$2:$B$1000,0)),"")</f>
        <v/>
      </c>
      <c r="E6" s="6">
        <f>IFERROR(INDEX('12_OverallScores'!$E$2:$E$1000,MATCH($H6,'12_OverallScores'!$B$2:$B$1000,0)),"")</f>
        <v/>
      </c>
      <c r="F6" s="6">
        <f>IF($H6="","",IF($L6&gt;0,IF(IFERROR(INDEX('03_Configurations'!$I$2:$I$1000,MATCH($H6,'03_Configurations'!$A$2:$A$1000,0)),"FALSE")="TRUE","FAIL ("&amp;$N6&amp;") - kept, overridden","FAIL ("&amp;$N6&amp;") - excluded"),IF($M6&gt;0,"UNKNOWN","PASS")))</f>
        <v/>
      </c>
      <c r="G6" s="6" t="n"/>
      <c r="H6" s="6" t="inlineStr">
        <is>
          <t>TESLA_MODEL_3_LONG_RANGE_RWD</t>
        </is>
      </c>
      <c r="I6" s="6">
        <f>IFERROR(INDEX('02_Vehicles'!$B$2:$B$1000,MATCH(INDEX('03_Configurations'!$B$2:$B$1000,MATCH($H6,'03_Configurations'!$A$2:$A$1000,0)),'02_Vehicles'!$A$2:$A$1000,0)),"")</f>
        <v/>
      </c>
      <c r="J6" s="6">
        <f>IFERROR(INDEX('02_Vehicles'!$C$2:$C$1000,MATCH(INDEX('03_Configurations'!$B$2:$B$1000,MATCH($H6,'03_Configurations'!$A$2:$A$1000,0)),'02_Vehicles'!$A$2:$A$1000,0)),"")</f>
        <v/>
      </c>
      <c r="K6" s="6">
        <f>IFERROR(INDEX('03_Configurations'!$E$2:$E$1000,MATCH($H6,'03_Configurations'!$A$2:$A$1000,0)),"")</f>
        <v/>
      </c>
      <c r="L6" s="6">
        <f>IF($H6="","",COUNTIFS('14_HardRequirementResults'!$B$2:$B$1000,$H6,'14_HardRequirementResults'!$D$2:$D$1000,"FAIL"))</f>
        <v/>
      </c>
      <c r="M6" s="6">
        <f>IF($H6="","",COUNTIFS('14_HardRequirementResults'!$B$2:$B$1000,$H6,'14_HardRequirementResults'!$D$2:$D$1000,"UNKNOWN"))</f>
        <v/>
      </c>
      <c r="N6" s="6">
        <f>IF($L6="","",IF($L6&gt;0,IFERROR(INDEX('14_HardRequirementResults'!$C$2:$C$1000,MATCH(1,INDEX(('14_HardRequirementResults'!$B$2:$B$1000=$H6)*('14_HardRequirementResults'!$D$2:$D$1000="FAIL"),0),0)),""),""))</f>
        <v/>
      </c>
      <c r="R6" s="11">
        <f>IF($N6="","",IFERROR(INDEX('14_HardRequirementResults'!$F$2:$F$1000,MATCH(1,INDEX(('14_HardRequirementResults'!$B$2:$B$1000=$H6)*('14_HardRequirementResults'!$C$2:$C$1000=$N6),0),0)),""))</f>
        <v/>
      </c>
    </row>
    <row r="7" ht="45" customHeight="1">
      <c r="A7" s="6">
        <f>IF($H7="","",RANK($D7,$D$6:$D$25,0))</f>
        <v/>
      </c>
      <c r="B7" s="6">
        <f>IF($H7="","",$I7&amp;" "&amp;$J7&amp;" ("&amp;$K7&amp;")")</f>
        <v/>
      </c>
      <c r="C7" s="6">
        <f>IFERROR(INDEX('03_Configurations'!$G$2:$G$1000,MATCH($H7,'03_Configurations'!$A$2:$A$1000,0)),"")</f>
        <v/>
      </c>
      <c r="D7" s="6">
        <f>IFERROR(INDEX('12_OverallScores'!$D$2:$D$1000,MATCH($H7,'12_OverallScores'!$B$2:$B$1000,0)),"")</f>
        <v/>
      </c>
      <c r="E7" s="6">
        <f>IFERROR(INDEX('12_OverallScores'!$E$2:$E$1000,MATCH($H7,'12_OverallScores'!$B$2:$B$1000,0)),"")</f>
        <v/>
      </c>
      <c r="F7" s="6">
        <f>IF($H7="","",IF($L7&gt;0,IF(IFERROR(INDEX('03_Configurations'!$I$2:$I$1000,MATCH($H7,'03_Configurations'!$A$2:$A$1000,0)),"FALSE")="TRUE","FAIL ("&amp;$N7&amp;") - kept, overridden","FAIL ("&amp;$N7&amp;") - excluded"),IF($M7&gt;0,"UNKNOWN","PASS")))</f>
        <v/>
      </c>
      <c r="G7" s="6" t="n"/>
      <c r="H7" s="6" t="inlineStr">
        <is>
          <t>RENAULT_4_TECHNO</t>
        </is>
      </c>
      <c r="I7" s="6">
        <f>IFERROR(INDEX('02_Vehicles'!$B$2:$B$1000,MATCH(INDEX('03_Configurations'!$B$2:$B$1000,MATCH($H7,'03_Configurations'!$A$2:$A$1000,0)),'02_Vehicles'!$A$2:$A$1000,0)),"")</f>
        <v/>
      </c>
      <c r="J7" s="6">
        <f>IFERROR(INDEX('02_Vehicles'!$C$2:$C$1000,MATCH(INDEX('03_Configurations'!$B$2:$B$1000,MATCH($H7,'03_Configurations'!$A$2:$A$1000,0)),'02_Vehicles'!$A$2:$A$1000,0)),"")</f>
        <v/>
      </c>
      <c r="K7" s="6">
        <f>IFERROR(INDEX('03_Configurations'!$E$2:$E$1000,MATCH($H7,'03_Configurations'!$A$2:$A$1000,0)),"")</f>
        <v/>
      </c>
      <c r="L7" s="6">
        <f>IF($H7="","",COUNTIFS('14_HardRequirementResults'!$B$2:$B$1000,$H7,'14_HardRequirementResults'!$D$2:$D$1000,"FAIL"))</f>
        <v/>
      </c>
      <c r="M7" s="6">
        <f>IF($H7="","",COUNTIFS('14_HardRequirementResults'!$B$2:$B$1000,$H7,'14_HardRequirementResults'!$D$2:$D$1000,"UNKNOWN"))</f>
        <v/>
      </c>
      <c r="N7" s="6">
        <f>IF($L7="","",IF($L7&gt;0,IFERROR(INDEX('14_HardRequirementResults'!$C$2:$C$1000,MATCH(1,INDEX(('14_HardRequirementResults'!$B$2:$B$1000=$H7)*('14_HardRequirementResults'!$D$2:$D$1000="FAIL"),0),0)),""),""))</f>
        <v/>
      </c>
      <c r="R7" s="11">
        <f>IF($N7="","",IFERROR(INDEX('14_HardRequirementResults'!$F$2:$F$1000,MATCH(1,INDEX(('14_HardRequirementResults'!$B$2:$B$1000=$H7)*('14_HardRequirementResults'!$C$2:$C$1000=$N7),0),0)),""))</f>
        <v/>
      </c>
    </row>
    <row r="8" ht="45" customHeight="1">
      <c r="A8" s="6">
        <f>IF($H8="","",RANK($D8,$D$6:$D$25,0))</f>
        <v/>
      </c>
      <c r="B8" s="6">
        <f>IF($H8="","",$I8&amp;" "&amp;$J8&amp;" ("&amp;$K8&amp;")")</f>
        <v/>
      </c>
      <c r="C8" s="6">
        <f>IFERROR(INDEX('03_Configurations'!$G$2:$G$1000,MATCH($H8,'03_Configurations'!$A$2:$A$1000,0)),"")</f>
        <v/>
      </c>
      <c r="D8" s="6">
        <f>IFERROR(INDEX('12_OverallScores'!$D$2:$D$1000,MATCH($H8,'12_OverallScores'!$B$2:$B$1000,0)),"")</f>
        <v/>
      </c>
      <c r="E8" s="6">
        <f>IFERROR(INDEX('12_OverallScores'!$E$2:$E$1000,MATCH($H8,'12_OverallScores'!$B$2:$B$1000,0)),"")</f>
        <v/>
      </c>
      <c r="F8" s="6">
        <f>IF($H8="","",IF($L8&gt;0,IF(IFERROR(INDEX('03_Configurations'!$I$2:$I$1000,MATCH($H8,'03_Configurations'!$A$2:$A$1000,0)),"FALSE")="TRUE","FAIL ("&amp;$N8&amp;") - kept, overridden","FAIL ("&amp;$N8&amp;") - excluded"),IF($M8&gt;0,"UNKNOWN","PASS")))</f>
        <v/>
      </c>
      <c r="G8" s="6" t="n"/>
      <c r="H8" s="6" t="inlineStr">
        <is>
          <t>SKODA_ELROQ_SELECTION_60</t>
        </is>
      </c>
      <c r="I8" s="6">
        <f>IFERROR(INDEX('02_Vehicles'!$B$2:$B$1000,MATCH(INDEX('03_Configurations'!$B$2:$B$1000,MATCH($H8,'03_Configurations'!$A$2:$A$1000,0)),'02_Vehicles'!$A$2:$A$1000,0)),"")</f>
        <v/>
      </c>
      <c r="J8" s="6">
        <f>IFERROR(INDEX('02_Vehicles'!$C$2:$C$1000,MATCH(INDEX('03_Configurations'!$B$2:$B$1000,MATCH($H8,'03_Configurations'!$A$2:$A$1000,0)),'02_Vehicles'!$A$2:$A$1000,0)),"")</f>
        <v/>
      </c>
      <c r="K8" s="6">
        <f>IFERROR(INDEX('03_Configurations'!$E$2:$E$1000,MATCH($H8,'03_Configurations'!$A$2:$A$1000,0)),"")</f>
        <v/>
      </c>
      <c r="L8" s="6">
        <f>IF($H8="","",COUNTIFS('14_HardRequirementResults'!$B$2:$B$1000,$H8,'14_HardRequirementResults'!$D$2:$D$1000,"FAIL"))</f>
        <v/>
      </c>
      <c r="M8" s="6">
        <f>IF($H8="","",COUNTIFS('14_HardRequirementResults'!$B$2:$B$1000,$H8,'14_HardRequirementResults'!$D$2:$D$1000,"UNKNOWN"))</f>
        <v/>
      </c>
      <c r="N8" s="6">
        <f>IF($L8="","",IF($L8&gt;0,IFERROR(INDEX('14_HardRequirementResults'!$C$2:$C$1000,MATCH(1,INDEX(('14_HardRequirementResults'!$B$2:$B$1000=$H8)*('14_HardRequirementResults'!$D$2:$D$1000="FAIL"),0),0)),""),""))</f>
        <v/>
      </c>
      <c r="R8" s="11">
        <f>IF($N8="","",IFERROR(INDEX('14_HardRequirementResults'!$F$2:$F$1000,MATCH(1,INDEX(('14_HardRequirementResults'!$B$2:$B$1000=$H8)*('14_HardRequirementResults'!$C$2:$C$1000=$N8),0),0)),""))</f>
        <v/>
      </c>
    </row>
    <row r="9" ht="45" customHeight="1">
      <c r="A9" s="6">
        <f>IF($H9="","",RANK($D9,$D$6:$D$25,0))</f>
        <v/>
      </c>
      <c r="B9" s="6">
        <f>IF($H9="","",$I9&amp;" "&amp;$J9&amp;" ("&amp;$K9&amp;")")</f>
        <v/>
      </c>
      <c r="C9" s="6">
        <f>IFERROR(INDEX('03_Configurations'!$G$2:$G$1000,MATCH($H9,'03_Configurations'!$A$2:$A$1000,0)),"")</f>
        <v/>
      </c>
      <c r="D9" s="6">
        <f>IFERROR(INDEX('12_OverallScores'!$D$2:$D$1000,MATCH($H9,'12_OverallScores'!$B$2:$B$1000,0)),"")</f>
        <v/>
      </c>
      <c r="E9" s="6">
        <f>IFERROR(INDEX('12_OverallScores'!$E$2:$E$1000,MATCH($H9,'12_OverallScores'!$B$2:$B$1000,0)),"")</f>
        <v/>
      </c>
      <c r="F9" s="6">
        <f>IF($H9="","",IF($L9&gt;0,IF(IFERROR(INDEX('03_Configurations'!$I$2:$I$1000,MATCH($H9,'03_Configurations'!$A$2:$A$1000,0)),"FALSE")="TRUE","FAIL ("&amp;$N9&amp;") - kept, overridden","FAIL ("&amp;$N9&amp;") - excluded"),IF($M9&gt;0,"UNKNOWN","PASS")))</f>
        <v/>
      </c>
      <c r="G9" s="6" t="n"/>
      <c r="H9" s="6" t="inlineStr">
        <is>
          <t>VOLVO_EX30_P5_LONG_RANGE</t>
        </is>
      </c>
      <c r="I9" s="6">
        <f>IFERROR(INDEX('02_Vehicles'!$B$2:$B$1000,MATCH(INDEX('03_Configurations'!$B$2:$B$1000,MATCH($H9,'03_Configurations'!$A$2:$A$1000,0)),'02_Vehicles'!$A$2:$A$1000,0)),"")</f>
        <v/>
      </c>
      <c r="J9" s="6">
        <f>IFERROR(INDEX('02_Vehicles'!$C$2:$C$1000,MATCH(INDEX('03_Configurations'!$B$2:$B$1000,MATCH($H9,'03_Configurations'!$A$2:$A$1000,0)),'02_Vehicles'!$A$2:$A$1000,0)),"")</f>
        <v/>
      </c>
      <c r="K9" s="6">
        <f>IFERROR(INDEX('03_Configurations'!$E$2:$E$1000,MATCH($H9,'03_Configurations'!$A$2:$A$1000,0)),"")</f>
        <v/>
      </c>
      <c r="L9" s="6">
        <f>IF($H9="","",COUNTIFS('14_HardRequirementResults'!$B$2:$B$1000,$H9,'14_HardRequirementResults'!$D$2:$D$1000,"FAIL"))</f>
        <v/>
      </c>
      <c r="M9" s="6">
        <f>IF($H9="","",COUNTIFS('14_HardRequirementResults'!$B$2:$B$1000,$H9,'14_HardRequirementResults'!$D$2:$D$1000,"UNKNOWN"))</f>
        <v/>
      </c>
      <c r="N9" s="6">
        <f>IF($L9="","",IF($L9&gt;0,IFERROR(INDEX('14_HardRequirementResults'!$C$2:$C$1000,MATCH(1,INDEX(('14_HardRequirementResults'!$B$2:$B$1000=$H9)*('14_HardRequirementResults'!$D$2:$D$1000="FAIL"),0),0)),""),""))</f>
        <v/>
      </c>
      <c r="R9" s="11">
        <f>IF($N9="","",IFERROR(INDEX('14_HardRequirementResults'!$F$2:$F$1000,MATCH(1,INDEX(('14_HardRequirementResults'!$B$2:$B$1000=$H9)*('14_HardRequirementResults'!$C$2:$C$1000=$N9),0),0)),""))</f>
        <v/>
      </c>
    </row>
    <row r="10" ht="45" customHeight="1">
      <c r="A10" s="6">
        <f>IF($H10="","",RANK($D10,$D$6:$D$25,0))</f>
        <v/>
      </c>
      <c r="B10" s="6">
        <f>IF($H10="","",$I10&amp;" "&amp;$J10&amp;" ("&amp;$K10&amp;")")</f>
        <v/>
      </c>
      <c r="C10" s="6">
        <f>IFERROR(INDEX('03_Configurations'!$G$2:$G$1000,MATCH($H10,'03_Configurations'!$A$2:$A$1000,0)),"")</f>
        <v/>
      </c>
      <c r="D10" s="6">
        <f>IFERROR(INDEX('12_OverallScores'!$D$2:$D$1000,MATCH($H10,'12_OverallScores'!$B$2:$B$1000,0)),"")</f>
        <v/>
      </c>
      <c r="E10" s="6">
        <f>IFERROR(INDEX('12_OverallScores'!$E$2:$E$1000,MATCH($H10,'12_OverallScores'!$B$2:$B$1000,0)),"")</f>
        <v/>
      </c>
      <c r="F10" s="6">
        <f>IF($H10="","",IF($L10&gt;0,IF(IFERROR(INDEX('03_Configurations'!$I$2:$I$1000,MATCH($H10,'03_Configurations'!$A$2:$A$1000,0)),"FALSE")="TRUE","FAIL ("&amp;$N10&amp;") - kept, overridden","FAIL ("&amp;$N10&amp;") - excluded"),IF($M10&gt;0,"UNKNOWN","PASS")))</f>
        <v/>
      </c>
      <c r="G10" s="6" t="n"/>
      <c r="H10" s="6" t="inlineStr">
        <is>
          <t>KIA_EV2_FWD_LONG_RANGE_GT_LINE</t>
        </is>
      </c>
      <c r="I10" s="6">
        <f>IFERROR(INDEX('02_Vehicles'!$B$2:$B$1000,MATCH(INDEX('03_Configurations'!$B$2:$B$1000,MATCH($H10,'03_Configurations'!$A$2:$A$1000,0)),'02_Vehicles'!$A$2:$A$1000,0)),"")</f>
        <v/>
      </c>
      <c r="J10" s="6">
        <f>IFERROR(INDEX('02_Vehicles'!$C$2:$C$1000,MATCH(INDEX('03_Configurations'!$B$2:$B$1000,MATCH($H10,'03_Configurations'!$A$2:$A$1000,0)),'02_Vehicles'!$A$2:$A$1000,0)),"")</f>
        <v/>
      </c>
      <c r="K10" s="6">
        <f>IFERROR(INDEX('03_Configurations'!$E$2:$E$1000,MATCH($H10,'03_Configurations'!$A$2:$A$1000,0)),"")</f>
        <v/>
      </c>
      <c r="L10" s="6">
        <f>IF($H10="","",COUNTIFS('14_HardRequirementResults'!$B$2:$B$1000,$H10,'14_HardRequirementResults'!$D$2:$D$1000,"FAIL"))</f>
        <v/>
      </c>
      <c r="M10" s="6">
        <f>IF($H10="","",COUNTIFS('14_HardRequirementResults'!$B$2:$B$1000,$H10,'14_HardRequirementResults'!$D$2:$D$1000,"UNKNOWN"))</f>
        <v/>
      </c>
      <c r="N10" s="6">
        <f>IF($L10="","",IF($L10&gt;0,IFERROR(INDEX('14_HardRequirementResults'!$C$2:$C$1000,MATCH(1,INDEX(('14_HardRequirementResults'!$B$2:$B$1000=$H10)*('14_HardRequirementResults'!$D$2:$D$1000="FAIL"),0),0)),""),""))</f>
        <v/>
      </c>
      <c r="R10" s="11">
        <f>IF($N10="","",IFERROR(INDEX('14_HardRequirementResults'!$F$2:$F$1000,MATCH(1,INDEX(('14_HardRequirementResults'!$B$2:$B$1000=$H10)*('14_HardRequirementResults'!$C$2:$C$1000=$N10),0),0)),""))</f>
        <v/>
      </c>
    </row>
    <row r="11" ht="45" customHeight="1">
      <c r="A11" s="6">
        <f>IF($H11="","",RANK($D11,$D$6:$D$25,0))</f>
        <v/>
      </c>
      <c r="B11" s="6">
        <f>IF($H11="","",$I11&amp;" "&amp;$J11&amp;" ("&amp;$K11&amp;")")</f>
        <v/>
      </c>
      <c r="C11" s="6">
        <f>IFERROR(INDEX('03_Configurations'!$G$2:$G$1000,MATCH($H11,'03_Configurations'!$A$2:$A$1000,0)),"")</f>
        <v/>
      </c>
      <c r="D11" s="6">
        <f>IFERROR(INDEX('12_OverallScores'!$D$2:$D$1000,MATCH($H11,'12_OverallScores'!$B$2:$B$1000,0)),"")</f>
        <v/>
      </c>
      <c r="E11" s="6">
        <f>IFERROR(INDEX('12_OverallScores'!$E$2:$E$1000,MATCH($H11,'12_OverallScores'!$B$2:$B$1000,0)),"")</f>
        <v/>
      </c>
      <c r="F11" s="6">
        <f>IF($H11="","",IF($L11&gt;0,IF(IFERROR(INDEX('03_Configurations'!$I$2:$I$1000,MATCH($H11,'03_Configurations'!$A$2:$A$1000,0)),"FALSE")="TRUE","FAIL ("&amp;$N11&amp;") - kept, overridden","FAIL ("&amp;$N11&amp;") - excluded"),IF($M11&gt;0,"UNKNOWN","PASS")))</f>
        <v/>
      </c>
      <c r="G11" s="6" t="n"/>
      <c r="H11" s="6" t="inlineStr">
        <is>
          <t>BYD_ATTO3_DESIGN</t>
        </is>
      </c>
      <c r="I11" s="6">
        <f>IFERROR(INDEX('02_Vehicles'!$B$2:$B$1000,MATCH(INDEX('03_Configurations'!$B$2:$B$1000,MATCH($H11,'03_Configurations'!$A$2:$A$1000,0)),'02_Vehicles'!$A$2:$A$1000,0)),"")</f>
        <v/>
      </c>
      <c r="J11" s="6">
        <f>IFERROR(INDEX('02_Vehicles'!$C$2:$C$1000,MATCH(INDEX('03_Configurations'!$B$2:$B$1000,MATCH($H11,'03_Configurations'!$A$2:$A$1000,0)),'02_Vehicles'!$A$2:$A$1000,0)),"")</f>
        <v/>
      </c>
      <c r="K11" s="6">
        <f>IFERROR(INDEX('03_Configurations'!$E$2:$E$1000,MATCH($H11,'03_Configurations'!$A$2:$A$1000,0)),"")</f>
        <v/>
      </c>
      <c r="L11" s="6">
        <f>IF($H11="","",COUNTIFS('14_HardRequirementResults'!$B$2:$B$1000,$H11,'14_HardRequirementResults'!$D$2:$D$1000,"FAIL"))</f>
        <v/>
      </c>
      <c r="M11" s="6">
        <f>IF($H11="","",COUNTIFS('14_HardRequirementResults'!$B$2:$B$1000,$H11,'14_HardRequirementResults'!$D$2:$D$1000,"UNKNOWN"))</f>
        <v/>
      </c>
      <c r="N11" s="6">
        <f>IF($L11="","",IF($L11&gt;0,IFERROR(INDEX('14_HardRequirementResults'!$C$2:$C$1000,MATCH(1,INDEX(('14_HardRequirementResults'!$B$2:$B$1000=$H11)*('14_HardRequirementResults'!$D$2:$D$1000="FAIL"),0),0)),""),""))</f>
        <v/>
      </c>
      <c r="R11" s="11">
        <f>IF($N11="","",IFERROR(INDEX('14_HardRequirementResults'!$F$2:$F$1000,MATCH(1,INDEX(('14_HardRequirementResults'!$B$2:$B$1000=$H11)*('14_HardRequirementResults'!$C$2:$C$1000=$N11),0),0)),""))</f>
        <v/>
      </c>
    </row>
    <row r="12" ht="45" customHeight="1">
      <c r="A12" s="6">
        <f>IF($H12="","",RANK($D12,$D$6:$D$25,0))</f>
        <v/>
      </c>
      <c r="B12" s="6">
        <f>IF($H12="","",$I12&amp;" "&amp;$J12&amp;" ("&amp;$K12&amp;")")</f>
        <v/>
      </c>
      <c r="C12" s="6">
        <f>IFERROR(INDEX('03_Configurations'!$G$2:$G$1000,MATCH($H12,'03_Configurations'!$A$2:$A$1000,0)),"")</f>
        <v/>
      </c>
      <c r="D12" s="6">
        <f>IFERROR(INDEX('12_OverallScores'!$D$2:$D$1000,MATCH($H12,'12_OverallScores'!$B$2:$B$1000,0)),"")</f>
        <v/>
      </c>
      <c r="E12" s="6">
        <f>IFERROR(INDEX('12_OverallScores'!$E$2:$E$1000,MATCH($H12,'12_OverallScores'!$B$2:$B$1000,0)),"")</f>
        <v/>
      </c>
      <c r="F12" s="6">
        <f>IF($H12="","",IF($L12&gt;0,IF(IFERROR(INDEX('03_Configurations'!$I$2:$I$1000,MATCH($H12,'03_Configurations'!$A$2:$A$1000,0)),"FALSE")="TRUE","FAIL ("&amp;$N12&amp;") - kept, overridden","FAIL ("&amp;$N12&amp;") - excluded"),IF($M12&gt;0,"UNKNOWN","PASS")))</f>
        <v/>
      </c>
      <c r="G12" s="6" t="n"/>
      <c r="H12" s="6" t="n"/>
      <c r="I12" s="6">
        <f>IFERROR(INDEX('02_Vehicles'!$B$2:$B$1000,MATCH(INDEX('03_Configurations'!$B$2:$B$1000,MATCH($H12,'03_Configurations'!$A$2:$A$1000,0)),'02_Vehicles'!$A$2:$A$1000,0)),"")</f>
        <v/>
      </c>
      <c r="J12" s="6">
        <f>IFERROR(INDEX('02_Vehicles'!$C$2:$C$1000,MATCH(INDEX('03_Configurations'!$B$2:$B$1000,MATCH($H12,'03_Configurations'!$A$2:$A$1000,0)),'02_Vehicles'!$A$2:$A$1000,0)),"")</f>
        <v/>
      </c>
      <c r="K12" s="6">
        <f>IFERROR(INDEX('03_Configurations'!$E$2:$E$1000,MATCH($H12,'03_Configurations'!$A$2:$A$1000,0)),"")</f>
        <v/>
      </c>
      <c r="L12" s="6">
        <f>IF($H12="","",COUNTIFS('14_HardRequirementResults'!$B$2:$B$1000,$H12,'14_HardRequirementResults'!$D$2:$D$1000,"FAIL"))</f>
        <v/>
      </c>
      <c r="M12" s="6">
        <f>IF($H12="","",COUNTIFS('14_HardRequirementResults'!$B$2:$B$1000,$H12,'14_HardRequirementResults'!$D$2:$D$1000,"UNKNOWN"))</f>
        <v/>
      </c>
      <c r="N12" s="6">
        <f>IF($L12="","",IF($L12&gt;0,IFERROR(INDEX('14_HardRequirementResults'!$C$2:$C$1000,MATCH(1,INDEX(('14_HardRequirementResults'!$B$2:$B$1000=$H12)*('14_HardRequirementResults'!$D$2:$D$1000="FAIL"),0),0)),""),""))</f>
        <v/>
      </c>
      <c r="R12" s="11">
        <f>IF($N12="","",IFERROR(INDEX('14_HardRequirementResults'!$F$2:$F$1000,MATCH(1,INDEX(('14_HardRequirementResults'!$B$2:$B$1000=$H12)*('14_HardRequirementResults'!$C$2:$C$1000=$N12),0),0)),""))</f>
        <v/>
      </c>
    </row>
    <row r="13" ht="45" customHeight="1">
      <c r="A13" s="6">
        <f>IF($H13="","",RANK($D13,$D$6:$D$25,0))</f>
        <v/>
      </c>
      <c r="B13" s="6">
        <f>IF($H13="","",$I13&amp;" "&amp;$J13&amp;" ("&amp;$K13&amp;")")</f>
        <v/>
      </c>
      <c r="C13" s="6">
        <f>IFERROR(INDEX('03_Configurations'!$G$2:$G$1000,MATCH($H13,'03_Configurations'!$A$2:$A$1000,0)),"")</f>
        <v/>
      </c>
      <c r="D13" s="6">
        <f>IFERROR(INDEX('12_OverallScores'!$D$2:$D$1000,MATCH($H13,'12_OverallScores'!$B$2:$B$1000,0)),"")</f>
        <v/>
      </c>
      <c r="E13" s="6">
        <f>IFERROR(INDEX('12_OverallScores'!$E$2:$E$1000,MATCH($H13,'12_OverallScores'!$B$2:$B$1000,0)),"")</f>
        <v/>
      </c>
      <c r="F13" s="6">
        <f>IF($H13="","",IF($L13&gt;0,IF(IFERROR(INDEX('03_Configurations'!$I$2:$I$1000,MATCH($H13,'03_Configurations'!$A$2:$A$1000,0)),"FALSE")="TRUE","FAIL ("&amp;$N13&amp;") - kept, overridden","FAIL ("&amp;$N13&amp;") - excluded"),IF($M13&gt;0,"UNKNOWN","PASS")))</f>
        <v/>
      </c>
      <c r="G13" s="6" t="n"/>
      <c r="H13" s="6" t="n"/>
      <c r="I13" s="6">
        <f>IFERROR(INDEX('02_Vehicles'!$B$2:$B$1000,MATCH(INDEX('03_Configurations'!$B$2:$B$1000,MATCH($H13,'03_Configurations'!$A$2:$A$1000,0)),'02_Vehicles'!$A$2:$A$1000,0)),"")</f>
        <v/>
      </c>
      <c r="J13" s="6">
        <f>IFERROR(INDEX('02_Vehicles'!$C$2:$C$1000,MATCH(INDEX('03_Configurations'!$B$2:$B$1000,MATCH($H13,'03_Configurations'!$A$2:$A$1000,0)),'02_Vehicles'!$A$2:$A$1000,0)),"")</f>
        <v/>
      </c>
      <c r="K13" s="6">
        <f>IFERROR(INDEX('03_Configurations'!$E$2:$E$1000,MATCH($H13,'03_Configurations'!$A$2:$A$1000,0)),"")</f>
        <v/>
      </c>
      <c r="L13" s="6">
        <f>IF($H13="","",COUNTIFS('14_HardRequirementResults'!$B$2:$B$1000,$H13,'14_HardRequirementResults'!$D$2:$D$1000,"FAIL"))</f>
        <v/>
      </c>
      <c r="M13" s="6">
        <f>IF($H13="","",COUNTIFS('14_HardRequirementResults'!$B$2:$B$1000,$H13,'14_HardRequirementResults'!$D$2:$D$1000,"UNKNOWN"))</f>
        <v/>
      </c>
      <c r="N13" s="6">
        <f>IF($L13="","",IF($L13&gt;0,IFERROR(INDEX('14_HardRequirementResults'!$C$2:$C$1000,MATCH(1,INDEX(('14_HardRequirementResults'!$B$2:$B$1000=$H13)*('14_HardRequirementResults'!$D$2:$D$1000="FAIL"),0),0)),""),""))</f>
        <v/>
      </c>
      <c r="R13" s="11">
        <f>IF($N13="","",IFERROR(INDEX('14_HardRequirementResults'!$F$2:$F$1000,MATCH(1,INDEX(('14_HardRequirementResults'!$B$2:$B$1000=$H13)*('14_HardRequirementResults'!$C$2:$C$1000=$N13),0),0)),""))</f>
        <v/>
      </c>
    </row>
    <row r="14" ht="45" customHeight="1">
      <c r="A14" s="6">
        <f>IF($H14="","",RANK($D14,$D$6:$D$25,0))</f>
        <v/>
      </c>
      <c r="B14" s="6">
        <f>IF($H14="","",$I14&amp;" "&amp;$J14&amp;" ("&amp;$K14&amp;")")</f>
        <v/>
      </c>
      <c r="C14" s="6">
        <f>IFERROR(INDEX('03_Configurations'!$G$2:$G$1000,MATCH($H14,'03_Configurations'!$A$2:$A$1000,0)),"")</f>
        <v/>
      </c>
      <c r="D14" s="6">
        <f>IFERROR(INDEX('12_OverallScores'!$D$2:$D$1000,MATCH($H14,'12_OverallScores'!$B$2:$B$1000,0)),"")</f>
        <v/>
      </c>
      <c r="E14" s="6">
        <f>IFERROR(INDEX('12_OverallScores'!$E$2:$E$1000,MATCH($H14,'12_OverallScores'!$B$2:$B$1000,0)),"")</f>
        <v/>
      </c>
      <c r="F14" s="6">
        <f>IF($H14="","",IF($L14&gt;0,IF(IFERROR(INDEX('03_Configurations'!$I$2:$I$1000,MATCH($H14,'03_Configurations'!$A$2:$A$1000,0)),"FALSE")="TRUE","FAIL ("&amp;$N14&amp;") - kept, overridden","FAIL ("&amp;$N14&amp;") - excluded"),IF($M14&gt;0,"UNKNOWN","PASS")))</f>
        <v/>
      </c>
      <c r="G14" s="6" t="n"/>
      <c r="H14" s="6" t="n"/>
      <c r="I14" s="6">
        <f>IFERROR(INDEX('02_Vehicles'!$B$2:$B$1000,MATCH(INDEX('03_Configurations'!$B$2:$B$1000,MATCH($H14,'03_Configurations'!$A$2:$A$1000,0)),'02_Vehicles'!$A$2:$A$1000,0)),"")</f>
        <v/>
      </c>
      <c r="J14" s="6">
        <f>IFERROR(INDEX('02_Vehicles'!$C$2:$C$1000,MATCH(INDEX('03_Configurations'!$B$2:$B$1000,MATCH($H14,'03_Configurations'!$A$2:$A$1000,0)),'02_Vehicles'!$A$2:$A$1000,0)),"")</f>
        <v/>
      </c>
      <c r="K14" s="6">
        <f>IFERROR(INDEX('03_Configurations'!$E$2:$E$1000,MATCH($H14,'03_Configurations'!$A$2:$A$1000,0)),"")</f>
        <v/>
      </c>
      <c r="L14" s="6">
        <f>IF($H14="","",COUNTIFS('14_HardRequirementResults'!$B$2:$B$1000,$H14,'14_HardRequirementResults'!$D$2:$D$1000,"FAIL"))</f>
        <v/>
      </c>
      <c r="M14" s="6">
        <f>IF($H14="","",COUNTIFS('14_HardRequirementResults'!$B$2:$B$1000,$H14,'14_HardRequirementResults'!$D$2:$D$1000,"UNKNOWN"))</f>
        <v/>
      </c>
      <c r="N14" s="6">
        <f>IF($L14="","",IF($L14&gt;0,IFERROR(INDEX('14_HardRequirementResults'!$C$2:$C$1000,MATCH(1,INDEX(('14_HardRequirementResults'!$B$2:$B$1000=$H14)*('14_HardRequirementResults'!$D$2:$D$1000="FAIL"),0),0)),""),""))</f>
        <v/>
      </c>
      <c r="R14" s="11">
        <f>IF($N14="","",IFERROR(INDEX('14_HardRequirementResults'!$F$2:$F$1000,MATCH(1,INDEX(('14_HardRequirementResults'!$B$2:$B$1000=$H14)*('14_HardRequirementResults'!$C$2:$C$1000=$N14),0),0)),""))</f>
        <v/>
      </c>
    </row>
    <row r="15" ht="45" customHeight="1">
      <c r="A15" s="6">
        <f>IF($H15="","",RANK($D15,$D$6:$D$25,0))</f>
        <v/>
      </c>
      <c r="B15" s="6">
        <f>IF($H15="","",$I15&amp;" "&amp;$J15&amp;" ("&amp;$K15&amp;")")</f>
        <v/>
      </c>
      <c r="C15" s="6">
        <f>IFERROR(INDEX('03_Configurations'!$G$2:$G$1000,MATCH($H15,'03_Configurations'!$A$2:$A$1000,0)),"")</f>
        <v/>
      </c>
      <c r="D15" s="6">
        <f>IFERROR(INDEX('12_OverallScores'!$D$2:$D$1000,MATCH($H15,'12_OverallScores'!$B$2:$B$1000,0)),"")</f>
        <v/>
      </c>
      <c r="E15" s="6">
        <f>IFERROR(INDEX('12_OverallScores'!$E$2:$E$1000,MATCH($H15,'12_OverallScores'!$B$2:$B$1000,0)),"")</f>
        <v/>
      </c>
      <c r="F15" s="6">
        <f>IF($H15="","",IF($L15&gt;0,IF(IFERROR(INDEX('03_Configurations'!$I$2:$I$1000,MATCH($H15,'03_Configurations'!$A$2:$A$1000,0)),"FALSE")="TRUE","FAIL ("&amp;$N15&amp;") - kept, overridden","FAIL ("&amp;$N15&amp;") - excluded"),IF($M15&gt;0,"UNKNOWN","PASS")))</f>
        <v/>
      </c>
      <c r="G15" s="6" t="n"/>
      <c r="H15" s="6" t="n"/>
      <c r="I15" s="6">
        <f>IFERROR(INDEX('02_Vehicles'!$B$2:$B$1000,MATCH(INDEX('03_Configurations'!$B$2:$B$1000,MATCH($H15,'03_Configurations'!$A$2:$A$1000,0)),'02_Vehicles'!$A$2:$A$1000,0)),"")</f>
        <v/>
      </c>
      <c r="J15" s="6">
        <f>IFERROR(INDEX('02_Vehicles'!$C$2:$C$1000,MATCH(INDEX('03_Configurations'!$B$2:$B$1000,MATCH($H15,'03_Configurations'!$A$2:$A$1000,0)),'02_Vehicles'!$A$2:$A$1000,0)),"")</f>
        <v/>
      </c>
      <c r="K15" s="6">
        <f>IFERROR(INDEX('03_Configurations'!$E$2:$E$1000,MATCH($H15,'03_Configurations'!$A$2:$A$1000,0)),"")</f>
        <v/>
      </c>
      <c r="L15" s="6">
        <f>IF($H15="","",COUNTIFS('14_HardRequirementResults'!$B$2:$B$1000,$H15,'14_HardRequirementResults'!$D$2:$D$1000,"FAIL"))</f>
        <v/>
      </c>
      <c r="M15" s="6">
        <f>IF($H15="","",COUNTIFS('14_HardRequirementResults'!$B$2:$B$1000,$H15,'14_HardRequirementResults'!$D$2:$D$1000,"UNKNOWN"))</f>
        <v/>
      </c>
      <c r="N15" s="6">
        <f>IF($L15="","",IF($L15&gt;0,IFERROR(INDEX('14_HardRequirementResults'!$C$2:$C$1000,MATCH(1,INDEX(('14_HardRequirementResults'!$B$2:$B$1000=$H15)*('14_HardRequirementResults'!$D$2:$D$1000="FAIL"),0),0)),""),""))</f>
        <v/>
      </c>
      <c r="R15" s="11">
        <f>IF($N15="","",IFERROR(INDEX('14_HardRequirementResults'!$F$2:$F$1000,MATCH(1,INDEX(('14_HardRequirementResults'!$B$2:$B$1000=$H15)*('14_HardRequirementResults'!$C$2:$C$1000=$N15),0),0)),""))</f>
        <v/>
      </c>
    </row>
    <row r="16" ht="45" customHeight="1">
      <c r="A16" s="6">
        <f>IF($H16="","",RANK($D16,$D$6:$D$25,0))</f>
        <v/>
      </c>
      <c r="B16" s="6">
        <f>IF($H16="","",$I16&amp;" "&amp;$J16&amp;" ("&amp;$K16&amp;")")</f>
        <v/>
      </c>
      <c r="C16" s="6">
        <f>IFERROR(INDEX('03_Configurations'!$G$2:$G$1000,MATCH($H16,'03_Configurations'!$A$2:$A$1000,0)),"")</f>
        <v/>
      </c>
      <c r="D16" s="6">
        <f>IFERROR(INDEX('12_OverallScores'!$D$2:$D$1000,MATCH($H16,'12_OverallScores'!$B$2:$B$1000,0)),"")</f>
        <v/>
      </c>
      <c r="E16" s="6">
        <f>IFERROR(INDEX('12_OverallScores'!$E$2:$E$1000,MATCH($H16,'12_OverallScores'!$B$2:$B$1000,0)),"")</f>
        <v/>
      </c>
      <c r="F16" s="6">
        <f>IF($H16="","",IF($L16&gt;0,IF(IFERROR(INDEX('03_Configurations'!$I$2:$I$1000,MATCH($H16,'03_Configurations'!$A$2:$A$1000,0)),"FALSE")="TRUE","FAIL ("&amp;$N16&amp;") - kept, overridden","FAIL ("&amp;$N16&amp;") - excluded"),IF($M16&gt;0,"UNKNOWN","PASS")))</f>
        <v/>
      </c>
      <c r="G16" s="6" t="n"/>
      <c r="H16" s="6" t="n"/>
      <c r="I16" s="6">
        <f>IFERROR(INDEX('02_Vehicles'!$B$2:$B$1000,MATCH(INDEX('03_Configurations'!$B$2:$B$1000,MATCH($H16,'03_Configurations'!$A$2:$A$1000,0)),'02_Vehicles'!$A$2:$A$1000,0)),"")</f>
        <v/>
      </c>
      <c r="J16" s="6">
        <f>IFERROR(INDEX('02_Vehicles'!$C$2:$C$1000,MATCH(INDEX('03_Configurations'!$B$2:$B$1000,MATCH($H16,'03_Configurations'!$A$2:$A$1000,0)),'02_Vehicles'!$A$2:$A$1000,0)),"")</f>
        <v/>
      </c>
      <c r="K16" s="6">
        <f>IFERROR(INDEX('03_Configurations'!$E$2:$E$1000,MATCH($H16,'03_Configurations'!$A$2:$A$1000,0)),"")</f>
        <v/>
      </c>
      <c r="L16" s="6">
        <f>IF($H16="","",COUNTIFS('14_HardRequirementResults'!$B$2:$B$1000,$H16,'14_HardRequirementResults'!$D$2:$D$1000,"FAIL"))</f>
        <v/>
      </c>
      <c r="M16" s="6">
        <f>IF($H16="","",COUNTIFS('14_HardRequirementResults'!$B$2:$B$1000,$H16,'14_HardRequirementResults'!$D$2:$D$1000,"UNKNOWN"))</f>
        <v/>
      </c>
      <c r="N16" s="6">
        <f>IF($L16="","",IF($L16&gt;0,IFERROR(INDEX('14_HardRequirementResults'!$C$2:$C$1000,MATCH(1,INDEX(('14_HardRequirementResults'!$B$2:$B$1000=$H16)*('14_HardRequirementResults'!$D$2:$D$1000="FAIL"),0),0)),""),""))</f>
        <v/>
      </c>
      <c r="R16" s="11">
        <f>IF($N16="","",IFERROR(INDEX('14_HardRequirementResults'!$F$2:$F$1000,MATCH(1,INDEX(('14_HardRequirementResults'!$B$2:$B$1000=$H16)*('14_HardRequirementResults'!$C$2:$C$1000=$N16),0),0)),""))</f>
        <v/>
      </c>
    </row>
    <row r="17" ht="45" customHeight="1">
      <c r="A17" s="6">
        <f>IF($H17="","",RANK($D17,$D$6:$D$25,0))</f>
        <v/>
      </c>
      <c r="B17" s="6">
        <f>IF($H17="","",$I17&amp;" "&amp;$J17&amp;" ("&amp;$K17&amp;")")</f>
        <v/>
      </c>
      <c r="C17" s="6">
        <f>IFERROR(INDEX('03_Configurations'!$G$2:$G$1000,MATCH($H17,'03_Configurations'!$A$2:$A$1000,0)),"")</f>
        <v/>
      </c>
      <c r="D17" s="6">
        <f>IFERROR(INDEX('12_OverallScores'!$D$2:$D$1000,MATCH($H17,'12_OverallScores'!$B$2:$B$1000,0)),"")</f>
        <v/>
      </c>
      <c r="E17" s="6">
        <f>IFERROR(INDEX('12_OverallScores'!$E$2:$E$1000,MATCH($H17,'12_OverallScores'!$B$2:$B$1000,0)),"")</f>
        <v/>
      </c>
      <c r="F17" s="6">
        <f>IF($H17="","",IF($L17&gt;0,IF(IFERROR(INDEX('03_Configurations'!$I$2:$I$1000,MATCH($H17,'03_Configurations'!$A$2:$A$1000,0)),"FALSE")="TRUE","FAIL ("&amp;$N17&amp;") - kept, overridden","FAIL ("&amp;$N17&amp;") - excluded"),IF($M17&gt;0,"UNKNOWN","PASS")))</f>
        <v/>
      </c>
      <c r="G17" s="6" t="n"/>
      <c r="H17" s="6" t="n"/>
      <c r="I17" s="6">
        <f>IFERROR(INDEX('02_Vehicles'!$B$2:$B$1000,MATCH(INDEX('03_Configurations'!$B$2:$B$1000,MATCH($H17,'03_Configurations'!$A$2:$A$1000,0)),'02_Vehicles'!$A$2:$A$1000,0)),"")</f>
        <v/>
      </c>
      <c r="J17" s="6">
        <f>IFERROR(INDEX('02_Vehicles'!$C$2:$C$1000,MATCH(INDEX('03_Configurations'!$B$2:$B$1000,MATCH($H17,'03_Configurations'!$A$2:$A$1000,0)),'02_Vehicles'!$A$2:$A$1000,0)),"")</f>
        <v/>
      </c>
      <c r="K17" s="6">
        <f>IFERROR(INDEX('03_Configurations'!$E$2:$E$1000,MATCH($H17,'03_Configurations'!$A$2:$A$1000,0)),"")</f>
        <v/>
      </c>
      <c r="L17" s="6">
        <f>IF($H17="","",COUNTIFS('14_HardRequirementResults'!$B$2:$B$1000,$H17,'14_HardRequirementResults'!$D$2:$D$1000,"FAIL"))</f>
        <v/>
      </c>
      <c r="M17" s="6">
        <f>IF($H17="","",COUNTIFS('14_HardRequirementResults'!$B$2:$B$1000,$H17,'14_HardRequirementResults'!$D$2:$D$1000,"UNKNOWN"))</f>
        <v/>
      </c>
      <c r="N17" s="6">
        <f>IF($L17="","",IF($L17&gt;0,IFERROR(INDEX('14_HardRequirementResults'!$C$2:$C$1000,MATCH(1,INDEX(('14_HardRequirementResults'!$B$2:$B$1000=$H17)*('14_HardRequirementResults'!$D$2:$D$1000="FAIL"),0),0)),""),""))</f>
        <v/>
      </c>
      <c r="R17" s="11">
        <f>IF($N17="","",IFERROR(INDEX('14_HardRequirementResults'!$F$2:$F$1000,MATCH(1,INDEX(('14_HardRequirementResults'!$B$2:$B$1000=$H17)*('14_HardRequirementResults'!$C$2:$C$1000=$N17),0),0)),""))</f>
        <v/>
      </c>
    </row>
    <row r="18" ht="45" customHeight="1">
      <c r="A18" s="6">
        <f>IF($H18="","",RANK($D18,$D$6:$D$25,0))</f>
        <v/>
      </c>
      <c r="B18" s="6">
        <f>IF($H18="","",$I18&amp;" "&amp;$J18&amp;" ("&amp;$K18&amp;")")</f>
        <v/>
      </c>
      <c r="C18" s="6">
        <f>IFERROR(INDEX('03_Configurations'!$G$2:$G$1000,MATCH($H18,'03_Configurations'!$A$2:$A$1000,0)),"")</f>
        <v/>
      </c>
      <c r="D18" s="6">
        <f>IFERROR(INDEX('12_OverallScores'!$D$2:$D$1000,MATCH($H18,'12_OverallScores'!$B$2:$B$1000,0)),"")</f>
        <v/>
      </c>
      <c r="E18" s="6">
        <f>IFERROR(INDEX('12_OverallScores'!$E$2:$E$1000,MATCH($H18,'12_OverallScores'!$B$2:$B$1000,0)),"")</f>
        <v/>
      </c>
      <c r="F18" s="6">
        <f>IF($H18="","",IF($L18&gt;0,IF(IFERROR(INDEX('03_Configurations'!$I$2:$I$1000,MATCH($H18,'03_Configurations'!$A$2:$A$1000,0)),"FALSE")="TRUE","FAIL ("&amp;$N18&amp;") - kept, overridden","FAIL ("&amp;$N18&amp;") - excluded"),IF($M18&gt;0,"UNKNOWN","PASS")))</f>
        <v/>
      </c>
      <c r="G18" s="6" t="n"/>
      <c r="H18" s="6" t="n"/>
      <c r="I18" s="6">
        <f>IFERROR(INDEX('02_Vehicles'!$B$2:$B$1000,MATCH(INDEX('03_Configurations'!$B$2:$B$1000,MATCH($H18,'03_Configurations'!$A$2:$A$1000,0)),'02_Vehicles'!$A$2:$A$1000,0)),"")</f>
        <v/>
      </c>
      <c r="J18" s="6">
        <f>IFERROR(INDEX('02_Vehicles'!$C$2:$C$1000,MATCH(INDEX('03_Configurations'!$B$2:$B$1000,MATCH($H18,'03_Configurations'!$A$2:$A$1000,0)),'02_Vehicles'!$A$2:$A$1000,0)),"")</f>
        <v/>
      </c>
      <c r="K18" s="6">
        <f>IFERROR(INDEX('03_Configurations'!$E$2:$E$1000,MATCH($H18,'03_Configurations'!$A$2:$A$1000,0)),"")</f>
        <v/>
      </c>
      <c r="L18" s="6">
        <f>IF($H18="","",COUNTIFS('14_HardRequirementResults'!$B$2:$B$1000,$H18,'14_HardRequirementResults'!$D$2:$D$1000,"FAIL"))</f>
        <v/>
      </c>
      <c r="M18" s="6">
        <f>IF($H18="","",COUNTIFS('14_HardRequirementResults'!$B$2:$B$1000,$H18,'14_HardRequirementResults'!$D$2:$D$1000,"UNKNOWN"))</f>
        <v/>
      </c>
      <c r="N18" s="6">
        <f>IF($L18="","",IF($L18&gt;0,IFERROR(INDEX('14_HardRequirementResults'!$C$2:$C$1000,MATCH(1,INDEX(('14_HardRequirementResults'!$B$2:$B$1000=$H18)*('14_HardRequirementResults'!$D$2:$D$1000="FAIL"),0),0)),""),""))</f>
        <v/>
      </c>
      <c r="R18" s="11">
        <f>IF($N18="","",IFERROR(INDEX('14_HardRequirementResults'!$F$2:$F$1000,MATCH(1,INDEX(('14_HardRequirementResults'!$B$2:$B$1000=$H18)*('14_HardRequirementResults'!$C$2:$C$1000=$N18),0),0)),""))</f>
        <v/>
      </c>
    </row>
    <row r="19" ht="45" customHeight="1">
      <c r="A19" s="6">
        <f>IF($H19="","",RANK($D19,$D$6:$D$25,0))</f>
        <v/>
      </c>
      <c r="B19" s="6">
        <f>IF($H19="","",$I19&amp;" "&amp;$J19&amp;" ("&amp;$K19&amp;")")</f>
        <v/>
      </c>
      <c r="C19" s="6">
        <f>IFERROR(INDEX('03_Configurations'!$G$2:$G$1000,MATCH($H19,'03_Configurations'!$A$2:$A$1000,0)),"")</f>
        <v/>
      </c>
      <c r="D19" s="6">
        <f>IFERROR(INDEX('12_OverallScores'!$D$2:$D$1000,MATCH($H19,'12_OverallScores'!$B$2:$B$1000,0)),"")</f>
        <v/>
      </c>
      <c r="E19" s="6">
        <f>IFERROR(INDEX('12_OverallScores'!$E$2:$E$1000,MATCH($H19,'12_OverallScores'!$B$2:$B$1000,0)),"")</f>
        <v/>
      </c>
      <c r="F19" s="6">
        <f>IF($H19="","",IF($L19&gt;0,IF(IFERROR(INDEX('03_Configurations'!$I$2:$I$1000,MATCH($H19,'03_Configurations'!$A$2:$A$1000,0)),"FALSE")="TRUE","FAIL ("&amp;$N19&amp;") - kept, overridden","FAIL ("&amp;$N19&amp;") - excluded"),IF($M19&gt;0,"UNKNOWN","PASS")))</f>
        <v/>
      </c>
      <c r="G19" s="6" t="n"/>
      <c r="H19" s="6" t="n"/>
      <c r="I19" s="6">
        <f>IFERROR(INDEX('02_Vehicles'!$B$2:$B$1000,MATCH(INDEX('03_Configurations'!$B$2:$B$1000,MATCH($H19,'03_Configurations'!$A$2:$A$1000,0)),'02_Vehicles'!$A$2:$A$1000,0)),"")</f>
        <v/>
      </c>
      <c r="J19" s="6">
        <f>IFERROR(INDEX('02_Vehicles'!$C$2:$C$1000,MATCH(INDEX('03_Configurations'!$B$2:$B$1000,MATCH($H19,'03_Configurations'!$A$2:$A$1000,0)),'02_Vehicles'!$A$2:$A$1000,0)),"")</f>
        <v/>
      </c>
      <c r="K19" s="6">
        <f>IFERROR(INDEX('03_Configurations'!$E$2:$E$1000,MATCH($H19,'03_Configurations'!$A$2:$A$1000,0)),"")</f>
        <v/>
      </c>
      <c r="L19" s="6">
        <f>IF($H19="","",COUNTIFS('14_HardRequirementResults'!$B$2:$B$1000,$H19,'14_HardRequirementResults'!$D$2:$D$1000,"FAIL"))</f>
        <v/>
      </c>
      <c r="M19" s="6">
        <f>IF($H19="","",COUNTIFS('14_HardRequirementResults'!$B$2:$B$1000,$H19,'14_HardRequirementResults'!$D$2:$D$1000,"UNKNOWN"))</f>
        <v/>
      </c>
      <c r="N19" s="6">
        <f>IF($L19="","",IF($L19&gt;0,IFERROR(INDEX('14_HardRequirementResults'!$C$2:$C$1000,MATCH(1,INDEX(('14_HardRequirementResults'!$B$2:$B$1000=$H19)*('14_HardRequirementResults'!$D$2:$D$1000="FAIL"),0),0)),""),""))</f>
        <v/>
      </c>
      <c r="R19" s="11">
        <f>IF($N19="","",IFERROR(INDEX('14_HardRequirementResults'!$F$2:$F$1000,MATCH(1,INDEX(('14_HardRequirementResults'!$B$2:$B$1000=$H19)*('14_HardRequirementResults'!$C$2:$C$1000=$N19),0),0)),""))</f>
        <v/>
      </c>
    </row>
    <row r="20" ht="45" customHeight="1">
      <c r="A20" s="6">
        <f>IF($H20="","",RANK($D20,$D$6:$D$25,0))</f>
        <v/>
      </c>
      <c r="B20" s="6">
        <f>IF($H20="","",$I20&amp;" "&amp;$J20&amp;" ("&amp;$K20&amp;")")</f>
        <v/>
      </c>
      <c r="C20" s="6">
        <f>IFERROR(INDEX('03_Configurations'!$G$2:$G$1000,MATCH($H20,'03_Configurations'!$A$2:$A$1000,0)),"")</f>
        <v/>
      </c>
      <c r="D20" s="6">
        <f>IFERROR(INDEX('12_OverallScores'!$D$2:$D$1000,MATCH($H20,'12_OverallScores'!$B$2:$B$1000,0)),"")</f>
        <v/>
      </c>
      <c r="E20" s="6">
        <f>IFERROR(INDEX('12_OverallScores'!$E$2:$E$1000,MATCH($H20,'12_OverallScores'!$B$2:$B$1000,0)),"")</f>
        <v/>
      </c>
      <c r="F20" s="6">
        <f>IF($H20="","",IF($L20&gt;0,IF(IFERROR(INDEX('03_Configurations'!$I$2:$I$1000,MATCH($H20,'03_Configurations'!$A$2:$A$1000,0)),"FALSE")="TRUE","FAIL ("&amp;$N20&amp;") - kept, overridden","FAIL ("&amp;$N20&amp;") - excluded"),IF($M20&gt;0,"UNKNOWN","PASS")))</f>
        <v/>
      </c>
      <c r="G20" s="6" t="n"/>
      <c r="H20" s="6" t="n"/>
      <c r="I20" s="6">
        <f>IFERROR(INDEX('02_Vehicles'!$B$2:$B$1000,MATCH(INDEX('03_Configurations'!$B$2:$B$1000,MATCH($H20,'03_Configurations'!$A$2:$A$1000,0)),'02_Vehicles'!$A$2:$A$1000,0)),"")</f>
        <v/>
      </c>
      <c r="J20" s="6">
        <f>IFERROR(INDEX('02_Vehicles'!$C$2:$C$1000,MATCH(INDEX('03_Configurations'!$B$2:$B$1000,MATCH($H20,'03_Configurations'!$A$2:$A$1000,0)),'02_Vehicles'!$A$2:$A$1000,0)),"")</f>
        <v/>
      </c>
      <c r="K20" s="6">
        <f>IFERROR(INDEX('03_Configurations'!$E$2:$E$1000,MATCH($H20,'03_Configurations'!$A$2:$A$1000,0)),"")</f>
        <v/>
      </c>
      <c r="L20" s="6">
        <f>IF($H20="","",COUNTIFS('14_HardRequirementResults'!$B$2:$B$1000,$H20,'14_HardRequirementResults'!$D$2:$D$1000,"FAIL"))</f>
        <v/>
      </c>
      <c r="M20" s="6">
        <f>IF($H20="","",COUNTIFS('14_HardRequirementResults'!$B$2:$B$1000,$H20,'14_HardRequirementResults'!$D$2:$D$1000,"UNKNOWN"))</f>
        <v/>
      </c>
      <c r="N20" s="6">
        <f>IF($L20="","",IF($L20&gt;0,IFERROR(INDEX('14_HardRequirementResults'!$C$2:$C$1000,MATCH(1,INDEX(('14_HardRequirementResults'!$B$2:$B$1000=$H20)*('14_HardRequirementResults'!$D$2:$D$1000="FAIL"),0),0)),""),""))</f>
        <v/>
      </c>
      <c r="R20" s="11">
        <f>IF($N20="","",IFERROR(INDEX('14_HardRequirementResults'!$F$2:$F$1000,MATCH(1,INDEX(('14_HardRequirementResults'!$B$2:$B$1000=$H20)*('14_HardRequirementResults'!$C$2:$C$1000=$N20),0),0)),""))</f>
        <v/>
      </c>
    </row>
    <row r="21" ht="45" customHeight="1">
      <c r="A21" s="6">
        <f>IF($H21="","",RANK($D21,$D$6:$D$25,0))</f>
        <v/>
      </c>
      <c r="B21" s="6">
        <f>IF($H21="","",$I21&amp;" "&amp;$J21&amp;" ("&amp;$K21&amp;")")</f>
        <v/>
      </c>
      <c r="C21" s="6">
        <f>IFERROR(INDEX('03_Configurations'!$G$2:$G$1000,MATCH($H21,'03_Configurations'!$A$2:$A$1000,0)),"")</f>
        <v/>
      </c>
      <c r="D21" s="6">
        <f>IFERROR(INDEX('12_OverallScores'!$D$2:$D$1000,MATCH($H21,'12_OverallScores'!$B$2:$B$1000,0)),"")</f>
        <v/>
      </c>
      <c r="E21" s="6">
        <f>IFERROR(INDEX('12_OverallScores'!$E$2:$E$1000,MATCH($H21,'12_OverallScores'!$B$2:$B$1000,0)),"")</f>
        <v/>
      </c>
      <c r="F21" s="6">
        <f>IF($H21="","",IF($L21&gt;0,IF(IFERROR(INDEX('03_Configurations'!$I$2:$I$1000,MATCH($H21,'03_Configurations'!$A$2:$A$1000,0)),"FALSE")="TRUE","FAIL ("&amp;$N21&amp;") - kept, overridden","FAIL ("&amp;$N21&amp;") - excluded"),IF($M21&gt;0,"UNKNOWN","PASS")))</f>
        <v/>
      </c>
      <c r="G21" s="6" t="n"/>
      <c r="H21" s="6" t="n"/>
      <c r="I21" s="6">
        <f>IFERROR(INDEX('02_Vehicles'!$B$2:$B$1000,MATCH(INDEX('03_Configurations'!$B$2:$B$1000,MATCH($H21,'03_Configurations'!$A$2:$A$1000,0)),'02_Vehicles'!$A$2:$A$1000,0)),"")</f>
        <v/>
      </c>
      <c r="J21" s="6">
        <f>IFERROR(INDEX('02_Vehicles'!$C$2:$C$1000,MATCH(INDEX('03_Configurations'!$B$2:$B$1000,MATCH($H21,'03_Configurations'!$A$2:$A$1000,0)),'02_Vehicles'!$A$2:$A$1000,0)),"")</f>
        <v/>
      </c>
      <c r="K21" s="6">
        <f>IFERROR(INDEX('03_Configurations'!$E$2:$E$1000,MATCH($H21,'03_Configurations'!$A$2:$A$1000,0)),"")</f>
        <v/>
      </c>
      <c r="L21" s="6">
        <f>IF($H21="","",COUNTIFS('14_HardRequirementResults'!$B$2:$B$1000,$H21,'14_HardRequirementResults'!$D$2:$D$1000,"FAIL"))</f>
        <v/>
      </c>
      <c r="M21" s="6">
        <f>IF($H21="","",COUNTIFS('14_HardRequirementResults'!$B$2:$B$1000,$H21,'14_HardRequirementResults'!$D$2:$D$1000,"UNKNOWN"))</f>
        <v/>
      </c>
      <c r="N21" s="6">
        <f>IF($L21="","",IF($L21&gt;0,IFERROR(INDEX('14_HardRequirementResults'!$C$2:$C$1000,MATCH(1,INDEX(('14_HardRequirementResults'!$B$2:$B$1000=$H21)*('14_HardRequirementResults'!$D$2:$D$1000="FAIL"),0),0)),""),""))</f>
        <v/>
      </c>
      <c r="R21" s="11">
        <f>IF($N21="","",IFERROR(INDEX('14_HardRequirementResults'!$F$2:$F$1000,MATCH(1,INDEX(('14_HardRequirementResults'!$B$2:$B$1000=$H21)*('14_HardRequirementResults'!$C$2:$C$1000=$N21),0),0)),""))</f>
        <v/>
      </c>
    </row>
    <row r="22" ht="45" customHeight="1">
      <c r="A22" s="6">
        <f>IF($H22="","",RANK($D22,$D$6:$D$25,0))</f>
        <v/>
      </c>
      <c r="B22" s="6">
        <f>IF($H22="","",$I22&amp;" "&amp;$J22&amp;" ("&amp;$K22&amp;")")</f>
        <v/>
      </c>
      <c r="C22" s="6">
        <f>IFERROR(INDEX('03_Configurations'!$G$2:$G$1000,MATCH($H22,'03_Configurations'!$A$2:$A$1000,0)),"")</f>
        <v/>
      </c>
      <c r="D22" s="6">
        <f>IFERROR(INDEX('12_OverallScores'!$D$2:$D$1000,MATCH($H22,'12_OverallScores'!$B$2:$B$1000,0)),"")</f>
        <v/>
      </c>
      <c r="E22" s="6">
        <f>IFERROR(INDEX('12_OverallScores'!$E$2:$E$1000,MATCH($H22,'12_OverallScores'!$B$2:$B$1000,0)),"")</f>
        <v/>
      </c>
      <c r="F22" s="6">
        <f>IF($H22="","",IF($L22&gt;0,IF(IFERROR(INDEX('03_Configurations'!$I$2:$I$1000,MATCH($H22,'03_Configurations'!$A$2:$A$1000,0)),"FALSE")="TRUE","FAIL ("&amp;$N22&amp;") - kept, overridden","FAIL ("&amp;$N22&amp;") - excluded"),IF($M22&gt;0,"UNKNOWN","PASS")))</f>
        <v/>
      </c>
      <c r="G22" s="6" t="n"/>
      <c r="H22" s="6" t="n"/>
      <c r="I22" s="6">
        <f>IFERROR(INDEX('02_Vehicles'!$B$2:$B$1000,MATCH(INDEX('03_Configurations'!$B$2:$B$1000,MATCH($H22,'03_Configurations'!$A$2:$A$1000,0)),'02_Vehicles'!$A$2:$A$1000,0)),"")</f>
        <v/>
      </c>
      <c r="J22" s="6">
        <f>IFERROR(INDEX('02_Vehicles'!$C$2:$C$1000,MATCH(INDEX('03_Configurations'!$B$2:$B$1000,MATCH($H22,'03_Configurations'!$A$2:$A$1000,0)),'02_Vehicles'!$A$2:$A$1000,0)),"")</f>
        <v/>
      </c>
      <c r="K22" s="6">
        <f>IFERROR(INDEX('03_Configurations'!$E$2:$E$1000,MATCH($H22,'03_Configurations'!$A$2:$A$1000,0)),"")</f>
        <v/>
      </c>
      <c r="L22" s="6">
        <f>IF($H22="","",COUNTIFS('14_HardRequirementResults'!$B$2:$B$1000,$H22,'14_HardRequirementResults'!$D$2:$D$1000,"FAIL"))</f>
        <v/>
      </c>
      <c r="M22" s="6">
        <f>IF($H22="","",COUNTIFS('14_HardRequirementResults'!$B$2:$B$1000,$H22,'14_HardRequirementResults'!$D$2:$D$1000,"UNKNOWN"))</f>
        <v/>
      </c>
      <c r="N22" s="6">
        <f>IF($L22="","",IF($L22&gt;0,IFERROR(INDEX('14_HardRequirementResults'!$C$2:$C$1000,MATCH(1,INDEX(('14_HardRequirementResults'!$B$2:$B$1000=$H22)*('14_HardRequirementResults'!$D$2:$D$1000="FAIL"),0),0)),""),""))</f>
        <v/>
      </c>
      <c r="R22" s="11">
        <f>IF($N22="","",IFERROR(INDEX('14_HardRequirementResults'!$F$2:$F$1000,MATCH(1,INDEX(('14_HardRequirementResults'!$B$2:$B$1000=$H22)*('14_HardRequirementResults'!$C$2:$C$1000=$N22),0),0)),""))</f>
        <v/>
      </c>
    </row>
    <row r="23" ht="45" customHeight="1">
      <c r="A23" s="6">
        <f>IF($H23="","",RANK($D23,$D$6:$D$25,0))</f>
        <v/>
      </c>
      <c r="B23" s="6">
        <f>IF($H23="","",$I23&amp;" "&amp;$J23&amp;" ("&amp;$K23&amp;")")</f>
        <v/>
      </c>
      <c r="C23" s="6">
        <f>IFERROR(INDEX('03_Configurations'!$G$2:$G$1000,MATCH($H23,'03_Configurations'!$A$2:$A$1000,0)),"")</f>
        <v/>
      </c>
      <c r="D23" s="6">
        <f>IFERROR(INDEX('12_OverallScores'!$D$2:$D$1000,MATCH($H23,'12_OverallScores'!$B$2:$B$1000,0)),"")</f>
        <v/>
      </c>
      <c r="E23" s="6">
        <f>IFERROR(INDEX('12_OverallScores'!$E$2:$E$1000,MATCH($H23,'12_OverallScores'!$B$2:$B$1000,0)),"")</f>
        <v/>
      </c>
      <c r="F23" s="6">
        <f>IF($H23="","",IF($L23&gt;0,IF(IFERROR(INDEX('03_Configurations'!$I$2:$I$1000,MATCH($H23,'03_Configurations'!$A$2:$A$1000,0)),"FALSE")="TRUE","FAIL ("&amp;$N23&amp;") - kept, overridden","FAIL ("&amp;$N23&amp;") - excluded"),IF($M23&gt;0,"UNKNOWN","PASS")))</f>
        <v/>
      </c>
      <c r="G23" s="6" t="n"/>
      <c r="H23" s="6" t="n"/>
      <c r="I23" s="6">
        <f>IFERROR(INDEX('02_Vehicles'!$B$2:$B$1000,MATCH(INDEX('03_Configurations'!$B$2:$B$1000,MATCH($H23,'03_Configurations'!$A$2:$A$1000,0)),'02_Vehicles'!$A$2:$A$1000,0)),"")</f>
        <v/>
      </c>
      <c r="J23" s="6">
        <f>IFERROR(INDEX('02_Vehicles'!$C$2:$C$1000,MATCH(INDEX('03_Configurations'!$B$2:$B$1000,MATCH($H23,'03_Configurations'!$A$2:$A$1000,0)),'02_Vehicles'!$A$2:$A$1000,0)),"")</f>
        <v/>
      </c>
      <c r="K23" s="6">
        <f>IFERROR(INDEX('03_Configurations'!$E$2:$E$1000,MATCH($H23,'03_Configurations'!$A$2:$A$1000,0)),"")</f>
        <v/>
      </c>
      <c r="L23" s="6">
        <f>IF($H23="","",COUNTIFS('14_HardRequirementResults'!$B$2:$B$1000,$H23,'14_HardRequirementResults'!$D$2:$D$1000,"FAIL"))</f>
        <v/>
      </c>
      <c r="M23" s="6">
        <f>IF($H23="","",COUNTIFS('14_HardRequirementResults'!$B$2:$B$1000,$H23,'14_HardRequirementResults'!$D$2:$D$1000,"UNKNOWN"))</f>
        <v/>
      </c>
      <c r="N23" s="6">
        <f>IF($L23="","",IF($L23&gt;0,IFERROR(INDEX('14_HardRequirementResults'!$C$2:$C$1000,MATCH(1,INDEX(('14_HardRequirementResults'!$B$2:$B$1000=$H23)*('14_HardRequirementResults'!$D$2:$D$1000="FAIL"),0),0)),""),""))</f>
        <v/>
      </c>
      <c r="R23" s="11">
        <f>IF($N23="","",IFERROR(INDEX('14_HardRequirementResults'!$F$2:$F$1000,MATCH(1,INDEX(('14_HardRequirementResults'!$B$2:$B$1000=$H23)*('14_HardRequirementResults'!$C$2:$C$1000=$N23),0),0)),""))</f>
        <v/>
      </c>
    </row>
    <row r="24" ht="45" customHeight="1">
      <c r="A24" s="6">
        <f>IF($H24="","",RANK($D24,$D$6:$D$25,0))</f>
        <v/>
      </c>
      <c r="B24" s="6">
        <f>IF($H24="","",$I24&amp;" "&amp;$J24&amp;" ("&amp;$K24&amp;")")</f>
        <v/>
      </c>
      <c r="C24" s="6">
        <f>IFERROR(INDEX('03_Configurations'!$G$2:$G$1000,MATCH($H24,'03_Configurations'!$A$2:$A$1000,0)),"")</f>
        <v/>
      </c>
      <c r="D24" s="6">
        <f>IFERROR(INDEX('12_OverallScores'!$D$2:$D$1000,MATCH($H24,'12_OverallScores'!$B$2:$B$1000,0)),"")</f>
        <v/>
      </c>
      <c r="E24" s="6">
        <f>IFERROR(INDEX('12_OverallScores'!$E$2:$E$1000,MATCH($H24,'12_OverallScores'!$B$2:$B$1000,0)),"")</f>
        <v/>
      </c>
      <c r="F24" s="6">
        <f>IF($H24="","",IF($L24&gt;0,IF(IFERROR(INDEX('03_Configurations'!$I$2:$I$1000,MATCH($H24,'03_Configurations'!$A$2:$A$1000,0)),"FALSE")="TRUE","FAIL ("&amp;$N24&amp;") - kept, overridden","FAIL ("&amp;$N24&amp;") - excluded"),IF($M24&gt;0,"UNKNOWN","PASS")))</f>
        <v/>
      </c>
      <c r="G24" s="6" t="n"/>
      <c r="H24" s="6" t="n"/>
      <c r="I24" s="6">
        <f>IFERROR(INDEX('02_Vehicles'!$B$2:$B$1000,MATCH(INDEX('03_Configurations'!$B$2:$B$1000,MATCH($H24,'03_Configurations'!$A$2:$A$1000,0)),'02_Vehicles'!$A$2:$A$1000,0)),"")</f>
        <v/>
      </c>
      <c r="J24" s="6">
        <f>IFERROR(INDEX('02_Vehicles'!$C$2:$C$1000,MATCH(INDEX('03_Configurations'!$B$2:$B$1000,MATCH($H24,'03_Configurations'!$A$2:$A$1000,0)),'02_Vehicles'!$A$2:$A$1000,0)),"")</f>
        <v/>
      </c>
      <c r="K24" s="6">
        <f>IFERROR(INDEX('03_Configurations'!$E$2:$E$1000,MATCH($H24,'03_Configurations'!$A$2:$A$1000,0)),"")</f>
        <v/>
      </c>
      <c r="L24" s="6">
        <f>IF($H24="","",COUNTIFS('14_HardRequirementResults'!$B$2:$B$1000,$H24,'14_HardRequirementResults'!$D$2:$D$1000,"FAIL"))</f>
        <v/>
      </c>
      <c r="M24" s="6">
        <f>IF($H24="","",COUNTIFS('14_HardRequirementResults'!$B$2:$B$1000,$H24,'14_HardRequirementResults'!$D$2:$D$1000,"UNKNOWN"))</f>
        <v/>
      </c>
      <c r="N24" s="6">
        <f>IF($L24="","",IF($L24&gt;0,IFERROR(INDEX('14_HardRequirementResults'!$C$2:$C$1000,MATCH(1,INDEX(('14_HardRequirementResults'!$B$2:$B$1000=$H24)*('14_HardRequirementResults'!$D$2:$D$1000="FAIL"),0),0)),""),""))</f>
        <v/>
      </c>
      <c r="R24" s="11">
        <f>IF($N24="","",IFERROR(INDEX('14_HardRequirementResults'!$F$2:$F$1000,MATCH(1,INDEX(('14_HardRequirementResults'!$B$2:$B$1000=$H24)*('14_HardRequirementResults'!$C$2:$C$1000=$N24),0),0)),""))</f>
        <v/>
      </c>
    </row>
    <row r="25" ht="45" customHeight="1">
      <c r="A25" s="6">
        <f>IF($H25="","",RANK($D25,$D$6:$D$25,0))</f>
        <v/>
      </c>
      <c r="B25" s="6">
        <f>IF($H25="","",$I25&amp;" "&amp;$J25&amp;" ("&amp;$K25&amp;")")</f>
        <v/>
      </c>
      <c r="C25" s="6">
        <f>IFERROR(INDEX('03_Configurations'!$G$2:$G$1000,MATCH($H25,'03_Configurations'!$A$2:$A$1000,0)),"")</f>
        <v/>
      </c>
      <c r="D25" s="6">
        <f>IFERROR(INDEX('12_OverallScores'!$D$2:$D$1000,MATCH($H25,'12_OverallScores'!$B$2:$B$1000,0)),"")</f>
        <v/>
      </c>
      <c r="E25" s="6">
        <f>IFERROR(INDEX('12_OverallScores'!$E$2:$E$1000,MATCH($H25,'12_OverallScores'!$B$2:$B$1000,0)),"")</f>
        <v/>
      </c>
      <c r="F25" s="6">
        <f>IF($H25="","",IF($L25&gt;0,IF(IFERROR(INDEX('03_Configurations'!$I$2:$I$1000,MATCH($H25,'03_Configurations'!$A$2:$A$1000,0)),"FALSE")="TRUE","FAIL ("&amp;$N25&amp;") - kept, overridden","FAIL ("&amp;$N25&amp;") - excluded"),IF($M25&gt;0,"UNKNOWN","PASS")))</f>
        <v/>
      </c>
      <c r="G25" s="6" t="n"/>
      <c r="H25" s="6" t="n"/>
      <c r="I25" s="6">
        <f>IFERROR(INDEX('02_Vehicles'!$B$2:$B$1000,MATCH(INDEX('03_Configurations'!$B$2:$B$1000,MATCH($H25,'03_Configurations'!$A$2:$A$1000,0)),'02_Vehicles'!$A$2:$A$1000,0)),"")</f>
        <v/>
      </c>
      <c r="J25" s="6">
        <f>IFERROR(INDEX('02_Vehicles'!$C$2:$C$1000,MATCH(INDEX('03_Configurations'!$B$2:$B$1000,MATCH($H25,'03_Configurations'!$A$2:$A$1000,0)),'02_Vehicles'!$A$2:$A$1000,0)),"")</f>
        <v/>
      </c>
      <c r="K25" s="6">
        <f>IFERROR(INDEX('03_Configurations'!$E$2:$E$1000,MATCH($H25,'03_Configurations'!$A$2:$A$1000,0)),"")</f>
        <v/>
      </c>
      <c r="L25" s="6">
        <f>IF($H25="","",COUNTIFS('14_HardRequirementResults'!$B$2:$B$1000,$H25,'14_HardRequirementResults'!$D$2:$D$1000,"FAIL"))</f>
        <v/>
      </c>
      <c r="M25" s="6">
        <f>IF($H25="","",COUNTIFS('14_HardRequirementResults'!$B$2:$B$1000,$H25,'14_HardRequirementResults'!$D$2:$D$1000,"UNKNOWN"))</f>
        <v/>
      </c>
      <c r="N25" s="6">
        <f>IF($L25="","",IF($L25&gt;0,IFERROR(INDEX('14_HardRequirementResults'!$C$2:$C$1000,MATCH(1,INDEX(('14_HardRequirementResults'!$B$2:$B$1000=$H25)*('14_HardRequirementResults'!$D$2:$D$1000="FAIL"),0),0)),""),""))</f>
        <v/>
      </c>
      <c r="R25" s="11">
        <f>IF($N25="","",IFERROR(INDEX('14_HardRequirementResults'!$F$2:$F$1000,MATCH(1,INDEX(('14_HardRequirementResults'!$B$2:$B$1000=$H25)*('14_HardRequirementResults'!$C$2:$C$1000=$N25),0),0)),""))</f>
        <v/>
      </c>
    </row>
    <row r="27">
      <c r="A27" s="4" t="inlineStr">
        <is>
          <t>2. Category Breakdown (WeightedScore sum per Category)</t>
        </is>
      </c>
    </row>
    <row r="28">
      <c r="A28" s="1" t="inlineStr">
        <is>
          <t>Configuration</t>
        </is>
      </c>
      <c r="B28" s="1" t="inlineStr">
        <is>
          <t>Kjøreopplevelse</t>
        </is>
      </c>
      <c r="C28" s="1" t="inlineStr">
        <is>
          <t>Teknologi</t>
        </is>
      </c>
      <c r="D28" s="1" t="inlineStr">
        <is>
          <t>Opplevd kvalitet</t>
        </is>
      </c>
      <c r="E28" s="1" t="inlineStr">
        <is>
          <t>Langtidseierskap</t>
        </is>
      </c>
      <c r="F28" s="1" t="inlineStr">
        <is>
          <t>Økonomi</t>
        </is>
      </c>
      <c r="G28" s="1" t="inlineStr">
        <is>
          <t>Praktisk bruk</t>
        </is>
      </c>
      <c r="H28" s="1" t="inlineStr">
        <is>
          <t>Garasje</t>
        </is>
      </c>
      <c r="I28" s="1" t="inlineStr">
        <is>
          <t>Rekkevidde/lading</t>
        </is>
      </c>
      <c r="J28" s="5" t="inlineStr">
        <is>
          <t>ConfigurationID</t>
        </is>
      </c>
    </row>
    <row r="29">
      <c r="A29" s="6">
        <f>IF($J29="","",$J29)</f>
        <v/>
      </c>
      <c r="B29" s="6">
        <f>IF($J29="","",IFERROR(SUMPRODUCT(('10_Scoring'!$B$2:$B$1000=$J29)*('10_Scoring'!$E$2:$E$1000=INDEX('12_OverallScores'!$C$2:$C$1000,MATCH($J29,'12_OverallScores'!$B$2:$B$1000,0)))*(IFERROR(INDEX('01_Criteria'!$B$2:$B$1000,MATCH('10_Scoring'!$C$2:$C$1000,'01_Criteria'!$A$2:$A$1000,0)),"")=B$28)*'10_Scoring'!$G$2:$G$1000),0))</f>
        <v/>
      </c>
      <c r="C29" s="6">
        <f>IF($J29="","",IFERROR(SUMPRODUCT(('10_Scoring'!$B$2:$B$1000=$J29)*('10_Scoring'!$E$2:$E$1000=INDEX('12_OverallScores'!$C$2:$C$1000,MATCH($J29,'12_OverallScores'!$B$2:$B$1000,0)))*(IFERROR(INDEX('01_Criteria'!$B$2:$B$1000,MATCH('10_Scoring'!$C$2:$C$1000,'01_Criteria'!$A$2:$A$1000,0)),"")=C$28)*'10_Scoring'!$G$2:$G$1000),0))</f>
        <v/>
      </c>
      <c r="D29" s="6">
        <f>IF($J29="","",IFERROR(SUMPRODUCT(('10_Scoring'!$B$2:$B$1000=$J29)*('10_Scoring'!$E$2:$E$1000=INDEX('12_OverallScores'!$C$2:$C$1000,MATCH($J29,'12_OverallScores'!$B$2:$B$1000,0)))*(IFERROR(INDEX('01_Criteria'!$B$2:$B$1000,MATCH('10_Scoring'!$C$2:$C$1000,'01_Criteria'!$A$2:$A$1000,0)),"")=D$28)*'10_Scoring'!$G$2:$G$1000),0))</f>
        <v/>
      </c>
      <c r="E29" s="6">
        <f>IF($J29="","",IFERROR(SUMPRODUCT(('10_Scoring'!$B$2:$B$1000=$J29)*('10_Scoring'!$E$2:$E$1000=INDEX('12_OverallScores'!$C$2:$C$1000,MATCH($J29,'12_OverallScores'!$B$2:$B$1000,0)))*(IFERROR(INDEX('01_Criteria'!$B$2:$B$1000,MATCH('10_Scoring'!$C$2:$C$1000,'01_Criteria'!$A$2:$A$1000,0)),"")=E$28)*'10_Scoring'!$G$2:$G$1000),0))</f>
        <v/>
      </c>
      <c r="F29" s="6">
        <f>IF($J29="","",IFERROR(SUMPRODUCT(('10_Scoring'!$B$2:$B$1000=$J29)*('10_Scoring'!$E$2:$E$1000=INDEX('12_OverallScores'!$C$2:$C$1000,MATCH($J29,'12_OverallScores'!$B$2:$B$1000,0)))*(IFERROR(INDEX('01_Criteria'!$B$2:$B$1000,MATCH('10_Scoring'!$C$2:$C$1000,'01_Criteria'!$A$2:$A$1000,0)),"")=F$28)*'10_Scoring'!$G$2:$G$1000),0))</f>
        <v/>
      </c>
      <c r="G29" s="6">
        <f>IF($J29="","",IFERROR(SUMPRODUCT(('10_Scoring'!$B$2:$B$1000=$J29)*('10_Scoring'!$E$2:$E$1000=INDEX('12_OverallScores'!$C$2:$C$1000,MATCH($J29,'12_OverallScores'!$B$2:$B$1000,0)))*(IFERROR(INDEX('01_Criteria'!$B$2:$B$1000,MATCH('10_Scoring'!$C$2:$C$1000,'01_Criteria'!$A$2:$A$1000,0)),"")=G$28)*'10_Scoring'!$G$2:$G$1000),0))</f>
        <v/>
      </c>
      <c r="H29" s="6">
        <f>IF($J29="","",IFERROR(SUMPRODUCT(('10_Scoring'!$B$2:$B$1000=$J29)*('10_Scoring'!$E$2:$E$1000=INDEX('12_OverallScores'!$C$2:$C$1000,MATCH($J29,'12_OverallScores'!$B$2:$B$1000,0)))*(IFERROR(INDEX('01_Criteria'!$B$2:$B$1000,MATCH('10_Scoring'!$C$2:$C$1000,'01_Criteria'!$A$2:$A$1000,0)),"")=H$28)*'10_Scoring'!$G$2:$G$1000),0))</f>
        <v/>
      </c>
      <c r="I29" s="6">
        <f>IF($J29="","",IFERROR(SUMPRODUCT(('10_Scoring'!$B$2:$B$1000=$J29)*('10_Scoring'!$E$2:$E$1000=INDEX('12_OverallScores'!$C$2:$C$1000,MATCH($J29,'12_OverallScores'!$B$2:$B$1000,0)))*(IFERROR(INDEX('01_Criteria'!$B$2:$B$1000,MATCH('10_Scoring'!$C$2:$C$1000,'01_Criteria'!$A$2:$A$1000,0)),"")=I$28)*'10_Scoring'!$G$2:$G$1000),0))</f>
        <v/>
      </c>
      <c r="J29" s="6" t="inlineStr">
        <is>
          <t>TESLA_MODEL_3_LONG_RANGE_RWD</t>
        </is>
      </c>
    </row>
    <row r="30">
      <c r="A30" s="6">
        <f>IF($J30="","",$J30)</f>
        <v/>
      </c>
      <c r="B30" s="6">
        <f>IF($J30="","",IFERROR(SUMPRODUCT(('10_Scoring'!$B$2:$B$1000=$J30)*('10_Scoring'!$E$2:$E$1000=INDEX('12_OverallScores'!$C$2:$C$1000,MATCH($J30,'12_OverallScores'!$B$2:$B$1000,0)))*(IFERROR(INDEX('01_Criteria'!$B$2:$B$1000,MATCH('10_Scoring'!$C$2:$C$1000,'01_Criteria'!$A$2:$A$1000,0)),"")=B$28)*'10_Scoring'!$G$2:$G$1000),0))</f>
        <v/>
      </c>
      <c r="C30" s="6">
        <f>IF($J30="","",IFERROR(SUMPRODUCT(('10_Scoring'!$B$2:$B$1000=$J30)*('10_Scoring'!$E$2:$E$1000=INDEX('12_OverallScores'!$C$2:$C$1000,MATCH($J30,'12_OverallScores'!$B$2:$B$1000,0)))*(IFERROR(INDEX('01_Criteria'!$B$2:$B$1000,MATCH('10_Scoring'!$C$2:$C$1000,'01_Criteria'!$A$2:$A$1000,0)),"")=C$28)*'10_Scoring'!$G$2:$G$1000),0))</f>
        <v/>
      </c>
      <c r="D30" s="6">
        <f>IF($J30="","",IFERROR(SUMPRODUCT(('10_Scoring'!$B$2:$B$1000=$J30)*('10_Scoring'!$E$2:$E$1000=INDEX('12_OverallScores'!$C$2:$C$1000,MATCH($J30,'12_OverallScores'!$B$2:$B$1000,0)))*(IFERROR(INDEX('01_Criteria'!$B$2:$B$1000,MATCH('10_Scoring'!$C$2:$C$1000,'01_Criteria'!$A$2:$A$1000,0)),"")=D$28)*'10_Scoring'!$G$2:$G$1000),0))</f>
        <v/>
      </c>
      <c r="E30" s="6">
        <f>IF($J30="","",IFERROR(SUMPRODUCT(('10_Scoring'!$B$2:$B$1000=$J30)*('10_Scoring'!$E$2:$E$1000=INDEX('12_OverallScores'!$C$2:$C$1000,MATCH($J30,'12_OverallScores'!$B$2:$B$1000,0)))*(IFERROR(INDEX('01_Criteria'!$B$2:$B$1000,MATCH('10_Scoring'!$C$2:$C$1000,'01_Criteria'!$A$2:$A$1000,0)),"")=E$28)*'10_Scoring'!$G$2:$G$1000),0))</f>
        <v/>
      </c>
      <c r="F30" s="6">
        <f>IF($J30="","",IFERROR(SUMPRODUCT(('10_Scoring'!$B$2:$B$1000=$J30)*('10_Scoring'!$E$2:$E$1000=INDEX('12_OverallScores'!$C$2:$C$1000,MATCH($J30,'12_OverallScores'!$B$2:$B$1000,0)))*(IFERROR(INDEX('01_Criteria'!$B$2:$B$1000,MATCH('10_Scoring'!$C$2:$C$1000,'01_Criteria'!$A$2:$A$1000,0)),"")=F$28)*'10_Scoring'!$G$2:$G$1000),0))</f>
        <v/>
      </c>
      <c r="G30" s="6">
        <f>IF($J30="","",IFERROR(SUMPRODUCT(('10_Scoring'!$B$2:$B$1000=$J30)*('10_Scoring'!$E$2:$E$1000=INDEX('12_OverallScores'!$C$2:$C$1000,MATCH($J30,'12_OverallScores'!$B$2:$B$1000,0)))*(IFERROR(INDEX('01_Criteria'!$B$2:$B$1000,MATCH('10_Scoring'!$C$2:$C$1000,'01_Criteria'!$A$2:$A$1000,0)),"")=G$28)*'10_Scoring'!$G$2:$G$1000),0))</f>
        <v/>
      </c>
      <c r="H30" s="6">
        <f>IF($J30="","",IFERROR(SUMPRODUCT(('10_Scoring'!$B$2:$B$1000=$J30)*('10_Scoring'!$E$2:$E$1000=INDEX('12_OverallScores'!$C$2:$C$1000,MATCH($J30,'12_OverallScores'!$B$2:$B$1000,0)))*(IFERROR(INDEX('01_Criteria'!$B$2:$B$1000,MATCH('10_Scoring'!$C$2:$C$1000,'01_Criteria'!$A$2:$A$1000,0)),"")=H$28)*'10_Scoring'!$G$2:$G$1000),0))</f>
        <v/>
      </c>
      <c r="I30" s="6">
        <f>IF($J30="","",IFERROR(SUMPRODUCT(('10_Scoring'!$B$2:$B$1000=$J30)*('10_Scoring'!$E$2:$E$1000=INDEX('12_OverallScores'!$C$2:$C$1000,MATCH($J30,'12_OverallScores'!$B$2:$B$1000,0)))*(IFERROR(INDEX('01_Criteria'!$B$2:$B$1000,MATCH('10_Scoring'!$C$2:$C$1000,'01_Criteria'!$A$2:$A$1000,0)),"")=I$28)*'10_Scoring'!$G$2:$G$1000),0))</f>
        <v/>
      </c>
      <c r="J30" s="6" t="inlineStr">
        <is>
          <t>RENAULT_4_TECHNO</t>
        </is>
      </c>
    </row>
    <row r="31">
      <c r="A31" s="6">
        <f>IF($J31="","",$J31)</f>
        <v/>
      </c>
      <c r="B31" s="6">
        <f>IF($J31="","",IFERROR(SUMPRODUCT(('10_Scoring'!$B$2:$B$1000=$J31)*('10_Scoring'!$E$2:$E$1000=INDEX('12_OverallScores'!$C$2:$C$1000,MATCH($J31,'12_OverallScores'!$B$2:$B$1000,0)))*(IFERROR(INDEX('01_Criteria'!$B$2:$B$1000,MATCH('10_Scoring'!$C$2:$C$1000,'01_Criteria'!$A$2:$A$1000,0)),"")=B$28)*'10_Scoring'!$G$2:$G$1000),0))</f>
        <v/>
      </c>
      <c r="C31" s="6">
        <f>IF($J31="","",IFERROR(SUMPRODUCT(('10_Scoring'!$B$2:$B$1000=$J31)*('10_Scoring'!$E$2:$E$1000=INDEX('12_OverallScores'!$C$2:$C$1000,MATCH($J31,'12_OverallScores'!$B$2:$B$1000,0)))*(IFERROR(INDEX('01_Criteria'!$B$2:$B$1000,MATCH('10_Scoring'!$C$2:$C$1000,'01_Criteria'!$A$2:$A$1000,0)),"")=C$28)*'10_Scoring'!$G$2:$G$1000),0))</f>
        <v/>
      </c>
      <c r="D31" s="6">
        <f>IF($J31="","",IFERROR(SUMPRODUCT(('10_Scoring'!$B$2:$B$1000=$J31)*('10_Scoring'!$E$2:$E$1000=INDEX('12_OverallScores'!$C$2:$C$1000,MATCH($J31,'12_OverallScores'!$B$2:$B$1000,0)))*(IFERROR(INDEX('01_Criteria'!$B$2:$B$1000,MATCH('10_Scoring'!$C$2:$C$1000,'01_Criteria'!$A$2:$A$1000,0)),"")=D$28)*'10_Scoring'!$G$2:$G$1000),0))</f>
        <v/>
      </c>
      <c r="E31" s="6">
        <f>IF($J31="","",IFERROR(SUMPRODUCT(('10_Scoring'!$B$2:$B$1000=$J31)*('10_Scoring'!$E$2:$E$1000=INDEX('12_OverallScores'!$C$2:$C$1000,MATCH($J31,'12_OverallScores'!$B$2:$B$1000,0)))*(IFERROR(INDEX('01_Criteria'!$B$2:$B$1000,MATCH('10_Scoring'!$C$2:$C$1000,'01_Criteria'!$A$2:$A$1000,0)),"")=E$28)*'10_Scoring'!$G$2:$G$1000),0))</f>
        <v/>
      </c>
      <c r="F31" s="6">
        <f>IF($J31="","",IFERROR(SUMPRODUCT(('10_Scoring'!$B$2:$B$1000=$J31)*('10_Scoring'!$E$2:$E$1000=INDEX('12_OverallScores'!$C$2:$C$1000,MATCH($J31,'12_OverallScores'!$B$2:$B$1000,0)))*(IFERROR(INDEX('01_Criteria'!$B$2:$B$1000,MATCH('10_Scoring'!$C$2:$C$1000,'01_Criteria'!$A$2:$A$1000,0)),"")=F$28)*'10_Scoring'!$G$2:$G$1000),0))</f>
        <v/>
      </c>
      <c r="G31" s="6">
        <f>IF($J31="","",IFERROR(SUMPRODUCT(('10_Scoring'!$B$2:$B$1000=$J31)*('10_Scoring'!$E$2:$E$1000=INDEX('12_OverallScores'!$C$2:$C$1000,MATCH($J31,'12_OverallScores'!$B$2:$B$1000,0)))*(IFERROR(INDEX('01_Criteria'!$B$2:$B$1000,MATCH('10_Scoring'!$C$2:$C$1000,'01_Criteria'!$A$2:$A$1000,0)),"")=G$28)*'10_Scoring'!$G$2:$G$1000),0))</f>
        <v/>
      </c>
      <c r="H31" s="6">
        <f>IF($J31="","",IFERROR(SUMPRODUCT(('10_Scoring'!$B$2:$B$1000=$J31)*('10_Scoring'!$E$2:$E$1000=INDEX('12_OverallScores'!$C$2:$C$1000,MATCH($J31,'12_OverallScores'!$B$2:$B$1000,0)))*(IFERROR(INDEX('01_Criteria'!$B$2:$B$1000,MATCH('10_Scoring'!$C$2:$C$1000,'01_Criteria'!$A$2:$A$1000,0)),"")=H$28)*'10_Scoring'!$G$2:$G$1000),0))</f>
        <v/>
      </c>
      <c r="I31" s="6">
        <f>IF($J31="","",IFERROR(SUMPRODUCT(('10_Scoring'!$B$2:$B$1000=$J31)*('10_Scoring'!$E$2:$E$1000=INDEX('12_OverallScores'!$C$2:$C$1000,MATCH($J31,'12_OverallScores'!$B$2:$B$1000,0)))*(IFERROR(INDEX('01_Criteria'!$B$2:$B$1000,MATCH('10_Scoring'!$C$2:$C$1000,'01_Criteria'!$A$2:$A$1000,0)),"")=I$28)*'10_Scoring'!$G$2:$G$1000),0))</f>
        <v/>
      </c>
      <c r="J31" s="6" t="inlineStr">
        <is>
          <t>SKODA_ELROQ_SELECTION_60</t>
        </is>
      </c>
    </row>
    <row r="32">
      <c r="A32" s="6">
        <f>IF($J32="","",$J32)</f>
        <v/>
      </c>
      <c r="B32" s="6">
        <f>IF($J32="","",IFERROR(SUMPRODUCT(('10_Scoring'!$B$2:$B$1000=$J32)*('10_Scoring'!$E$2:$E$1000=INDEX('12_OverallScores'!$C$2:$C$1000,MATCH($J32,'12_OverallScores'!$B$2:$B$1000,0)))*(IFERROR(INDEX('01_Criteria'!$B$2:$B$1000,MATCH('10_Scoring'!$C$2:$C$1000,'01_Criteria'!$A$2:$A$1000,0)),"")=B$28)*'10_Scoring'!$G$2:$G$1000),0))</f>
        <v/>
      </c>
      <c r="C32" s="6">
        <f>IF($J32="","",IFERROR(SUMPRODUCT(('10_Scoring'!$B$2:$B$1000=$J32)*('10_Scoring'!$E$2:$E$1000=INDEX('12_OverallScores'!$C$2:$C$1000,MATCH($J32,'12_OverallScores'!$B$2:$B$1000,0)))*(IFERROR(INDEX('01_Criteria'!$B$2:$B$1000,MATCH('10_Scoring'!$C$2:$C$1000,'01_Criteria'!$A$2:$A$1000,0)),"")=C$28)*'10_Scoring'!$G$2:$G$1000),0))</f>
        <v/>
      </c>
      <c r="D32" s="6">
        <f>IF($J32="","",IFERROR(SUMPRODUCT(('10_Scoring'!$B$2:$B$1000=$J32)*('10_Scoring'!$E$2:$E$1000=INDEX('12_OverallScores'!$C$2:$C$1000,MATCH($J32,'12_OverallScores'!$B$2:$B$1000,0)))*(IFERROR(INDEX('01_Criteria'!$B$2:$B$1000,MATCH('10_Scoring'!$C$2:$C$1000,'01_Criteria'!$A$2:$A$1000,0)),"")=D$28)*'10_Scoring'!$G$2:$G$1000),0))</f>
        <v/>
      </c>
      <c r="E32" s="6">
        <f>IF($J32="","",IFERROR(SUMPRODUCT(('10_Scoring'!$B$2:$B$1000=$J32)*('10_Scoring'!$E$2:$E$1000=INDEX('12_OverallScores'!$C$2:$C$1000,MATCH($J32,'12_OverallScores'!$B$2:$B$1000,0)))*(IFERROR(INDEX('01_Criteria'!$B$2:$B$1000,MATCH('10_Scoring'!$C$2:$C$1000,'01_Criteria'!$A$2:$A$1000,0)),"")=E$28)*'10_Scoring'!$G$2:$G$1000),0))</f>
        <v/>
      </c>
      <c r="F32" s="6">
        <f>IF($J32="","",IFERROR(SUMPRODUCT(('10_Scoring'!$B$2:$B$1000=$J32)*('10_Scoring'!$E$2:$E$1000=INDEX('12_OverallScores'!$C$2:$C$1000,MATCH($J32,'12_OverallScores'!$B$2:$B$1000,0)))*(IFERROR(INDEX('01_Criteria'!$B$2:$B$1000,MATCH('10_Scoring'!$C$2:$C$1000,'01_Criteria'!$A$2:$A$1000,0)),"")=F$28)*'10_Scoring'!$G$2:$G$1000),0))</f>
        <v/>
      </c>
      <c r="G32" s="6">
        <f>IF($J32="","",IFERROR(SUMPRODUCT(('10_Scoring'!$B$2:$B$1000=$J32)*('10_Scoring'!$E$2:$E$1000=INDEX('12_OverallScores'!$C$2:$C$1000,MATCH($J32,'12_OverallScores'!$B$2:$B$1000,0)))*(IFERROR(INDEX('01_Criteria'!$B$2:$B$1000,MATCH('10_Scoring'!$C$2:$C$1000,'01_Criteria'!$A$2:$A$1000,0)),"")=G$28)*'10_Scoring'!$G$2:$G$1000),0))</f>
        <v/>
      </c>
      <c r="H32" s="6">
        <f>IF($J32="","",IFERROR(SUMPRODUCT(('10_Scoring'!$B$2:$B$1000=$J32)*('10_Scoring'!$E$2:$E$1000=INDEX('12_OverallScores'!$C$2:$C$1000,MATCH($J32,'12_OverallScores'!$B$2:$B$1000,0)))*(IFERROR(INDEX('01_Criteria'!$B$2:$B$1000,MATCH('10_Scoring'!$C$2:$C$1000,'01_Criteria'!$A$2:$A$1000,0)),"")=H$28)*'10_Scoring'!$G$2:$G$1000),0))</f>
        <v/>
      </c>
      <c r="I32" s="6">
        <f>IF($J32="","",IFERROR(SUMPRODUCT(('10_Scoring'!$B$2:$B$1000=$J32)*('10_Scoring'!$E$2:$E$1000=INDEX('12_OverallScores'!$C$2:$C$1000,MATCH($J32,'12_OverallScores'!$B$2:$B$1000,0)))*(IFERROR(INDEX('01_Criteria'!$B$2:$B$1000,MATCH('10_Scoring'!$C$2:$C$1000,'01_Criteria'!$A$2:$A$1000,0)),"")=I$28)*'10_Scoring'!$G$2:$G$1000),0))</f>
        <v/>
      </c>
      <c r="J32" s="6" t="inlineStr">
        <is>
          <t>VOLVO_EX30_P5_LONG_RANGE</t>
        </is>
      </c>
    </row>
    <row r="33">
      <c r="A33" s="6">
        <f>IF($J33="","",$J33)</f>
        <v/>
      </c>
      <c r="B33" s="6">
        <f>IF($J33="","",IFERROR(SUMPRODUCT(('10_Scoring'!$B$2:$B$1000=$J33)*('10_Scoring'!$E$2:$E$1000=INDEX('12_OverallScores'!$C$2:$C$1000,MATCH($J33,'12_OverallScores'!$B$2:$B$1000,0)))*(IFERROR(INDEX('01_Criteria'!$B$2:$B$1000,MATCH('10_Scoring'!$C$2:$C$1000,'01_Criteria'!$A$2:$A$1000,0)),"")=B$28)*'10_Scoring'!$G$2:$G$1000),0))</f>
        <v/>
      </c>
      <c r="C33" s="6">
        <f>IF($J33="","",IFERROR(SUMPRODUCT(('10_Scoring'!$B$2:$B$1000=$J33)*('10_Scoring'!$E$2:$E$1000=INDEX('12_OverallScores'!$C$2:$C$1000,MATCH($J33,'12_OverallScores'!$B$2:$B$1000,0)))*(IFERROR(INDEX('01_Criteria'!$B$2:$B$1000,MATCH('10_Scoring'!$C$2:$C$1000,'01_Criteria'!$A$2:$A$1000,0)),"")=C$28)*'10_Scoring'!$G$2:$G$1000),0))</f>
        <v/>
      </c>
      <c r="D33" s="6">
        <f>IF($J33="","",IFERROR(SUMPRODUCT(('10_Scoring'!$B$2:$B$1000=$J33)*('10_Scoring'!$E$2:$E$1000=INDEX('12_OverallScores'!$C$2:$C$1000,MATCH($J33,'12_OverallScores'!$B$2:$B$1000,0)))*(IFERROR(INDEX('01_Criteria'!$B$2:$B$1000,MATCH('10_Scoring'!$C$2:$C$1000,'01_Criteria'!$A$2:$A$1000,0)),"")=D$28)*'10_Scoring'!$G$2:$G$1000),0))</f>
        <v/>
      </c>
      <c r="E33" s="6">
        <f>IF($J33="","",IFERROR(SUMPRODUCT(('10_Scoring'!$B$2:$B$1000=$J33)*('10_Scoring'!$E$2:$E$1000=INDEX('12_OverallScores'!$C$2:$C$1000,MATCH($J33,'12_OverallScores'!$B$2:$B$1000,0)))*(IFERROR(INDEX('01_Criteria'!$B$2:$B$1000,MATCH('10_Scoring'!$C$2:$C$1000,'01_Criteria'!$A$2:$A$1000,0)),"")=E$28)*'10_Scoring'!$G$2:$G$1000),0))</f>
        <v/>
      </c>
      <c r="F33" s="6">
        <f>IF($J33="","",IFERROR(SUMPRODUCT(('10_Scoring'!$B$2:$B$1000=$J33)*('10_Scoring'!$E$2:$E$1000=INDEX('12_OverallScores'!$C$2:$C$1000,MATCH($J33,'12_OverallScores'!$B$2:$B$1000,0)))*(IFERROR(INDEX('01_Criteria'!$B$2:$B$1000,MATCH('10_Scoring'!$C$2:$C$1000,'01_Criteria'!$A$2:$A$1000,0)),"")=F$28)*'10_Scoring'!$G$2:$G$1000),0))</f>
        <v/>
      </c>
      <c r="G33" s="6">
        <f>IF($J33="","",IFERROR(SUMPRODUCT(('10_Scoring'!$B$2:$B$1000=$J33)*('10_Scoring'!$E$2:$E$1000=INDEX('12_OverallScores'!$C$2:$C$1000,MATCH($J33,'12_OverallScores'!$B$2:$B$1000,0)))*(IFERROR(INDEX('01_Criteria'!$B$2:$B$1000,MATCH('10_Scoring'!$C$2:$C$1000,'01_Criteria'!$A$2:$A$1000,0)),"")=G$28)*'10_Scoring'!$G$2:$G$1000),0))</f>
        <v/>
      </c>
      <c r="H33" s="6">
        <f>IF($J33="","",IFERROR(SUMPRODUCT(('10_Scoring'!$B$2:$B$1000=$J33)*('10_Scoring'!$E$2:$E$1000=INDEX('12_OverallScores'!$C$2:$C$1000,MATCH($J33,'12_OverallScores'!$B$2:$B$1000,0)))*(IFERROR(INDEX('01_Criteria'!$B$2:$B$1000,MATCH('10_Scoring'!$C$2:$C$1000,'01_Criteria'!$A$2:$A$1000,0)),"")=H$28)*'10_Scoring'!$G$2:$G$1000),0))</f>
        <v/>
      </c>
      <c r="I33" s="6">
        <f>IF($J33="","",IFERROR(SUMPRODUCT(('10_Scoring'!$B$2:$B$1000=$J33)*('10_Scoring'!$E$2:$E$1000=INDEX('12_OverallScores'!$C$2:$C$1000,MATCH($J33,'12_OverallScores'!$B$2:$B$1000,0)))*(IFERROR(INDEX('01_Criteria'!$B$2:$B$1000,MATCH('10_Scoring'!$C$2:$C$1000,'01_Criteria'!$A$2:$A$1000,0)),"")=I$28)*'10_Scoring'!$G$2:$G$1000),0))</f>
        <v/>
      </c>
      <c r="J33" s="6" t="inlineStr">
        <is>
          <t>KIA_EV2_FWD_LONG_RANGE_GT_LINE</t>
        </is>
      </c>
    </row>
    <row r="34">
      <c r="A34" s="6">
        <f>IF($J34="","",$J34)</f>
        <v/>
      </c>
      <c r="B34" s="6">
        <f>IF($J34="","",IFERROR(SUMPRODUCT(('10_Scoring'!$B$2:$B$1000=$J34)*('10_Scoring'!$E$2:$E$1000=INDEX('12_OverallScores'!$C$2:$C$1000,MATCH($J34,'12_OverallScores'!$B$2:$B$1000,0)))*(IFERROR(INDEX('01_Criteria'!$B$2:$B$1000,MATCH('10_Scoring'!$C$2:$C$1000,'01_Criteria'!$A$2:$A$1000,0)),"")=B$28)*'10_Scoring'!$G$2:$G$1000),0))</f>
        <v/>
      </c>
      <c r="C34" s="6">
        <f>IF($J34="","",IFERROR(SUMPRODUCT(('10_Scoring'!$B$2:$B$1000=$J34)*('10_Scoring'!$E$2:$E$1000=INDEX('12_OverallScores'!$C$2:$C$1000,MATCH($J34,'12_OverallScores'!$B$2:$B$1000,0)))*(IFERROR(INDEX('01_Criteria'!$B$2:$B$1000,MATCH('10_Scoring'!$C$2:$C$1000,'01_Criteria'!$A$2:$A$1000,0)),"")=C$28)*'10_Scoring'!$G$2:$G$1000),0))</f>
        <v/>
      </c>
      <c r="D34" s="6">
        <f>IF($J34="","",IFERROR(SUMPRODUCT(('10_Scoring'!$B$2:$B$1000=$J34)*('10_Scoring'!$E$2:$E$1000=INDEX('12_OverallScores'!$C$2:$C$1000,MATCH($J34,'12_OverallScores'!$B$2:$B$1000,0)))*(IFERROR(INDEX('01_Criteria'!$B$2:$B$1000,MATCH('10_Scoring'!$C$2:$C$1000,'01_Criteria'!$A$2:$A$1000,0)),"")=D$28)*'10_Scoring'!$G$2:$G$1000),0))</f>
        <v/>
      </c>
      <c r="E34" s="6">
        <f>IF($J34="","",IFERROR(SUMPRODUCT(('10_Scoring'!$B$2:$B$1000=$J34)*('10_Scoring'!$E$2:$E$1000=INDEX('12_OverallScores'!$C$2:$C$1000,MATCH($J34,'12_OverallScores'!$B$2:$B$1000,0)))*(IFERROR(INDEX('01_Criteria'!$B$2:$B$1000,MATCH('10_Scoring'!$C$2:$C$1000,'01_Criteria'!$A$2:$A$1000,0)),"")=E$28)*'10_Scoring'!$G$2:$G$1000),0))</f>
        <v/>
      </c>
      <c r="F34" s="6">
        <f>IF($J34="","",IFERROR(SUMPRODUCT(('10_Scoring'!$B$2:$B$1000=$J34)*('10_Scoring'!$E$2:$E$1000=INDEX('12_OverallScores'!$C$2:$C$1000,MATCH($J34,'12_OverallScores'!$B$2:$B$1000,0)))*(IFERROR(INDEX('01_Criteria'!$B$2:$B$1000,MATCH('10_Scoring'!$C$2:$C$1000,'01_Criteria'!$A$2:$A$1000,0)),"")=F$28)*'10_Scoring'!$G$2:$G$1000),0))</f>
        <v/>
      </c>
      <c r="G34" s="6">
        <f>IF($J34="","",IFERROR(SUMPRODUCT(('10_Scoring'!$B$2:$B$1000=$J34)*('10_Scoring'!$E$2:$E$1000=INDEX('12_OverallScores'!$C$2:$C$1000,MATCH($J34,'12_OverallScores'!$B$2:$B$1000,0)))*(IFERROR(INDEX('01_Criteria'!$B$2:$B$1000,MATCH('10_Scoring'!$C$2:$C$1000,'01_Criteria'!$A$2:$A$1000,0)),"")=G$28)*'10_Scoring'!$G$2:$G$1000),0))</f>
        <v/>
      </c>
      <c r="H34" s="6">
        <f>IF($J34="","",IFERROR(SUMPRODUCT(('10_Scoring'!$B$2:$B$1000=$J34)*('10_Scoring'!$E$2:$E$1000=INDEX('12_OverallScores'!$C$2:$C$1000,MATCH($J34,'12_OverallScores'!$B$2:$B$1000,0)))*(IFERROR(INDEX('01_Criteria'!$B$2:$B$1000,MATCH('10_Scoring'!$C$2:$C$1000,'01_Criteria'!$A$2:$A$1000,0)),"")=H$28)*'10_Scoring'!$G$2:$G$1000),0))</f>
        <v/>
      </c>
      <c r="I34" s="6">
        <f>IF($J34="","",IFERROR(SUMPRODUCT(('10_Scoring'!$B$2:$B$1000=$J34)*('10_Scoring'!$E$2:$E$1000=INDEX('12_OverallScores'!$C$2:$C$1000,MATCH($J34,'12_OverallScores'!$B$2:$B$1000,0)))*(IFERROR(INDEX('01_Criteria'!$B$2:$B$1000,MATCH('10_Scoring'!$C$2:$C$1000,'01_Criteria'!$A$2:$A$1000,0)),"")=I$28)*'10_Scoring'!$G$2:$G$1000),0))</f>
        <v/>
      </c>
      <c r="J34" s="6" t="inlineStr">
        <is>
          <t>BYD_ATTO3_DESIGN</t>
        </is>
      </c>
    </row>
    <row r="35">
      <c r="A35" s="6">
        <f>IF($J35="","",$J35)</f>
        <v/>
      </c>
      <c r="B35" s="6">
        <f>IF($J35="","",IFERROR(SUMPRODUCT(('10_Scoring'!$B$2:$B$1000=$J35)*('10_Scoring'!$E$2:$E$1000=INDEX('12_OverallScores'!$C$2:$C$1000,MATCH($J35,'12_OverallScores'!$B$2:$B$1000,0)))*(IFERROR(INDEX('01_Criteria'!$B$2:$B$1000,MATCH('10_Scoring'!$C$2:$C$1000,'01_Criteria'!$A$2:$A$1000,0)),"")=B$28)*'10_Scoring'!$G$2:$G$1000),0))</f>
        <v/>
      </c>
      <c r="C35" s="6">
        <f>IF($J35="","",IFERROR(SUMPRODUCT(('10_Scoring'!$B$2:$B$1000=$J35)*('10_Scoring'!$E$2:$E$1000=INDEX('12_OverallScores'!$C$2:$C$1000,MATCH($J35,'12_OverallScores'!$B$2:$B$1000,0)))*(IFERROR(INDEX('01_Criteria'!$B$2:$B$1000,MATCH('10_Scoring'!$C$2:$C$1000,'01_Criteria'!$A$2:$A$1000,0)),"")=C$28)*'10_Scoring'!$G$2:$G$1000),0))</f>
        <v/>
      </c>
      <c r="D35" s="6">
        <f>IF($J35="","",IFERROR(SUMPRODUCT(('10_Scoring'!$B$2:$B$1000=$J35)*('10_Scoring'!$E$2:$E$1000=INDEX('12_OverallScores'!$C$2:$C$1000,MATCH($J35,'12_OverallScores'!$B$2:$B$1000,0)))*(IFERROR(INDEX('01_Criteria'!$B$2:$B$1000,MATCH('10_Scoring'!$C$2:$C$1000,'01_Criteria'!$A$2:$A$1000,0)),"")=D$28)*'10_Scoring'!$G$2:$G$1000),0))</f>
        <v/>
      </c>
      <c r="E35" s="6">
        <f>IF($J35="","",IFERROR(SUMPRODUCT(('10_Scoring'!$B$2:$B$1000=$J35)*('10_Scoring'!$E$2:$E$1000=INDEX('12_OverallScores'!$C$2:$C$1000,MATCH($J35,'12_OverallScores'!$B$2:$B$1000,0)))*(IFERROR(INDEX('01_Criteria'!$B$2:$B$1000,MATCH('10_Scoring'!$C$2:$C$1000,'01_Criteria'!$A$2:$A$1000,0)),"")=E$28)*'10_Scoring'!$G$2:$G$1000),0))</f>
        <v/>
      </c>
      <c r="F35" s="6">
        <f>IF($J35="","",IFERROR(SUMPRODUCT(('10_Scoring'!$B$2:$B$1000=$J35)*('10_Scoring'!$E$2:$E$1000=INDEX('12_OverallScores'!$C$2:$C$1000,MATCH($J35,'12_OverallScores'!$B$2:$B$1000,0)))*(IFERROR(INDEX('01_Criteria'!$B$2:$B$1000,MATCH('10_Scoring'!$C$2:$C$1000,'01_Criteria'!$A$2:$A$1000,0)),"")=F$28)*'10_Scoring'!$G$2:$G$1000),0))</f>
        <v/>
      </c>
      <c r="G35" s="6">
        <f>IF($J35="","",IFERROR(SUMPRODUCT(('10_Scoring'!$B$2:$B$1000=$J35)*('10_Scoring'!$E$2:$E$1000=INDEX('12_OverallScores'!$C$2:$C$1000,MATCH($J35,'12_OverallScores'!$B$2:$B$1000,0)))*(IFERROR(INDEX('01_Criteria'!$B$2:$B$1000,MATCH('10_Scoring'!$C$2:$C$1000,'01_Criteria'!$A$2:$A$1000,0)),"")=G$28)*'10_Scoring'!$G$2:$G$1000),0))</f>
        <v/>
      </c>
      <c r="H35" s="6">
        <f>IF($J35="","",IFERROR(SUMPRODUCT(('10_Scoring'!$B$2:$B$1000=$J35)*('10_Scoring'!$E$2:$E$1000=INDEX('12_OverallScores'!$C$2:$C$1000,MATCH($J35,'12_OverallScores'!$B$2:$B$1000,0)))*(IFERROR(INDEX('01_Criteria'!$B$2:$B$1000,MATCH('10_Scoring'!$C$2:$C$1000,'01_Criteria'!$A$2:$A$1000,0)),"")=H$28)*'10_Scoring'!$G$2:$G$1000),0))</f>
        <v/>
      </c>
      <c r="I35" s="6">
        <f>IF($J35="","",IFERROR(SUMPRODUCT(('10_Scoring'!$B$2:$B$1000=$J35)*('10_Scoring'!$E$2:$E$1000=INDEX('12_OverallScores'!$C$2:$C$1000,MATCH($J35,'12_OverallScores'!$B$2:$B$1000,0)))*(IFERROR(INDEX('01_Criteria'!$B$2:$B$1000,MATCH('10_Scoring'!$C$2:$C$1000,'01_Criteria'!$A$2:$A$1000,0)),"")=I$28)*'10_Scoring'!$G$2:$G$1000),0))</f>
        <v/>
      </c>
      <c r="J35" s="6" t="n"/>
    </row>
    <row r="36">
      <c r="A36" s="6">
        <f>IF($J36="","",$J36)</f>
        <v/>
      </c>
      <c r="B36" s="6">
        <f>IF($J36="","",IFERROR(SUMPRODUCT(('10_Scoring'!$B$2:$B$1000=$J36)*('10_Scoring'!$E$2:$E$1000=INDEX('12_OverallScores'!$C$2:$C$1000,MATCH($J36,'12_OverallScores'!$B$2:$B$1000,0)))*(IFERROR(INDEX('01_Criteria'!$B$2:$B$1000,MATCH('10_Scoring'!$C$2:$C$1000,'01_Criteria'!$A$2:$A$1000,0)),"")=B$28)*'10_Scoring'!$G$2:$G$1000),0))</f>
        <v/>
      </c>
      <c r="C36" s="6">
        <f>IF($J36="","",IFERROR(SUMPRODUCT(('10_Scoring'!$B$2:$B$1000=$J36)*('10_Scoring'!$E$2:$E$1000=INDEX('12_OverallScores'!$C$2:$C$1000,MATCH($J36,'12_OverallScores'!$B$2:$B$1000,0)))*(IFERROR(INDEX('01_Criteria'!$B$2:$B$1000,MATCH('10_Scoring'!$C$2:$C$1000,'01_Criteria'!$A$2:$A$1000,0)),"")=C$28)*'10_Scoring'!$G$2:$G$1000),0))</f>
        <v/>
      </c>
      <c r="D36" s="6">
        <f>IF($J36="","",IFERROR(SUMPRODUCT(('10_Scoring'!$B$2:$B$1000=$J36)*('10_Scoring'!$E$2:$E$1000=INDEX('12_OverallScores'!$C$2:$C$1000,MATCH($J36,'12_OverallScores'!$B$2:$B$1000,0)))*(IFERROR(INDEX('01_Criteria'!$B$2:$B$1000,MATCH('10_Scoring'!$C$2:$C$1000,'01_Criteria'!$A$2:$A$1000,0)),"")=D$28)*'10_Scoring'!$G$2:$G$1000),0))</f>
        <v/>
      </c>
      <c r="E36" s="6">
        <f>IF($J36="","",IFERROR(SUMPRODUCT(('10_Scoring'!$B$2:$B$1000=$J36)*('10_Scoring'!$E$2:$E$1000=INDEX('12_OverallScores'!$C$2:$C$1000,MATCH($J36,'12_OverallScores'!$B$2:$B$1000,0)))*(IFERROR(INDEX('01_Criteria'!$B$2:$B$1000,MATCH('10_Scoring'!$C$2:$C$1000,'01_Criteria'!$A$2:$A$1000,0)),"")=E$28)*'10_Scoring'!$G$2:$G$1000),0))</f>
        <v/>
      </c>
      <c r="F36" s="6">
        <f>IF($J36="","",IFERROR(SUMPRODUCT(('10_Scoring'!$B$2:$B$1000=$J36)*('10_Scoring'!$E$2:$E$1000=INDEX('12_OverallScores'!$C$2:$C$1000,MATCH($J36,'12_OverallScores'!$B$2:$B$1000,0)))*(IFERROR(INDEX('01_Criteria'!$B$2:$B$1000,MATCH('10_Scoring'!$C$2:$C$1000,'01_Criteria'!$A$2:$A$1000,0)),"")=F$28)*'10_Scoring'!$G$2:$G$1000),0))</f>
        <v/>
      </c>
      <c r="G36" s="6">
        <f>IF($J36="","",IFERROR(SUMPRODUCT(('10_Scoring'!$B$2:$B$1000=$J36)*('10_Scoring'!$E$2:$E$1000=INDEX('12_OverallScores'!$C$2:$C$1000,MATCH($J36,'12_OverallScores'!$B$2:$B$1000,0)))*(IFERROR(INDEX('01_Criteria'!$B$2:$B$1000,MATCH('10_Scoring'!$C$2:$C$1000,'01_Criteria'!$A$2:$A$1000,0)),"")=G$28)*'10_Scoring'!$G$2:$G$1000),0))</f>
        <v/>
      </c>
      <c r="H36" s="6">
        <f>IF($J36="","",IFERROR(SUMPRODUCT(('10_Scoring'!$B$2:$B$1000=$J36)*('10_Scoring'!$E$2:$E$1000=INDEX('12_OverallScores'!$C$2:$C$1000,MATCH($J36,'12_OverallScores'!$B$2:$B$1000,0)))*(IFERROR(INDEX('01_Criteria'!$B$2:$B$1000,MATCH('10_Scoring'!$C$2:$C$1000,'01_Criteria'!$A$2:$A$1000,0)),"")=H$28)*'10_Scoring'!$G$2:$G$1000),0))</f>
        <v/>
      </c>
      <c r="I36" s="6">
        <f>IF($J36="","",IFERROR(SUMPRODUCT(('10_Scoring'!$B$2:$B$1000=$J36)*('10_Scoring'!$E$2:$E$1000=INDEX('12_OverallScores'!$C$2:$C$1000,MATCH($J36,'12_OverallScores'!$B$2:$B$1000,0)))*(IFERROR(INDEX('01_Criteria'!$B$2:$B$1000,MATCH('10_Scoring'!$C$2:$C$1000,'01_Criteria'!$A$2:$A$1000,0)),"")=I$28)*'10_Scoring'!$G$2:$G$1000),0))</f>
        <v/>
      </c>
      <c r="J36" s="6" t="n"/>
    </row>
    <row r="37">
      <c r="A37" s="6">
        <f>IF($J37="","",$J37)</f>
        <v/>
      </c>
      <c r="B37" s="6">
        <f>IF($J37="","",IFERROR(SUMPRODUCT(('10_Scoring'!$B$2:$B$1000=$J37)*('10_Scoring'!$E$2:$E$1000=INDEX('12_OverallScores'!$C$2:$C$1000,MATCH($J37,'12_OverallScores'!$B$2:$B$1000,0)))*(IFERROR(INDEX('01_Criteria'!$B$2:$B$1000,MATCH('10_Scoring'!$C$2:$C$1000,'01_Criteria'!$A$2:$A$1000,0)),"")=B$28)*'10_Scoring'!$G$2:$G$1000),0))</f>
        <v/>
      </c>
      <c r="C37" s="6">
        <f>IF($J37="","",IFERROR(SUMPRODUCT(('10_Scoring'!$B$2:$B$1000=$J37)*('10_Scoring'!$E$2:$E$1000=INDEX('12_OverallScores'!$C$2:$C$1000,MATCH($J37,'12_OverallScores'!$B$2:$B$1000,0)))*(IFERROR(INDEX('01_Criteria'!$B$2:$B$1000,MATCH('10_Scoring'!$C$2:$C$1000,'01_Criteria'!$A$2:$A$1000,0)),"")=C$28)*'10_Scoring'!$G$2:$G$1000),0))</f>
        <v/>
      </c>
      <c r="D37" s="6">
        <f>IF($J37="","",IFERROR(SUMPRODUCT(('10_Scoring'!$B$2:$B$1000=$J37)*('10_Scoring'!$E$2:$E$1000=INDEX('12_OverallScores'!$C$2:$C$1000,MATCH($J37,'12_OverallScores'!$B$2:$B$1000,0)))*(IFERROR(INDEX('01_Criteria'!$B$2:$B$1000,MATCH('10_Scoring'!$C$2:$C$1000,'01_Criteria'!$A$2:$A$1000,0)),"")=D$28)*'10_Scoring'!$G$2:$G$1000),0))</f>
        <v/>
      </c>
      <c r="E37" s="6">
        <f>IF($J37="","",IFERROR(SUMPRODUCT(('10_Scoring'!$B$2:$B$1000=$J37)*('10_Scoring'!$E$2:$E$1000=INDEX('12_OverallScores'!$C$2:$C$1000,MATCH($J37,'12_OverallScores'!$B$2:$B$1000,0)))*(IFERROR(INDEX('01_Criteria'!$B$2:$B$1000,MATCH('10_Scoring'!$C$2:$C$1000,'01_Criteria'!$A$2:$A$1000,0)),"")=E$28)*'10_Scoring'!$G$2:$G$1000),0))</f>
        <v/>
      </c>
      <c r="F37" s="6">
        <f>IF($J37="","",IFERROR(SUMPRODUCT(('10_Scoring'!$B$2:$B$1000=$J37)*('10_Scoring'!$E$2:$E$1000=INDEX('12_OverallScores'!$C$2:$C$1000,MATCH($J37,'12_OverallScores'!$B$2:$B$1000,0)))*(IFERROR(INDEX('01_Criteria'!$B$2:$B$1000,MATCH('10_Scoring'!$C$2:$C$1000,'01_Criteria'!$A$2:$A$1000,0)),"")=F$28)*'10_Scoring'!$G$2:$G$1000),0))</f>
        <v/>
      </c>
      <c r="G37" s="6">
        <f>IF($J37="","",IFERROR(SUMPRODUCT(('10_Scoring'!$B$2:$B$1000=$J37)*('10_Scoring'!$E$2:$E$1000=INDEX('12_OverallScores'!$C$2:$C$1000,MATCH($J37,'12_OverallScores'!$B$2:$B$1000,0)))*(IFERROR(INDEX('01_Criteria'!$B$2:$B$1000,MATCH('10_Scoring'!$C$2:$C$1000,'01_Criteria'!$A$2:$A$1000,0)),"")=G$28)*'10_Scoring'!$G$2:$G$1000),0))</f>
        <v/>
      </c>
      <c r="H37" s="6">
        <f>IF($J37="","",IFERROR(SUMPRODUCT(('10_Scoring'!$B$2:$B$1000=$J37)*('10_Scoring'!$E$2:$E$1000=INDEX('12_OverallScores'!$C$2:$C$1000,MATCH($J37,'12_OverallScores'!$B$2:$B$1000,0)))*(IFERROR(INDEX('01_Criteria'!$B$2:$B$1000,MATCH('10_Scoring'!$C$2:$C$1000,'01_Criteria'!$A$2:$A$1000,0)),"")=H$28)*'10_Scoring'!$G$2:$G$1000),0))</f>
        <v/>
      </c>
      <c r="I37" s="6">
        <f>IF($J37="","",IFERROR(SUMPRODUCT(('10_Scoring'!$B$2:$B$1000=$J37)*('10_Scoring'!$E$2:$E$1000=INDEX('12_OverallScores'!$C$2:$C$1000,MATCH($J37,'12_OverallScores'!$B$2:$B$1000,0)))*(IFERROR(INDEX('01_Criteria'!$B$2:$B$1000,MATCH('10_Scoring'!$C$2:$C$1000,'01_Criteria'!$A$2:$A$1000,0)),"")=I$28)*'10_Scoring'!$G$2:$G$1000),0))</f>
        <v/>
      </c>
      <c r="J37" s="6" t="n"/>
    </row>
    <row r="38">
      <c r="A38" s="6">
        <f>IF($J38="","",$J38)</f>
        <v/>
      </c>
      <c r="B38" s="6">
        <f>IF($J38="","",IFERROR(SUMPRODUCT(('10_Scoring'!$B$2:$B$1000=$J38)*('10_Scoring'!$E$2:$E$1000=INDEX('12_OverallScores'!$C$2:$C$1000,MATCH($J38,'12_OverallScores'!$B$2:$B$1000,0)))*(IFERROR(INDEX('01_Criteria'!$B$2:$B$1000,MATCH('10_Scoring'!$C$2:$C$1000,'01_Criteria'!$A$2:$A$1000,0)),"")=B$28)*'10_Scoring'!$G$2:$G$1000),0))</f>
        <v/>
      </c>
      <c r="C38" s="6">
        <f>IF($J38="","",IFERROR(SUMPRODUCT(('10_Scoring'!$B$2:$B$1000=$J38)*('10_Scoring'!$E$2:$E$1000=INDEX('12_OverallScores'!$C$2:$C$1000,MATCH($J38,'12_OverallScores'!$B$2:$B$1000,0)))*(IFERROR(INDEX('01_Criteria'!$B$2:$B$1000,MATCH('10_Scoring'!$C$2:$C$1000,'01_Criteria'!$A$2:$A$1000,0)),"")=C$28)*'10_Scoring'!$G$2:$G$1000),0))</f>
        <v/>
      </c>
      <c r="D38" s="6">
        <f>IF($J38="","",IFERROR(SUMPRODUCT(('10_Scoring'!$B$2:$B$1000=$J38)*('10_Scoring'!$E$2:$E$1000=INDEX('12_OverallScores'!$C$2:$C$1000,MATCH($J38,'12_OverallScores'!$B$2:$B$1000,0)))*(IFERROR(INDEX('01_Criteria'!$B$2:$B$1000,MATCH('10_Scoring'!$C$2:$C$1000,'01_Criteria'!$A$2:$A$1000,0)),"")=D$28)*'10_Scoring'!$G$2:$G$1000),0))</f>
        <v/>
      </c>
      <c r="E38" s="6">
        <f>IF($J38="","",IFERROR(SUMPRODUCT(('10_Scoring'!$B$2:$B$1000=$J38)*('10_Scoring'!$E$2:$E$1000=INDEX('12_OverallScores'!$C$2:$C$1000,MATCH($J38,'12_OverallScores'!$B$2:$B$1000,0)))*(IFERROR(INDEX('01_Criteria'!$B$2:$B$1000,MATCH('10_Scoring'!$C$2:$C$1000,'01_Criteria'!$A$2:$A$1000,0)),"")=E$28)*'10_Scoring'!$G$2:$G$1000),0))</f>
        <v/>
      </c>
      <c r="F38" s="6">
        <f>IF($J38="","",IFERROR(SUMPRODUCT(('10_Scoring'!$B$2:$B$1000=$J38)*('10_Scoring'!$E$2:$E$1000=INDEX('12_OverallScores'!$C$2:$C$1000,MATCH($J38,'12_OverallScores'!$B$2:$B$1000,0)))*(IFERROR(INDEX('01_Criteria'!$B$2:$B$1000,MATCH('10_Scoring'!$C$2:$C$1000,'01_Criteria'!$A$2:$A$1000,0)),"")=F$28)*'10_Scoring'!$G$2:$G$1000),0))</f>
        <v/>
      </c>
      <c r="G38" s="6">
        <f>IF($J38="","",IFERROR(SUMPRODUCT(('10_Scoring'!$B$2:$B$1000=$J38)*('10_Scoring'!$E$2:$E$1000=INDEX('12_OverallScores'!$C$2:$C$1000,MATCH($J38,'12_OverallScores'!$B$2:$B$1000,0)))*(IFERROR(INDEX('01_Criteria'!$B$2:$B$1000,MATCH('10_Scoring'!$C$2:$C$1000,'01_Criteria'!$A$2:$A$1000,0)),"")=G$28)*'10_Scoring'!$G$2:$G$1000),0))</f>
        <v/>
      </c>
      <c r="H38" s="6">
        <f>IF($J38="","",IFERROR(SUMPRODUCT(('10_Scoring'!$B$2:$B$1000=$J38)*('10_Scoring'!$E$2:$E$1000=INDEX('12_OverallScores'!$C$2:$C$1000,MATCH($J38,'12_OverallScores'!$B$2:$B$1000,0)))*(IFERROR(INDEX('01_Criteria'!$B$2:$B$1000,MATCH('10_Scoring'!$C$2:$C$1000,'01_Criteria'!$A$2:$A$1000,0)),"")=H$28)*'10_Scoring'!$G$2:$G$1000),0))</f>
        <v/>
      </c>
      <c r="I38" s="6">
        <f>IF($J38="","",IFERROR(SUMPRODUCT(('10_Scoring'!$B$2:$B$1000=$J38)*('10_Scoring'!$E$2:$E$1000=INDEX('12_OverallScores'!$C$2:$C$1000,MATCH($J38,'12_OverallScores'!$B$2:$B$1000,0)))*(IFERROR(INDEX('01_Criteria'!$B$2:$B$1000,MATCH('10_Scoring'!$C$2:$C$1000,'01_Criteria'!$A$2:$A$1000,0)),"")=I$28)*'10_Scoring'!$G$2:$G$1000),0))</f>
        <v/>
      </c>
      <c r="J38" s="6" t="n"/>
    </row>
    <row r="39">
      <c r="A39" s="6">
        <f>IF($J39="","",$J39)</f>
        <v/>
      </c>
      <c r="B39" s="6">
        <f>IF($J39="","",IFERROR(SUMPRODUCT(('10_Scoring'!$B$2:$B$1000=$J39)*('10_Scoring'!$E$2:$E$1000=INDEX('12_OverallScores'!$C$2:$C$1000,MATCH($J39,'12_OverallScores'!$B$2:$B$1000,0)))*(IFERROR(INDEX('01_Criteria'!$B$2:$B$1000,MATCH('10_Scoring'!$C$2:$C$1000,'01_Criteria'!$A$2:$A$1000,0)),"")=B$28)*'10_Scoring'!$G$2:$G$1000),0))</f>
        <v/>
      </c>
      <c r="C39" s="6">
        <f>IF($J39="","",IFERROR(SUMPRODUCT(('10_Scoring'!$B$2:$B$1000=$J39)*('10_Scoring'!$E$2:$E$1000=INDEX('12_OverallScores'!$C$2:$C$1000,MATCH($J39,'12_OverallScores'!$B$2:$B$1000,0)))*(IFERROR(INDEX('01_Criteria'!$B$2:$B$1000,MATCH('10_Scoring'!$C$2:$C$1000,'01_Criteria'!$A$2:$A$1000,0)),"")=C$28)*'10_Scoring'!$G$2:$G$1000),0))</f>
        <v/>
      </c>
      <c r="D39" s="6">
        <f>IF($J39="","",IFERROR(SUMPRODUCT(('10_Scoring'!$B$2:$B$1000=$J39)*('10_Scoring'!$E$2:$E$1000=INDEX('12_OverallScores'!$C$2:$C$1000,MATCH($J39,'12_OverallScores'!$B$2:$B$1000,0)))*(IFERROR(INDEX('01_Criteria'!$B$2:$B$1000,MATCH('10_Scoring'!$C$2:$C$1000,'01_Criteria'!$A$2:$A$1000,0)),"")=D$28)*'10_Scoring'!$G$2:$G$1000),0))</f>
        <v/>
      </c>
      <c r="E39" s="6">
        <f>IF($J39="","",IFERROR(SUMPRODUCT(('10_Scoring'!$B$2:$B$1000=$J39)*('10_Scoring'!$E$2:$E$1000=INDEX('12_OverallScores'!$C$2:$C$1000,MATCH($J39,'12_OverallScores'!$B$2:$B$1000,0)))*(IFERROR(INDEX('01_Criteria'!$B$2:$B$1000,MATCH('10_Scoring'!$C$2:$C$1000,'01_Criteria'!$A$2:$A$1000,0)),"")=E$28)*'10_Scoring'!$G$2:$G$1000),0))</f>
        <v/>
      </c>
      <c r="F39" s="6">
        <f>IF($J39="","",IFERROR(SUMPRODUCT(('10_Scoring'!$B$2:$B$1000=$J39)*('10_Scoring'!$E$2:$E$1000=INDEX('12_OverallScores'!$C$2:$C$1000,MATCH($J39,'12_OverallScores'!$B$2:$B$1000,0)))*(IFERROR(INDEX('01_Criteria'!$B$2:$B$1000,MATCH('10_Scoring'!$C$2:$C$1000,'01_Criteria'!$A$2:$A$1000,0)),"")=F$28)*'10_Scoring'!$G$2:$G$1000),0))</f>
        <v/>
      </c>
      <c r="G39" s="6">
        <f>IF($J39="","",IFERROR(SUMPRODUCT(('10_Scoring'!$B$2:$B$1000=$J39)*('10_Scoring'!$E$2:$E$1000=INDEX('12_OverallScores'!$C$2:$C$1000,MATCH($J39,'12_OverallScores'!$B$2:$B$1000,0)))*(IFERROR(INDEX('01_Criteria'!$B$2:$B$1000,MATCH('10_Scoring'!$C$2:$C$1000,'01_Criteria'!$A$2:$A$1000,0)),"")=G$28)*'10_Scoring'!$G$2:$G$1000),0))</f>
        <v/>
      </c>
      <c r="H39" s="6">
        <f>IF($J39="","",IFERROR(SUMPRODUCT(('10_Scoring'!$B$2:$B$1000=$J39)*('10_Scoring'!$E$2:$E$1000=INDEX('12_OverallScores'!$C$2:$C$1000,MATCH($J39,'12_OverallScores'!$B$2:$B$1000,0)))*(IFERROR(INDEX('01_Criteria'!$B$2:$B$1000,MATCH('10_Scoring'!$C$2:$C$1000,'01_Criteria'!$A$2:$A$1000,0)),"")=H$28)*'10_Scoring'!$G$2:$G$1000),0))</f>
        <v/>
      </c>
      <c r="I39" s="6">
        <f>IF($J39="","",IFERROR(SUMPRODUCT(('10_Scoring'!$B$2:$B$1000=$J39)*('10_Scoring'!$E$2:$E$1000=INDEX('12_OverallScores'!$C$2:$C$1000,MATCH($J39,'12_OverallScores'!$B$2:$B$1000,0)))*(IFERROR(INDEX('01_Criteria'!$B$2:$B$1000,MATCH('10_Scoring'!$C$2:$C$1000,'01_Criteria'!$A$2:$A$1000,0)),"")=I$28)*'10_Scoring'!$G$2:$G$1000),0))</f>
        <v/>
      </c>
      <c r="J39" s="6" t="n"/>
    </row>
    <row r="40">
      <c r="A40" s="6">
        <f>IF($J40="","",$J40)</f>
        <v/>
      </c>
      <c r="B40" s="6">
        <f>IF($J40="","",IFERROR(SUMPRODUCT(('10_Scoring'!$B$2:$B$1000=$J40)*('10_Scoring'!$E$2:$E$1000=INDEX('12_OverallScores'!$C$2:$C$1000,MATCH($J40,'12_OverallScores'!$B$2:$B$1000,0)))*(IFERROR(INDEX('01_Criteria'!$B$2:$B$1000,MATCH('10_Scoring'!$C$2:$C$1000,'01_Criteria'!$A$2:$A$1000,0)),"")=B$28)*'10_Scoring'!$G$2:$G$1000),0))</f>
        <v/>
      </c>
      <c r="C40" s="6">
        <f>IF($J40="","",IFERROR(SUMPRODUCT(('10_Scoring'!$B$2:$B$1000=$J40)*('10_Scoring'!$E$2:$E$1000=INDEX('12_OverallScores'!$C$2:$C$1000,MATCH($J40,'12_OverallScores'!$B$2:$B$1000,0)))*(IFERROR(INDEX('01_Criteria'!$B$2:$B$1000,MATCH('10_Scoring'!$C$2:$C$1000,'01_Criteria'!$A$2:$A$1000,0)),"")=C$28)*'10_Scoring'!$G$2:$G$1000),0))</f>
        <v/>
      </c>
      <c r="D40" s="6">
        <f>IF($J40="","",IFERROR(SUMPRODUCT(('10_Scoring'!$B$2:$B$1000=$J40)*('10_Scoring'!$E$2:$E$1000=INDEX('12_OverallScores'!$C$2:$C$1000,MATCH($J40,'12_OverallScores'!$B$2:$B$1000,0)))*(IFERROR(INDEX('01_Criteria'!$B$2:$B$1000,MATCH('10_Scoring'!$C$2:$C$1000,'01_Criteria'!$A$2:$A$1000,0)),"")=D$28)*'10_Scoring'!$G$2:$G$1000),0))</f>
        <v/>
      </c>
      <c r="E40" s="6">
        <f>IF($J40="","",IFERROR(SUMPRODUCT(('10_Scoring'!$B$2:$B$1000=$J40)*('10_Scoring'!$E$2:$E$1000=INDEX('12_OverallScores'!$C$2:$C$1000,MATCH($J40,'12_OverallScores'!$B$2:$B$1000,0)))*(IFERROR(INDEX('01_Criteria'!$B$2:$B$1000,MATCH('10_Scoring'!$C$2:$C$1000,'01_Criteria'!$A$2:$A$1000,0)),"")=E$28)*'10_Scoring'!$G$2:$G$1000),0))</f>
        <v/>
      </c>
      <c r="F40" s="6">
        <f>IF($J40="","",IFERROR(SUMPRODUCT(('10_Scoring'!$B$2:$B$1000=$J40)*('10_Scoring'!$E$2:$E$1000=INDEX('12_OverallScores'!$C$2:$C$1000,MATCH($J40,'12_OverallScores'!$B$2:$B$1000,0)))*(IFERROR(INDEX('01_Criteria'!$B$2:$B$1000,MATCH('10_Scoring'!$C$2:$C$1000,'01_Criteria'!$A$2:$A$1000,0)),"")=F$28)*'10_Scoring'!$G$2:$G$1000),0))</f>
        <v/>
      </c>
      <c r="G40" s="6">
        <f>IF($J40="","",IFERROR(SUMPRODUCT(('10_Scoring'!$B$2:$B$1000=$J40)*('10_Scoring'!$E$2:$E$1000=INDEX('12_OverallScores'!$C$2:$C$1000,MATCH($J40,'12_OverallScores'!$B$2:$B$1000,0)))*(IFERROR(INDEX('01_Criteria'!$B$2:$B$1000,MATCH('10_Scoring'!$C$2:$C$1000,'01_Criteria'!$A$2:$A$1000,0)),"")=G$28)*'10_Scoring'!$G$2:$G$1000),0))</f>
        <v/>
      </c>
      <c r="H40" s="6">
        <f>IF($J40="","",IFERROR(SUMPRODUCT(('10_Scoring'!$B$2:$B$1000=$J40)*('10_Scoring'!$E$2:$E$1000=INDEX('12_OverallScores'!$C$2:$C$1000,MATCH($J40,'12_OverallScores'!$B$2:$B$1000,0)))*(IFERROR(INDEX('01_Criteria'!$B$2:$B$1000,MATCH('10_Scoring'!$C$2:$C$1000,'01_Criteria'!$A$2:$A$1000,0)),"")=H$28)*'10_Scoring'!$G$2:$G$1000),0))</f>
        <v/>
      </c>
      <c r="I40" s="6">
        <f>IF($J40="","",IFERROR(SUMPRODUCT(('10_Scoring'!$B$2:$B$1000=$J40)*('10_Scoring'!$E$2:$E$1000=INDEX('12_OverallScores'!$C$2:$C$1000,MATCH($J40,'12_OverallScores'!$B$2:$B$1000,0)))*(IFERROR(INDEX('01_Criteria'!$B$2:$B$1000,MATCH('10_Scoring'!$C$2:$C$1000,'01_Criteria'!$A$2:$A$1000,0)),"")=I$28)*'10_Scoring'!$G$2:$G$1000),0))</f>
        <v/>
      </c>
      <c r="J40" s="6" t="n"/>
    </row>
    <row r="41">
      <c r="A41" s="6">
        <f>IF($J41="","",$J41)</f>
        <v/>
      </c>
      <c r="B41" s="6">
        <f>IF($J41="","",IFERROR(SUMPRODUCT(('10_Scoring'!$B$2:$B$1000=$J41)*('10_Scoring'!$E$2:$E$1000=INDEX('12_OverallScores'!$C$2:$C$1000,MATCH($J41,'12_OverallScores'!$B$2:$B$1000,0)))*(IFERROR(INDEX('01_Criteria'!$B$2:$B$1000,MATCH('10_Scoring'!$C$2:$C$1000,'01_Criteria'!$A$2:$A$1000,0)),"")=B$28)*'10_Scoring'!$G$2:$G$1000),0))</f>
        <v/>
      </c>
      <c r="C41" s="6">
        <f>IF($J41="","",IFERROR(SUMPRODUCT(('10_Scoring'!$B$2:$B$1000=$J41)*('10_Scoring'!$E$2:$E$1000=INDEX('12_OverallScores'!$C$2:$C$1000,MATCH($J41,'12_OverallScores'!$B$2:$B$1000,0)))*(IFERROR(INDEX('01_Criteria'!$B$2:$B$1000,MATCH('10_Scoring'!$C$2:$C$1000,'01_Criteria'!$A$2:$A$1000,0)),"")=C$28)*'10_Scoring'!$G$2:$G$1000),0))</f>
        <v/>
      </c>
      <c r="D41" s="6">
        <f>IF($J41="","",IFERROR(SUMPRODUCT(('10_Scoring'!$B$2:$B$1000=$J41)*('10_Scoring'!$E$2:$E$1000=INDEX('12_OverallScores'!$C$2:$C$1000,MATCH($J41,'12_OverallScores'!$B$2:$B$1000,0)))*(IFERROR(INDEX('01_Criteria'!$B$2:$B$1000,MATCH('10_Scoring'!$C$2:$C$1000,'01_Criteria'!$A$2:$A$1000,0)),"")=D$28)*'10_Scoring'!$G$2:$G$1000),0))</f>
        <v/>
      </c>
      <c r="E41" s="6">
        <f>IF($J41="","",IFERROR(SUMPRODUCT(('10_Scoring'!$B$2:$B$1000=$J41)*('10_Scoring'!$E$2:$E$1000=INDEX('12_OverallScores'!$C$2:$C$1000,MATCH($J41,'12_OverallScores'!$B$2:$B$1000,0)))*(IFERROR(INDEX('01_Criteria'!$B$2:$B$1000,MATCH('10_Scoring'!$C$2:$C$1000,'01_Criteria'!$A$2:$A$1000,0)),"")=E$28)*'10_Scoring'!$G$2:$G$1000),0))</f>
        <v/>
      </c>
      <c r="F41" s="6">
        <f>IF($J41="","",IFERROR(SUMPRODUCT(('10_Scoring'!$B$2:$B$1000=$J41)*('10_Scoring'!$E$2:$E$1000=INDEX('12_OverallScores'!$C$2:$C$1000,MATCH($J41,'12_OverallScores'!$B$2:$B$1000,0)))*(IFERROR(INDEX('01_Criteria'!$B$2:$B$1000,MATCH('10_Scoring'!$C$2:$C$1000,'01_Criteria'!$A$2:$A$1000,0)),"")=F$28)*'10_Scoring'!$G$2:$G$1000),0))</f>
        <v/>
      </c>
      <c r="G41" s="6">
        <f>IF($J41="","",IFERROR(SUMPRODUCT(('10_Scoring'!$B$2:$B$1000=$J41)*('10_Scoring'!$E$2:$E$1000=INDEX('12_OverallScores'!$C$2:$C$1000,MATCH($J41,'12_OverallScores'!$B$2:$B$1000,0)))*(IFERROR(INDEX('01_Criteria'!$B$2:$B$1000,MATCH('10_Scoring'!$C$2:$C$1000,'01_Criteria'!$A$2:$A$1000,0)),"")=G$28)*'10_Scoring'!$G$2:$G$1000),0))</f>
        <v/>
      </c>
      <c r="H41" s="6">
        <f>IF($J41="","",IFERROR(SUMPRODUCT(('10_Scoring'!$B$2:$B$1000=$J41)*('10_Scoring'!$E$2:$E$1000=INDEX('12_OverallScores'!$C$2:$C$1000,MATCH($J41,'12_OverallScores'!$B$2:$B$1000,0)))*(IFERROR(INDEX('01_Criteria'!$B$2:$B$1000,MATCH('10_Scoring'!$C$2:$C$1000,'01_Criteria'!$A$2:$A$1000,0)),"")=H$28)*'10_Scoring'!$G$2:$G$1000),0))</f>
        <v/>
      </c>
      <c r="I41" s="6">
        <f>IF($J41="","",IFERROR(SUMPRODUCT(('10_Scoring'!$B$2:$B$1000=$J41)*('10_Scoring'!$E$2:$E$1000=INDEX('12_OverallScores'!$C$2:$C$1000,MATCH($J41,'12_OverallScores'!$B$2:$B$1000,0)))*(IFERROR(INDEX('01_Criteria'!$B$2:$B$1000,MATCH('10_Scoring'!$C$2:$C$1000,'01_Criteria'!$A$2:$A$1000,0)),"")=I$28)*'10_Scoring'!$G$2:$G$1000),0))</f>
        <v/>
      </c>
      <c r="J41" s="6" t="n"/>
    </row>
    <row r="42">
      <c r="A42" s="6">
        <f>IF($J42="","",$J42)</f>
        <v/>
      </c>
      <c r="B42" s="6">
        <f>IF($J42="","",IFERROR(SUMPRODUCT(('10_Scoring'!$B$2:$B$1000=$J42)*('10_Scoring'!$E$2:$E$1000=INDEX('12_OverallScores'!$C$2:$C$1000,MATCH($J42,'12_OverallScores'!$B$2:$B$1000,0)))*(IFERROR(INDEX('01_Criteria'!$B$2:$B$1000,MATCH('10_Scoring'!$C$2:$C$1000,'01_Criteria'!$A$2:$A$1000,0)),"")=B$28)*'10_Scoring'!$G$2:$G$1000),0))</f>
        <v/>
      </c>
      <c r="C42" s="6">
        <f>IF($J42="","",IFERROR(SUMPRODUCT(('10_Scoring'!$B$2:$B$1000=$J42)*('10_Scoring'!$E$2:$E$1000=INDEX('12_OverallScores'!$C$2:$C$1000,MATCH($J42,'12_OverallScores'!$B$2:$B$1000,0)))*(IFERROR(INDEX('01_Criteria'!$B$2:$B$1000,MATCH('10_Scoring'!$C$2:$C$1000,'01_Criteria'!$A$2:$A$1000,0)),"")=C$28)*'10_Scoring'!$G$2:$G$1000),0))</f>
        <v/>
      </c>
      <c r="D42" s="6">
        <f>IF($J42="","",IFERROR(SUMPRODUCT(('10_Scoring'!$B$2:$B$1000=$J42)*('10_Scoring'!$E$2:$E$1000=INDEX('12_OverallScores'!$C$2:$C$1000,MATCH($J42,'12_OverallScores'!$B$2:$B$1000,0)))*(IFERROR(INDEX('01_Criteria'!$B$2:$B$1000,MATCH('10_Scoring'!$C$2:$C$1000,'01_Criteria'!$A$2:$A$1000,0)),"")=D$28)*'10_Scoring'!$G$2:$G$1000),0))</f>
        <v/>
      </c>
      <c r="E42" s="6">
        <f>IF($J42="","",IFERROR(SUMPRODUCT(('10_Scoring'!$B$2:$B$1000=$J42)*('10_Scoring'!$E$2:$E$1000=INDEX('12_OverallScores'!$C$2:$C$1000,MATCH($J42,'12_OverallScores'!$B$2:$B$1000,0)))*(IFERROR(INDEX('01_Criteria'!$B$2:$B$1000,MATCH('10_Scoring'!$C$2:$C$1000,'01_Criteria'!$A$2:$A$1000,0)),"")=E$28)*'10_Scoring'!$G$2:$G$1000),0))</f>
        <v/>
      </c>
      <c r="F42" s="6">
        <f>IF($J42="","",IFERROR(SUMPRODUCT(('10_Scoring'!$B$2:$B$1000=$J42)*('10_Scoring'!$E$2:$E$1000=INDEX('12_OverallScores'!$C$2:$C$1000,MATCH($J42,'12_OverallScores'!$B$2:$B$1000,0)))*(IFERROR(INDEX('01_Criteria'!$B$2:$B$1000,MATCH('10_Scoring'!$C$2:$C$1000,'01_Criteria'!$A$2:$A$1000,0)),"")=F$28)*'10_Scoring'!$G$2:$G$1000),0))</f>
        <v/>
      </c>
      <c r="G42" s="6">
        <f>IF($J42="","",IFERROR(SUMPRODUCT(('10_Scoring'!$B$2:$B$1000=$J42)*('10_Scoring'!$E$2:$E$1000=INDEX('12_OverallScores'!$C$2:$C$1000,MATCH($J42,'12_OverallScores'!$B$2:$B$1000,0)))*(IFERROR(INDEX('01_Criteria'!$B$2:$B$1000,MATCH('10_Scoring'!$C$2:$C$1000,'01_Criteria'!$A$2:$A$1000,0)),"")=G$28)*'10_Scoring'!$G$2:$G$1000),0))</f>
        <v/>
      </c>
      <c r="H42" s="6">
        <f>IF($J42="","",IFERROR(SUMPRODUCT(('10_Scoring'!$B$2:$B$1000=$J42)*('10_Scoring'!$E$2:$E$1000=INDEX('12_OverallScores'!$C$2:$C$1000,MATCH($J42,'12_OverallScores'!$B$2:$B$1000,0)))*(IFERROR(INDEX('01_Criteria'!$B$2:$B$1000,MATCH('10_Scoring'!$C$2:$C$1000,'01_Criteria'!$A$2:$A$1000,0)),"")=H$28)*'10_Scoring'!$G$2:$G$1000),0))</f>
        <v/>
      </c>
      <c r="I42" s="6">
        <f>IF($J42="","",IFERROR(SUMPRODUCT(('10_Scoring'!$B$2:$B$1000=$J42)*('10_Scoring'!$E$2:$E$1000=INDEX('12_OverallScores'!$C$2:$C$1000,MATCH($J42,'12_OverallScores'!$B$2:$B$1000,0)))*(IFERROR(INDEX('01_Criteria'!$B$2:$B$1000,MATCH('10_Scoring'!$C$2:$C$1000,'01_Criteria'!$A$2:$A$1000,0)),"")=I$28)*'10_Scoring'!$G$2:$G$1000),0))</f>
        <v/>
      </c>
      <c r="J42" s="6" t="n"/>
    </row>
    <row r="43">
      <c r="A43" s="6">
        <f>IF($J43="","",$J43)</f>
        <v/>
      </c>
      <c r="B43" s="6">
        <f>IF($J43="","",IFERROR(SUMPRODUCT(('10_Scoring'!$B$2:$B$1000=$J43)*('10_Scoring'!$E$2:$E$1000=INDEX('12_OverallScores'!$C$2:$C$1000,MATCH($J43,'12_OverallScores'!$B$2:$B$1000,0)))*(IFERROR(INDEX('01_Criteria'!$B$2:$B$1000,MATCH('10_Scoring'!$C$2:$C$1000,'01_Criteria'!$A$2:$A$1000,0)),"")=B$28)*'10_Scoring'!$G$2:$G$1000),0))</f>
        <v/>
      </c>
      <c r="C43" s="6">
        <f>IF($J43="","",IFERROR(SUMPRODUCT(('10_Scoring'!$B$2:$B$1000=$J43)*('10_Scoring'!$E$2:$E$1000=INDEX('12_OverallScores'!$C$2:$C$1000,MATCH($J43,'12_OverallScores'!$B$2:$B$1000,0)))*(IFERROR(INDEX('01_Criteria'!$B$2:$B$1000,MATCH('10_Scoring'!$C$2:$C$1000,'01_Criteria'!$A$2:$A$1000,0)),"")=C$28)*'10_Scoring'!$G$2:$G$1000),0))</f>
        <v/>
      </c>
      <c r="D43" s="6">
        <f>IF($J43="","",IFERROR(SUMPRODUCT(('10_Scoring'!$B$2:$B$1000=$J43)*('10_Scoring'!$E$2:$E$1000=INDEX('12_OverallScores'!$C$2:$C$1000,MATCH($J43,'12_OverallScores'!$B$2:$B$1000,0)))*(IFERROR(INDEX('01_Criteria'!$B$2:$B$1000,MATCH('10_Scoring'!$C$2:$C$1000,'01_Criteria'!$A$2:$A$1000,0)),"")=D$28)*'10_Scoring'!$G$2:$G$1000),0))</f>
        <v/>
      </c>
      <c r="E43" s="6">
        <f>IF($J43="","",IFERROR(SUMPRODUCT(('10_Scoring'!$B$2:$B$1000=$J43)*('10_Scoring'!$E$2:$E$1000=INDEX('12_OverallScores'!$C$2:$C$1000,MATCH($J43,'12_OverallScores'!$B$2:$B$1000,0)))*(IFERROR(INDEX('01_Criteria'!$B$2:$B$1000,MATCH('10_Scoring'!$C$2:$C$1000,'01_Criteria'!$A$2:$A$1000,0)),"")=E$28)*'10_Scoring'!$G$2:$G$1000),0))</f>
        <v/>
      </c>
      <c r="F43" s="6">
        <f>IF($J43="","",IFERROR(SUMPRODUCT(('10_Scoring'!$B$2:$B$1000=$J43)*('10_Scoring'!$E$2:$E$1000=INDEX('12_OverallScores'!$C$2:$C$1000,MATCH($J43,'12_OverallScores'!$B$2:$B$1000,0)))*(IFERROR(INDEX('01_Criteria'!$B$2:$B$1000,MATCH('10_Scoring'!$C$2:$C$1000,'01_Criteria'!$A$2:$A$1000,0)),"")=F$28)*'10_Scoring'!$G$2:$G$1000),0))</f>
        <v/>
      </c>
      <c r="G43" s="6">
        <f>IF($J43="","",IFERROR(SUMPRODUCT(('10_Scoring'!$B$2:$B$1000=$J43)*('10_Scoring'!$E$2:$E$1000=INDEX('12_OverallScores'!$C$2:$C$1000,MATCH($J43,'12_OverallScores'!$B$2:$B$1000,0)))*(IFERROR(INDEX('01_Criteria'!$B$2:$B$1000,MATCH('10_Scoring'!$C$2:$C$1000,'01_Criteria'!$A$2:$A$1000,0)),"")=G$28)*'10_Scoring'!$G$2:$G$1000),0))</f>
        <v/>
      </c>
      <c r="H43" s="6">
        <f>IF($J43="","",IFERROR(SUMPRODUCT(('10_Scoring'!$B$2:$B$1000=$J43)*('10_Scoring'!$E$2:$E$1000=INDEX('12_OverallScores'!$C$2:$C$1000,MATCH($J43,'12_OverallScores'!$B$2:$B$1000,0)))*(IFERROR(INDEX('01_Criteria'!$B$2:$B$1000,MATCH('10_Scoring'!$C$2:$C$1000,'01_Criteria'!$A$2:$A$1000,0)),"")=H$28)*'10_Scoring'!$G$2:$G$1000),0))</f>
        <v/>
      </c>
      <c r="I43" s="6">
        <f>IF($J43="","",IFERROR(SUMPRODUCT(('10_Scoring'!$B$2:$B$1000=$J43)*('10_Scoring'!$E$2:$E$1000=INDEX('12_OverallScores'!$C$2:$C$1000,MATCH($J43,'12_OverallScores'!$B$2:$B$1000,0)))*(IFERROR(INDEX('01_Criteria'!$B$2:$B$1000,MATCH('10_Scoring'!$C$2:$C$1000,'01_Criteria'!$A$2:$A$1000,0)),"")=I$28)*'10_Scoring'!$G$2:$G$1000),0))</f>
        <v/>
      </c>
      <c r="J43" s="6" t="n"/>
    </row>
    <row r="44">
      <c r="A44" s="6">
        <f>IF($J44="","",$J44)</f>
        <v/>
      </c>
      <c r="B44" s="6">
        <f>IF($J44="","",IFERROR(SUMPRODUCT(('10_Scoring'!$B$2:$B$1000=$J44)*('10_Scoring'!$E$2:$E$1000=INDEX('12_OverallScores'!$C$2:$C$1000,MATCH($J44,'12_OverallScores'!$B$2:$B$1000,0)))*(IFERROR(INDEX('01_Criteria'!$B$2:$B$1000,MATCH('10_Scoring'!$C$2:$C$1000,'01_Criteria'!$A$2:$A$1000,0)),"")=B$28)*'10_Scoring'!$G$2:$G$1000),0))</f>
        <v/>
      </c>
      <c r="C44" s="6">
        <f>IF($J44="","",IFERROR(SUMPRODUCT(('10_Scoring'!$B$2:$B$1000=$J44)*('10_Scoring'!$E$2:$E$1000=INDEX('12_OverallScores'!$C$2:$C$1000,MATCH($J44,'12_OverallScores'!$B$2:$B$1000,0)))*(IFERROR(INDEX('01_Criteria'!$B$2:$B$1000,MATCH('10_Scoring'!$C$2:$C$1000,'01_Criteria'!$A$2:$A$1000,0)),"")=C$28)*'10_Scoring'!$G$2:$G$1000),0))</f>
        <v/>
      </c>
      <c r="D44" s="6">
        <f>IF($J44="","",IFERROR(SUMPRODUCT(('10_Scoring'!$B$2:$B$1000=$J44)*('10_Scoring'!$E$2:$E$1000=INDEX('12_OverallScores'!$C$2:$C$1000,MATCH($J44,'12_OverallScores'!$B$2:$B$1000,0)))*(IFERROR(INDEX('01_Criteria'!$B$2:$B$1000,MATCH('10_Scoring'!$C$2:$C$1000,'01_Criteria'!$A$2:$A$1000,0)),"")=D$28)*'10_Scoring'!$G$2:$G$1000),0))</f>
        <v/>
      </c>
      <c r="E44" s="6">
        <f>IF($J44="","",IFERROR(SUMPRODUCT(('10_Scoring'!$B$2:$B$1000=$J44)*('10_Scoring'!$E$2:$E$1000=INDEX('12_OverallScores'!$C$2:$C$1000,MATCH($J44,'12_OverallScores'!$B$2:$B$1000,0)))*(IFERROR(INDEX('01_Criteria'!$B$2:$B$1000,MATCH('10_Scoring'!$C$2:$C$1000,'01_Criteria'!$A$2:$A$1000,0)),"")=E$28)*'10_Scoring'!$G$2:$G$1000),0))</f>
        <v/>
      </c>
      <c r="F44" s="6">
        <f>IF($J44="","",IFERROR(SUMPRODUCT(('10_Scoring'!$B$2:$B$1000=$J44)*('10_Scoring'!$E$2:$E$1000=INDEX('12_OverallScores'!$C$2:$C$1000,MATCH($J44,'12_OverallScores'!$B$2:$B$1000,0)))*(IFERROR(INDEX('01_Criteria'!$B$2:$B$1000,MATCH('10_Scoring'!$C$2:$C$1000,'01_Criteria'!$A$2:$A$1000,0)),"")=F$28)*'10_Scoring'!$G$2:$G$1000),0))</f>
        <v/>
      </c>
      <c r="G44" s="6">
        <f>IF($J44="","",IFERROR(SUMPRODUCT(('10_Scoring'!$B$2:$B$1000=$J44)*('10_Scoring'!$E$2:$E$1000=INDEX('12_OverallScores'!$C$2:$C$1000,MATCH($J44,'12_OverallScores'!$B$2:$B$1000,0)))*(IFERROR(INDEX('01_Criteria'!$B$2:$B$1000,MATCH('10_Scoring'!$C$2:$C$1000,'01_Criteria'!$A$2:$A$1000,0)),"")=G$28)*'10_Scoring'!$G$2:$G$1000),0))</f>
        <v/>
      </c>
      <c r="H44" s="6">
        <f>IF($J44="","",IFERROR(SUMPRODUCT(('10_Scoring'!$B$2:$B$1000=$J44)*('10_Scoring'!$E$2:$E$1000=INDEX('12_OverallScores'!$C$2:$C$1000,MATCH($J44,'12_OverallScores'!$B$2:$B$1000,0)))*(IFERROR(INDEX('01_Criteria'!$B$2:$B$1000,MATCH('10_Scoring'!$C$2:$C$1000,'01_Criteria'!$A$2:$A$1000,0)),"")=H$28)*'10_Scoring'!$G$2:$G$1000),0))</f>
        <v/>
      </c>
      <c r="I44" s="6">
        <f>IF($J44="","",IFERROR(SUMPRODUCT(('10_Scoring'!$B$2:$B$1000=$J44)*('10_Scoring'!$E$2:$E$1000=INDEX('12_OverallScores'!$C$2:$C$1000,MATCH($J44,'12_OverallScores'!$B$2:$B$1000,0)))*(IFERROR(INDEX('01_Criteria'!$B$2:$B$1000,MATCH('10_Scoring'!$C$2:$C$1000,'01_Criteria'!$A$2:$A$1000,0)),"")=I$28)*'10_Scoring'!$G$2:$G$1000),0))</f>
        <v/>
      </c>
      <c r="J44" s="6" t="n"/>
    </row>
    <row r="45">
      <c r="A45" s="6">
        <f>IF($J45="","",$J45)</f>
        <v/>
      </c>
      <c r="B45" s="6">
        <f>IF($J45="","",IFERROR(SUMPRODUCT(('10_Scoring'!$B$2:$B$1000=$J45)*('10_Scoring'!$E$2:$E$1000=INDEX('12_OverallScores'!$C$2:$C$1000,MATCH($J45,'12_OverallScores'!$B$2:$B$1000,0)))*(IFERROR(INDEX('01_Criteria'!$B$2:$B$1000,MATCH('10_Scoring'!$C$2:$C$1000,'01_Criteria'!$A$2:$A$1000,0)),"")=B$28)*'10_Scoring'!$G$2:$G$1000),0))</f>
        <v/>
      </c>
      <c r="C45" s="6">
        <f>IF($J45="","",IFERROR(SUMPRODUCT(('10_Scoring'!$B$2:$B$1000=$J45)*('10_Scoring'!$E$2:$E$1000=INDEX('12_OverallScores'!$C$2:$C$1000,MATCH($J45,'12_OverallScores'!$B$2:$B$1000,0)))*(IFERROR(INDEX('01_Criteria'!$B$2:$B$1000,MATCH('10_Scoring'!$C$2:$C$1000,'01_Criteria'!$A$2:$A$1000,0)),"")=C$28)*'10_Scoring'!$G$2:$G$1000),0))</f>
        <v/>
      </c>
      <c r="D45" s="6">
        <f>IF($J45="","",IFERROR(SUMPRODUCT(('10_Scoring'!$B$2:$B$1000=$J45)*('10_Scoring'!$E$2:$E$1000=INDEX('12_OverallScores'!$C$2:$C$1000,MATCH($J45,'12_OverallScores'!$B$2:$B$1000,0)))*(IFERROR(INDEX('01_Criteria'!$B$2:$B$1000,MATCH('10_Scoring'!$C$2:$C$1000,'01_Criteria'!$A$2:$A$1000,0)),"")=D$28)*'10_Scoring'!$G$2:$G$1000),0))</f>
        <v/>
      </c>
      <c r="E45" s="6">
        <f>IF($J45="","",IFERROR(SUMPRODUCT(('10_Scoring'!$B$2:$B$1000=$J45)*('10_Scoring'!$E$2:$E$1000=INDEX('12_OverallScores'!$C$2:$C$1000,MATCH($J45,'12_OverallScores'!$B$2:$B$1000,0)))*(IFERROR(INDEX('01_Criteria'!$B$2:$B$1000,MATCH('10_Scoring'!$C$2:$C$1000,'01_Criteria'!$A$2:$A$1000,0)),"")=E$28)*'10_Scoring'!$G$2:$G$1000),0))</f>
        <v/>
      </c>
      <c r="F45" s="6">
        <f>IF($J45="","",IFERROR(SUMPRODUCT(('10_Scoring'!$B$2:$B$1000=$J45)*('10_Scoring'!$E$2:$E$1000=INDEX('12_OverallScores'!$C$2:$C$1000,MATCH($J45,'12_OverallScores'!$B$2:$B$1000,0)))*(IFERROR(INDEX('01_Criteria'!$B$2:$B$1000,MATCH('10_Scoring'!$C$2:$C$1000,'01_Criteria'!$A$2:$A$1000,0)),"")=F$28)*'10_Scoring'!$G$2:$G$1000),0))</f>
        <v/>
      </c>
      <c r="G45" s="6">
        <f>IF($J45="","",IFERROR(SUMPRODUCT(('10_Scoring'!$B$2:$B$1000=$J45)*('10_Scoring'!$E$2:$E$1000=INDEX('12_OverallScores'!$C$2:$C$1000,MATCH($J45,'12_OverallScores'!$B$2:$B$1000,0)))*(IFERROR(INDEX('01_Criteria'!$B$2:$B$1000,MATCH('10_Scoring'!$C$2:$C$1000,'01_Criteria'!$A$2:$A$1000,0)),"")=G$28)*'10_Scoring'!$G$2:$G$1000),0))</f>
        <v/>
      </c>
      <c r="H45" s="6">
        <f>IF($J45="","",IFERROR(SUMPRODUCT(('10_Scoring'!$B$2:$B$1000=$J45)*('10_Scoring'!$E$2:$E$1000=INDEX('12_OverallScores'!$C$2:$C$1000,MATCH($J45,'12_OverallScores'!$B$2:$B$1000,0)))*(IFERROR(INDEX('01_Criteria'!$B$2:$B$1000,MATCH('10_Scoring'!$C$2:$C$1000,'01_Criteria'!$A$2:$A$1000,0)),"")=H$28)*'10_Scoring'!$G$2:$G$1000),0))</f>
        <v/>
      </c>
      <c r="I45" s="6">
        <f>IF($J45="","",IFERROR(SUMPRODUCT(('10_Scoring'!$B$2:$B$1000=$J45)*('10_Scoring'!$E$2:$E$1000=INDEX('12_OverallScores'!$C$2:$C$1000,MATCH($J45,'12_OverallScores'!$B$2:$B$1000,0)))*(IFERROR(INDEX('01_Criteria'!$B$2:$B$1000,MATCH('10_Scoring'!$C$2:$C$1000,'01_Criteria'!$A$2:$A$1000,0)),"")=I$28)*'10_Scoring'!$G$2:$G$1000),0))</f>
        <v/>
      </c>
      <c r="J45" s="6" t="n"/>
    </row>
    <row r="46">
      <c r="A46" s="6">
        <f>IF($J46="","",$J46)</f>
        <v/>
      </c>
      <c r="B46" s="6">
        <f>IF($J46="","",IFERROR(SUMPRODUCT(('10_Scoring'!$B$2:$B$1000=$J46)*('10_Scoring'!$E$2:$E$1000=INDEX('12_OverallScores'!$C$2:$C$1000,MATCH($J46,'12_OverallScores'!$B$2:$B$1000,0)))*(IFERROR(INDEX('01_Criteria'!$B$2:$B$1000,MATCH('10_Scoring'!$C$2:$C$1000,'01_Criteria'!$A$2:$A$1000,0)),"")=B$28)*'10_Scoring'!$G$2:$G$1000),0))</f>
        <v/>
      </c>
      <c r="C46" s="6">
        <f>IF($J46="","",IFERROR(SUMPRODUCT(('10_Scoring'!$B$2:$B$1000=$J46)*('10_Scoring'!$E$2:$E$1000=INDEX('12_OverallScores'!$C$2:$C$1000,MATCH($J46,'12_OverallScores'!$B$2:$B$1000,0)))*(IFERROR(INDEX('01_Criteria'!$B$2:$B$1000,MATCH('10_Scoring'!$C$2:$C$1000,'01_Criteria'!$A$2:$A$1000,0)),"")=C$28)*'10_Scoring'!$G$2:$G$1000),0))</f>
        <v/>
      </c>
      <c r="D46" s="6">
        <f>IF($J46="","",IFERROR(SUMPRODUCT(('10_Scoring'!$B$2:$B$1000=$J46)*('10_Scoring'!$E$2:$E$1000=INDEX('12_OverallScores'!$C$2:$C$1000,MATCH($J46,'12_OverallScores'!$B$2:$B$1000,0)))*(IFERROR(INDEX('01_Criteria'!$B$2:$B$1000,MATCH('10_Scoring'!$C$2:$C$1000,'01_Criteria'!$A$2:$A$1000,0)),"")=D$28)*'10_Scoring'!$G$2:$G$1000),0))</f>
        <v/>
      </c>
      <c r="E46" s="6">
        <f>IF($J46="","",IFERROR(SUMPRODUCT(('10_Scoring'!$B$2:$B$1000=$J46)*('10_Scoring'!$E$2:$E$1000=INDEX('12_OverallScores'!$C$2:$C$1000,MATCH($J46,'12_OverallScores'!$B$2:$B$1000,0)))*(IFERROR(INDEX('01_Criteria'!$B$2:$B$1000,MATCH('10_Scoring'!$C$2:$C$1000,'01_Criteria'!$A$2:$A$1000,0)),"")=E$28)*'10_Scoring'!$G$2:$G$1000),0))</f>
        <v/>
      </c>
      <c r="F46" s="6">
        <f>IF($J46="","",IFERROR(SUMPRODUCT(('10_Scoring'!$B$2:$B$1000=$J46)*('10_Scoring'!$E$2:$E$1000=INDEX('12_OverallScores'!$C$2:$C$1000,MATCH($J46,'12_OverallScores'!$B$2:$B$1000,0)))*(IFERROR(INDEX('01_Criteria'!$B$2:$B$1000,MATCH('10_Scoring'!$C$2:$C$1000,'01_Criteria'!$A$2:$A$1000,0)),"")=F$28)*'10_Scoring'!$G$2:$G$1000),0))</f>
        <v/>
      </c>
      <c r="G46" s="6">
        <f>IF($J46="","",IFERROR(SUMPRODUCT(('10_Scoring'!$B$2:$B$1000=$J46)*('10_Scoring'!$E$2:$E$1000=INDEX('12_OverallScores'!$C$2:$C$1000,MATCH($J46,'12_OverallScores'!$B$2:$B$1000,0)))*(IFERROR(INDEX('01_Criteria'!$B$2:$B$1000,MATCH('10_Scoring'!$C$2:$C$1000,'01_Criteria'!$A$2:$A$1000,0)),"")=G$28)*'10_Scoring'!$G$2:$G$1000),0))</f>
        <v/>
      </c>
      <c r="H46" s="6">
        <f>IF($J46="","",IFERROR(SUMPRODUCT(('10_Scoring'!$B$2:$B$1000=$J46)*('10_Scoring'!$E$2:$E$1000=INDEX('12_OverallScores'!$C$2:$C$1000,MATCH($J46,'12_OverallScores'!$B$2:$B$1000,0)))*(IFERROR(INDEX('01_Criteria'!$B$2:$B$1000,MATCH('10_Scoring'!$C$2:$C$1000,'01_Criteria'!$A$2:$A$1000,0)),"")=H$28)*'10_Scoring'!$G$2:$G$1000),0))</f>
        <v/>
      </c>
      <c r="I46" s="6">
        <f>IF($J46="","",IFERROR(SUMPRODUCT(('10_Scoring'!$B$2:$B$1000=$J46)*('10_Scoring'!$E$2:$E$1000=INDEX('12_OverallScores'!$C$2:$C$1000,MATCH($J46,'12_OverallScores'!$B$2:$B$1000,0)))*(IFERROR(INDEX('01_Criteria'!$B$2:$B$1000,MATCH('10_Scoring'!$C$2:$C$1000,'01_Criteria'!$A$2:$A$1000,0)),"")=I$28)*'10_Scoring'!$G$2:$G$1000),0))</f>
        <v/>
      </c>
      <c r="J46" s="6" t="n"/>
    </row>
    <row r="47">
      <c r="A47" s="6">
        <f>IF($J47="","",$J47)</f>
        <v/>
      </c>
      <c r="B47" s="6">
        <f>IF($J47="","",IFERROR(SUMPRODUCT(('10_Scoring'!$B$2:$B$1000=$J47)*('10_Scoring'!$E$2:$E$1000=INDEX('12_OverallScores'!$C$2:$C$1000,MATCH($J47,'12_OverallScores'!$B$2:$B$1000,0)))*(IFERROR(INDEX('01_Criteria'!$B$2:$B$1000,MATCH('10_Scoring'!$C$2:$C$1000,'01_Criteria'!$A$2:$A$1000,0)),"")=B$28)*'10_Scoring'!$G$2:$G$1000),0))</f>
        <v/>
      </c>
      <c r="C47" s="6">
        <f>IF($J47="","",IFERROR(SUMPRODUCT(('10_Scoring'!$B$2:$B$1000=$J47)*('10_Scoring'!$E$2:$E$1000=INDEX('12_OverallScores'!$C$2:$C$1000,MATCH($J47,'12_OverallScores'!$B$2:$B$1000,0)))*(IFERROR(INDEX('01_Criteria'!$B$2:$B$1000,MATCH('10_Scoring'!$C$2:$C$1000,'01_Criteria'!$A$2:$A$1000,0)),"")=C$28)*'10_Scoring'!$G$2:$G$1000),0))</f>
        <v/>
      </c>
      <c r="D47" s="6">
        <f>IF($J47="","",IFERROR(SUMPRODUCT(('10_Scoring'!$B$2:$B$1000=$J47)*('10_Scoring'!$E$2:$E$1000=INDEX('12_OverallScores'!$C$2:$C$1000,MATCH($J47,'12_OverallScores'!$B$2:$B$1000,0)))*(IFERROR(INDEX('01_Criteria'!$B$2:$B$1000,MATCH('10_Scoring'!$C$2:$C$1000,'01_Criteria'!$A$2:$A$1000,0)),"")=D$28)*'10_Scoring'!$G$2:$G$1000),0))</f>
        <v/>
      </c>
      <c r="E47" s="6">
        <f>IF($J47="","",IFERROR(SUMPRODUCT(('10_Scoring'!$B$2:$B$1000=$J47)*('10_Scoring'!$E$2:$E$1000=INDEX('12_OverallScores'!$C$2:$C$1000,MATCH($J47,'12_OverallScores'!$B$2:$B$1000,0)))*(IFERROR(INDEX('01_Criteria'!$B$2:$B$1000,MATCH('10_Scoring'!$C$2:$C$1000,'01_Criteria'!$A$2:$A$1000,0)),"")=E$28)*'10_Scoring'!$G$2:$G$1000),0))</f>
        <v/>
      </c>
      <c r="F47" s="6">
        <f>IF($J47="","",IFERROR(SUMPRODUCT(('10_Scoring'!$B$2:$B$1000=$J47)*('10_Scoring'!$E$2:$E$1000=INDEX('12_OverallScores'!$C$2:$C$1000,MATCH($J47,'12_OverallScores'!$B$2:$B$1000,0)))*(IFERROR(INDEX('01_Criteria'!$B$2:$B$1000,MATCH('10_Scoring'!$C$2:$C$1000,'01_Criteria'!$A$2:$A$1000,0)),"")=F$28)*'10_Scoring'!$G$2:$G$1000),0))</f>
        <v/>
      </c>
      <c r="G47" s="6">
        <f>IF($J47="","",IFERROR(SUMPRODUCT(('10_Scoring'!$B$2:$B$1000=$J47)*('10_Scoring'!$E$2:$E$1000=INDEX('12_OverallScores'!$C$2:$C$1000,MATCH($J47,'12_OverallScores'!$B$2:$B$1000,0)))*(IFERROR(INDEX('01_Criteria'!$B$2:$B$1000,MATCH('10_Scoring'!$C$2:$C$1000,'01_Criteria'!$A$2:$A$1000,0)),"")=G$28)*'10_Scoring'!$G$2:$G$1000),0))</f>
        <v/>
      </c>
      <c r="H47" s="6">
        <f>IF($J47="","",IFERROR(SUMPRODUCT(('10_Scoring'!$B$2:$B$1000=$J47)*('10_Scoring'!$E$2:$E$1000=INDEX('12_OverallScores'!$C$2:$C$1000,MATCH($J47,'12_OverallScores'!$B$2:$B$1000,0)))*(IFERROR(INDEX('01_Criteria'!$B$2:$B$1000,MATCH('10_Scoring'!$C$2:$C$1000,'01_Criteria'!$A$2:$A$1000,0)),"")=H$28)*'10_Scoring'!$G$2:$G$1000),0))</f>
        <v/>
      </c>
      <c r="I47" s="6">
        <f>IF($J47="","",IFERROR(SUMPRODUCT(('10_Scoring'!$B$2:$B$1000=$J47)*('10_Scoring'!$E$2:$E$1000=INDEX('12_OverallScores'!$C$2:$C$1000,MATCH($J47,'12_OverallScores'!$B$2:$B$1000,0)))*(IFERROR(INDEX('01_Criteria'!$B$2:$B$1000,MATCH('10_Scoring'!$C$2:$C$1000,'01_Criteria'!$A$2:$A$1000,0)),"")=I$28)*'10_Scoring'!$G$2:$G$1000),0))</f>
        <v/>
      </c>
      <c r="J47" s="6" t="n"/>
    </row>
    <row r="48">
      <c r="A48" s="6">
        <f>IF($J48="","",$J48)</f>
        <v/>
      </c>
      <c r="B48" s="6">
        <f>IF($J48="","",IFERROR(SUMPRODUCT(('10_Scoring'!$B$2:$B$1000=$J48)*('10_Scoring'!$E$2:$E$1000=INDEX('12_OverallScores'!$C$2:$C$1000,MATCH($J48,'12_OverallScores'!$B$2:$B$1000,0)))*(IFERROR(INDEX('01_Criteria'!$B$2:$B$1000,MATCH('10_Scoring'!$C$2:$C$1000,'01_Criteria'!$A$2:$A$1000,0)),"")=B$28)*'10_Scoring'!$G$2:$G$1000),0))</f>
        <v/>
      </c>
      <c r="C48" s="6">
        <f>IF($J48="","",IFERROR(SUMPRODUCT(('10_Scoring'!$B$2:$B$1000=$J48)*('10_Scoring'!$E$2:$E$1000=INDEX('12_OverallScores'!$C$2:$C$1000,MATCH($J48,'12_OverallScores'!$B$2:$B$1000,0)))*(IFERROR(INDEX('01_Criteria'!$B$2:$B$1000,MATCH('10_Scoring'!$C$2:$C$1000,'01_Criteria'!$A$2:$A$1000,0)),"")=C$28)*'10_Scoring'!$G$2:$G$1000),0))</f>
        <v/>
      </c>
      <c r="D48" s="6">
        <f>IF($J48="","",IFERROR(SUMPRODUCT(('10_Scoring'!$B$2:$B$1000=$J48)*('10_Scoring'!$E$2:$E$1000=INDEX('12_OverallScores'!$C$2:$C$1000,MATCH($J48,'12_OverallScores'!$B$2:$B$1000,0)))*(IFERROR(INDEX('01_Criteria'!$B$2:$B$1000,MATCH('10_Scoring'!$C$2:$C$1000,'01_Criteria'!$A$2:$A$1000,0)),"")=D$28)*'10_Scoring'!$G$2:$G$1000),0))</f>
        <v/>
      </c>
      <c r="E48" s="6">
        <f>IF($J48="","",IFERROR(SUMPRODUCT(('10_Scoring'!$B$2:$B$1000=$J48)*('10_Scoring'!$E$2:$E$1000=INDEX('12_OverallScores'!$C$2:$C$1000,MATCH($J48,'12_OverallScores'!$B$2:$B$1000,0)))*(IFERROR(INDEX('01_Criteria'!$B$2:$B$1000,MATCH('10_Scoring'!$C$2:$C$1000,'01_Criteria'!$A$2:$A$1000,0)),"")=E$28)*'10_Scoring'!$G$2:$G$1000),0))</f>
        <v/>
      </c>
      <c r="F48" s="6">
        <f>IF($J48="","",IFERROR(SUMPRODUCT(('10_Scoring'!$B$2:$B$1000=$J48)*('10_Scoring'!$E$2:$E$1000=INDEX('12_OverallScores'!$C$2:$C$1000,MATCH($J48,'12_OverallScores'!$B$2:$B$1000,0)))*(IFERROR(INDEX('01_Criteria'!$B$2:$B$1000,MATCH('10_Scoring'!$C$2:$C$1000,'01_Criteria'!$A$2:$A$1000,0)),"")=F$28)*'10_Scoring'!$G$2:$G$1000),0))</f>
        <v/>
      </c>
      <c r="G48" s="6">
        <f>IF($J48="","",IFERROR(SUMPRODUCT(('10_Scoring'!$B$2:$B$1000=$J48)*('10_Scoring'!$E$2:$E$1000=INDEX('12_OverallScores'!$C$2:$C$1000,MATCH($J48,'12_OverallScores'!$B$2:$B$1000,0)))*(IFERROR(INDEX('01_Criteria'!$B$2:$B$1000,MATCH('10_Scoring'!$C$2:$C$1000,'01_Criteria'!$A$2:$A$1000,0)),"")=G$28)*'10_Scoring'!$G$2:$G$1000),0))</f>
        <v/>
      </c>
      <c r="H48" s="6">
        <f>IF($J48="","",IFERROR(SUMPRODUCT(('10_Scoring'!$B$2:$B$1000=$J48)*('10_Scoring'!$E$2:$E$1000=INDEX('12_OverallScores'!$C$2:$C$1000,MATCH($J48,'12_OverallScores'!$B$2:$B$1000,0)))*(IFERROR(INDEX('01_Criteria'!$B$2:$B$1000,MATCH('10_Scoring'!$C$2:$C$1000,'01_Criteria'!$A$2:$A$1000,0)),"")=H$28)*'10_Scoring'!$G$2:$G$1000),0))</f>
        <v/>
      </c>
      <c r="I48" s="6">
        <f>IF($J48="","",IFERROR(SUMPRODUCT(('10_Scoring'!$B$2:$B$1000=$J48)*('10_Scoring'!$E$2:$E$1000=INDEX('12_OverallScores'!$C$2:$C$1000,MATCH($J48,'12_OverallScores'!$B$2:$B$1000,0)))*(IFERROR(INDEX('01_Criteria'!$B$2:$B$1000,MATCH('10_Scoring'!$C$2:$C$1000,'01_Criteria'!$A$2:$A$1000,0)),"")=I$28)*'10_Scoring'!$G$2:$G$1000),0))</f>
        <v/>
      </c>
      <c r="J48" s="6" t="n"/>
    </row>
    <row r="51">
      <c r="A51" s="4" t="inlineStr">
        <is>
          <t>3. Coverage Grid (record counts by evidence type)</t>
        </is>
      </c>
    </row>
    <row r="52">
      <c r="A52" s="1" t="inlineStr">
        <is>
          <t>Configuration</t>
        </is>
      </c>
      <c r="B52" s="1" t="inlineStr">
        <is>
          <t>Technical</t>
        </is>
      </c>
      <c r="C52" s="1" t="inlineStr">
        <is>
          <t>Equipment</t>
        </is>
      </c>
      <c r="D52" s="1" t="inlineStr">
        <is>
          <t>Evidence</t>
        </is>
      </c>
      <c r="E52" s="1" t="inlineStr">
        <is>
          <t>Reviews</t>
        </is>
      </c>
      <c r="F52" s="1" t="inlineStr">
        <is>
          <t>Score</t>
        </is>
      </c>
      <c r="H52" s="5" t="inlineStr">
        <is>
          <t>ConfigurationID</t>
        </is>
      </c>
      <c r="I52" s="5" t="inlineStr">
        <is>
          <t>ParentVehicleID</t>
        </is>
      </c>
    </row>
    <row r="53">
      <c r="A53" s="6">
        <f>IF($H53="","",$H53)</f>
        <v/>
      </c>
      <c r="B53" s="6">
        <f>IF($H53="","",COUNTIF('04_Technical'!$B$2:$B$1000,$I53)+COUNTIF('04_Technical'!$C$2:$C$1000,$H53))</f>
        <v/>
      </c>
      <c r="C53" s="6">
        <f>IF($H53="","",COUNTIF('05_Equipment'!$B$2:$B$1000,$H53))</f>
        <v/>
      </c>
      <c r="D53" s="6">
        <f>IF($H53="","",COUNTIF('08_Evidence'!$B$2:$B$1000,$I53)+COUNTIF('08_Evidence'!$C$2:$C$1000,$H53))</f>
        <v/>
      </c>
      <c r="E53" s="6">
        <f>IF($H53="","",COUNTIF('07_Reviews'!$B$2:$B$1000,$I53)+COUNTIF('07_Reviews'!$C$2:$C$1000,$H53))</f>
        <v/>
      </c>
      <c r="F53" s="6">
        <f>IF($H53="","",COUNTIF('10_Scoring'!$B$2:$B$1000,$H53))</f>
        <v/>
      </c>
      <c r="G53" s="6" t="n"/>
      <c r="H53" s="6" t="inlineStr">
        <is>
          <t>TESLA_MODEL_3_LONG_RANGE_RWD</t>
        </is>
      </c>
      <c r="I53" s="6">
        <f>IFERROR(INDEX('03_Configurations'!$B$2:$B$1000,MATCH($H53,'03_Configurations'!$A$2:$A$1000,0)),"")</f>
        <v/>
      </c>
    </row>
    <row r="54">
      <c r="A54" s="6">
        <f>IF($H54="","",$H54)</f>
        <v/>
      </c>
      <c r="B54" s="6">
        <f>IF($H54="","",COUNTIF('04_Technical'!$B$2:$B$1000,$I54)+COUNTIF('04_Technical'!$C$2:$C$1000,$H54))</f>
        <v/>
      </c>
      <c r="C54" s="6">
        <f>IF($H54="","",COUNTIF('05_Equipment'!$B$2:$B$1000,$H54))</f>
        <v/>
      </c>
      <c r="D54" s="6">
        <f>IF($H54="","",COUNTIF('08_Evidence'!$B$2:$B$1000,$I54)+COUNTIF('08_Evidence'!$C$2:$C$1000,$H54))</f>
        <v/>
      </c>
      <c r="E54" s="6">
        <f>IF($H54="","",COUNTIF('07_Reviews'!$B$2:$B$1000,$I54)+COUNTIF('07_Reviews'!$C$2:$C$1000,$H54))</f>
        <v/>
      </c>
      <c r="F54" s="6">
        <f>IF($H54="","",COUNTIF('10_Scoring'!$B$2:$B$1000,$H54))</f>
        <v/>
      </c>
      <c r="G54" s="6" t="n"/>
      <c r="H54" s="6" t="inlineStr">
        <is>
          <t>RENAULT_4_TECHNO</t>
        </is>
      </c>
      <c r="I54" s="6">
        <f>IFERROR(INDEX('03_Configurations'!$B$2:$B$1000,MATCH($H54,'03_Configurations'!$A$2:$A$1000,0)),"")</f>
        <v/>
      </c>
    </row>
    <row r="55">
      <c r="A55" s="6">
        <f>IF($H55="","",$H55)</f>
        <v/>
      </c>
      <c r="B55" s="6">
        <f>IF($H55="","",COUNTIF('04_Technical'!$B$2:$B$1000,$I55)+COUNTIF('04_Technical'!$C$2:$C$1000,$H55))</f>
        <v/>
      </c>
      <c r="C55" s="6">
        <f>IF($H55="","",COUNTIF('05_Equipment'!$B$2:$B$1000,$H55))</f>
        <v/>
      </c>
      <c r="D55" s="6">
        <f>IF($H55="","",COUNTIF('08_Evidence'!$B$2:$B$1000,$I55)+COUNTIF('08_Evidence'!$C$2:$C$1000,$H55))</f>
        <v/>
      </c>
      <c r="E55" s="6">
        <f>IF($H55="","",COUNTIF('07_Reviews'!$B$2:$B$1000,$I55)+COUNTIF('07_Reviews'!$C$2:$C$1000,$H55))</f>
        <v/>
      </c>
      <c r="F55" s="6">
        <f>IF($H55="","",COUNTIF('10_Scoring'!$B$2:$B$1000,$H55))</f>
        <v/>
      </c>
      <c r="G55" s="6" t="n"/>
      <c r="H55" s="6" t="inlineStr">
        <is>
          <t>SKODA_ELROQ_SELECTION_60</t>
        </is>
      </c>
      <c r="I55" s="6">
        <f>IFERROR(INDEX('03_Configurations'!$B$2:$B$1000,MATCH($H55,'03_Configurations'!$A$2:$A$1000,0)),"")</f>
        <v/>
      </c>
    </row>
    <row r="56">
      <c r="A56" s="6">
        <f>IF($H56="","",$H56)</f>
        <v/>
      </c>
      <c r="B56" s="6">
        <f>IF($H56="","",COUNTIF('04_Technical'!$B$2:$B$1000,$I56)+COUNTIF('04_Technical'!$C$2:$C$1000,$H56))</f>
        <v/>
      </c>
      <c r="C56" s="6">
        <f>IF($H56="","",COUNTIF('05_Equipment'!$B$2:$B$1000,$H56))</f>
        <v/>
      </c>
      <c r="D56" s="6">
        <f>IF($H56="","",COUNTIF('08_Evidence'!$B$2:$B$1000,$I56)+COUNTIF('08_Evidence'!$C$2:$C$1000,$H56))</f>
        <v/>
      </c>
      <c r="E56" s="6">
        <f>IF($H56="","",COUNTIF('07_Reviews'!$B$2:$B$1000,$I56)+COUNTIF('07_Reviews'!$C$2:$C$1000,$H56))</f>
        <v/>
      </c>
      <c r="F56" s="6">
        <f>IF($H56="","",COUNTIF('10_Scoring'!$B$2:$B$1000,$H56))</f>
        <v/>
      </c>
      <c r="G56" s="6" t="n"/>
      <c r="H56" s="6" t="inlineStr">
        <is>
          <t>VOLVO_EX30_P5_LONG_RANGE</t>
        </is>
      </c>
      <c r="I56" s="6">
        <f>IFERROR(INDEX('03_Configurations'!$B$2:$B$1000,MATCH($H56,'03_Configurations'!$A$2:$A$1000,0)),"")</f>
        <v/>
      </c>
    </row>
    <row r="57">
      <c r="A57" s="6">
        <f>IF($H57="","",$H57)</f>
        <v/>
      </c>
      <c r="B57" s="6">
        <f>IF($H57="","",COUNTIF('04_Technical'!$B$2:$B$1000,$I57)+COUNTIF('04_Technical'!$C$2:$C$1000,$H57))</f>
        <v/>
      </c>
      <c r="C57" s="6">
        <f>IF($H57="","",COUNTIF('05_Equipment'!$B$2:$B$1000,$H57))</f>
        <v/>
      </c>
      <c r="D57" s="6">
        <f>IF($H57="","",COUNTIF('08_Evidence'!$B$2:$B$1000,$I57)+COUNTIF('08_Evidence'!$C$2:$C$1000,$H57))</f>
        <v/>
      </c>
      <c r="E57" s="6">
        <f>IF($H57="","",COUNTIF('07_Reviews'!$B$2:$B$1000,$I57)+COUNTIF('07_Reviews'!$C$2:$C$1000,$H57))</f>
        <v/>
      </c>
      <c r="F57" s="6">
        <f>IF($H57="","",COUNTIF('10_Scoring'!$B$2:$B$1000,$H57))</f>
        <v/>
      </c>
      <c r="G57" s="6" t="n"/>
      <c r="H57" s="6" t="inlineStr">
        <is>
          <t>KIA_EV2_FWD_LONG_RANGE_GT_LINE</t>
        </is>
      </c>
      <c r="I57" s="6">
        <f>IFERROR(INDEX('03_Configurations'!$B$2:$B$1000,MATCH($H57,'03_Configurations'!$A$2:$A$1000,0)),"")</f>
        <v/>
      </c>
    </row>
    <row r="58">
      <c r="A58" s="6">
        <f>IF($H58="","",$H58)</f>
        <v/>
      </c>
      <c r="B58" s="6">
        <f>IF($H58="","",COUNTIF('04_Technical'!$B$2:$B$1000,$I58)+COUNTIF('04_Technical'!$C$2:$C$1000,$H58))</f>
        <v/>
      </c>
      <c r="C58" s="6">
        <f>IF($H58="","",COUNTIF('05_Equipment'!$B$2:$B$1000,$H58))</f>
        <v/>
      </c>
      <c r="D58" s="6">
        <f>IF($H58="","",COUNTIF('08_Evidence'!$B$2:$B$1000,$I58)+COUNTIF('08_Evidence'!$C$2:$C$1000,$H58))</f>
        <v/>
      </c>
      <c r="E58" s="6">
        <f>IF($H58="","",COUNTIF('07_Reviews'!$B$2:$B$1000,$I58)+COUNTIF('07_Reviews'!$C$2:$C$1000,$H58))</f>
        <v/>
      </c>
      <c r="F58" s="6">
        <f>IF($H58="","",COUNTIF('10_Scoring'!$B$2:$B$1000,$H58))</f>
        <v/>
      </c>
      <c r="G58" s="6" t="n"/>
      <c r="H58" s="6" t="inlineStr">
        <is>
          <t>BYD_ATTO3_DESIGN</t>
        </is>
      </c>
      <c r="I58" s="6">
        <f>IFERROR(INDEX('03_Configurations'!$B$2:$B$1000,MATCH($H58,'03_Configurations'!$A$2:$A$1000,0)),"")</f>
        <v/>
      </c>
    </row>
    <row r="59">
      <c r="A59" s="6">
        <f>IF($H59="","",$H59)</f>
        <v/>
      </c>
      <c r="B59" s="6">
        <f>IF($H59="","",COUNTIF('04_Technical'!$B$2:$B$1000,$I59)+COUNTIF('04_Technical'!$C$2:$C$1000,$H59))</f>
        <v/>
      </c>
      <c r="C59" s="6">
        <f>IF($H59="","",COUNTIF('05_Equipment'!$B$2:$B$1000,$H59))</f>
        <v/>
      </c>
      <c r="D59" s="6">
        <f>IF($H59="","",COUNTIF('08_Evidence'!$B$2:$B$1000,$I59)+COUNTIF('08_Evidence'!$C$2:$C$1000,$H59))</f>
        <v/>
      </c>
      <c r="E59" s="6">
        <f>IF($H59="","",COUNTIF('07_Reviews'!$B$2:$B$1000,$I59)+COUNTIF('07_Reviews'!$C$2:$C$1000,$H59))</f>
        <v/>
      </c>
      <c r="F59" s="6">
        <f>IF($H59="","",COUNTIF('10_Scoring'!$B$2:$B$1000,$H59))</f>
        <v/>
      </c>
      <c r="G59" s="6" t="n"/>
      <c r="H59" s="6" t="n"/>
      <c r="I59" s="6">
        <f>IFERROR(INDEX('03_Configurations'!$B$2:$B$1000,MATCH($H59,'03_Configurations'!$A$2:$A$1000,0)),"")</f>
        <v/>
      </c>
    </row>
    <row r="60">
      <c r="A60" s="6">
        <f>IF($H60="","",$H60)</f>
        <v/>
      </c>
      <c r="B60" s="6">
        <f>IF($H60="","",COUNTIF('04_Technical'!$B$2:$B$1000,$I60)+COUNTIF('04_Technical'!$C$2:$C$1000,$H60))</f>
        <v/>
      </c>
      <c r="C60" s="6">
        <f>IF($H60="","",COUNTIF('05_Equipment'!$B$2:$B$1000,$H60))</f>
        <v/>
      </c>
      <c r="D60" s="6">
        <f>IF($H60="","",COUNTIF('08_Evidence'!$B$2:$B$1000,$I60)+COUNTIF('08_Evidence'!$C$2:$C$1000,$H60))</f>
        <v/>
      </c>
      <c r="E60" s="6">
        <f>IF($H60="","",COUNTIF('07_Reviews'!$B$2:$B$1000,$I60)+COUNTIF('07_Reviews'!$C$2:$C$1000,$H60))</f>
        <v/>
      </c>
      <c r="F60" s="6">
        <f>IF($H60="","",COUNTIF('10_Scoring'!$B$2:$B$1000,$H60))</f>
        <v/>
      </c>
      <c r="G60" s="6" t="n"/>
      <c r="H60" s="6" t="n"/>
      <c r="I60" s="6">
        <f>IFERROR(INDEX('03_Configurations'!$B$2:$B$1000,MATCH($H60,'03_Configurations'!$A$2:$A$1000,0)),"")</f>
        <v/>
      </c>
    </row>
    <row r="61">
      <c r="A61" s="6">
        <f>IF($H61="","",$H61)</f>
        <v/>
      </c>
      <c r="B61" s="6">
        <f>IF($H61="","",COUNTIF('04_Technical'!$B$2:$B$1000,$I61)+COUNTIF('04_Technical'!$C$2:$C$1000,$H61))</f>
        <v/>
      </c>
      <c r="C61" s="6">
        <f>IF($H61="","",COUNTIF('05_Equipment'!$B$2:$B$1000,$H61))</f>
        <v/>
      </c>
      <c r="D61" s="6">
        <f>IF($H61="","",COUNTIF('08_Evidence'!$B$2:$B$1000,$I61)+COUNTIF('08_Evidence'!$C$2:$C$1000,$H61))</f>
        <v/>
      </c>
      <c r="E61" s="6">
        <f>IF($H61="","",COUNTIF('07_Reviews'!$B$2:$B$1000,$I61)+COUNTIF('07_Reviews'!$C$2:$C$1000,$H61))</f>
        <v/>
      </c>
      <c r="F61" s="6">
        <f>IF($H61="","",COUNTIF('10_Scoring'!$B$2:$B$1000,$H61))</f>
        <v/>
      </c>
      <c r="G61" s="6" t="n"/>
      <c r="H61" s="6" t="n"/>
      <c r="I61" s="6">
        <f>IFERROR(INDEX('03_Configurations'!$B$2:$B$1000,MATCH($H61,'03_Configurations'!$A$2:$A$1000,0)),"")</f>
        <v/>
      </c>
    </row>
    <row r="62">
      <c r="A62" s="6">
        <f>IF($H62="","",$H62)</f>
        <v/>
      </c>
      <c r="B62" s="6">
        <f>IF($H62="","",COUNTIF('04_Technical'!$B$2:$B$1000,$I62)+COUNTIF('04_Technical'!$C$2:$C$1000,$H62))</f>
        <v/>
      </c>
      <c r="C62" s="6">
        <f>IF($H62="","",COUNTIF('05_Equipment'!$B$2:$B$1000,$H62))</f>
        <v/>
      </c>
      <c r="D62" s="6">
        <f>IF($H62="","",COUNTIF('08_Evidence'!$B$2:$B$1000,$I62)+COUNTIF('08_Evidence'!$C$2:$C$1000,$H62))</f>
        <v/>
      </c>
      <c r="E62" s="6">
        <f>IF($H62="","",COUNTIF('07_Reviews'!$B$2:$B$1000,$I62)+COUNTIF('07_Reviews'!$C$2:$C$1000,$H62))</f>
        <v/>
      </c>
      <c r="F62" s="6">
        <f>IF($H62="","",COUNTIF('10_Scoring'!$B$2:$B$1000,$H62))</f>
        <v/>
      </c>
      <c r="G62" s="6" t="n"/>
      <c r="H62" s="6" t="n"/>
      <c r="I62" s="6">
        <f>IFERROR(INDEX('03_Configurations'!$B$2:$B$1000,MATCH($H62,'03_Configurations'!$A$2:$A$1000,0)),"")</f>
        <v/>
      </c>
    </row>
    <row r="63">
      <c r="A63" s="6">
        <f>IF($H63="","",$H63)</f>
        <v/>
      </c>
      <c r="B63" s="6">
        <f>IF($H63="","",COUNTIF('04_Technical'!$B$2:$B$1000,$I63)+COUNTIF('04_Technical'!$C$2:$C$1000,$H63))</f>
        <v/>
      </c>
      <c r="C63" s="6">
        <f>IF($H63="","",COUNTIF('05_Equipment'!$B$2:$B$1000,$H63))</f>
        <v/>
      </c>
      <c r="D63" s="6">
        <f>IF($H63="","",COUNTIF('08_Evidence'!$B$2:$B$1000,$I63)+COUNTIF('08_Evidence'!$C$2:$C$1000,$H63))</f>
        <v/>
      </c>
      <c r="E63" s="6">
        <f>IF($H63="","",COUNTIF('07_Reviews'!$B$2:$B$1000,$I63)+COUNTIF('07_Reviews'!$C$2:$C$1000,$H63))</f>
        <v/>
      </c>
      <c r="F63" s="6">
        <f>IF($H63="","",COUNTIF('10_Scoring'!$B$2:$B$1000,$H63))</f>
        <v/>
      </c>
      <c r="G63" s="6" t="n"/>
      <c r="H63" s="6" t="n"/>
      <c r="I63" s="6">
        <f>IFERROR(INDEX('03_Configurations'!$B$2:$B$1000,MATCH($H63,'03_Configurations'!$A$2:$A$1000,0)),"")</f>
        <v/>
      </c>
    </row>
    <row r="64">
      <c r="A64" s="6">
        <f>IF($H64="","",$H64)</f>
        <v/>
      </c>
      <c r="B64" s="6">
        <f>IF($H64="","",COUNTIF('04_Technical'!$B$2:$B$1000,$I64)+COUNTIF('04_Technical'!$C$2:$C$1000,$H64))</f>
        <v/>
      </c>
      <c r="C64" s="6">
        <f>IF($H64="","",COUNTIF('05_Equipment'!$B$2:$B$1000,$H64))</f>
        <v/>
      </c>
      <c r="D64" s="6">
        <f>IF($H64="","",COUNTIF('08_Evidence'!$B$2:$B$1000,$I64)+COUNTIF('08_Evidence'!$C$2:$C$1000,$H64))</f>
        <v/>
      </c>
      <c r="E64" s="6">
        <f>IF($H64="","",COUNTIF('07_Reviews'!$B$2:$B$1000,$I64)+COUNTIF('07_Reviews'!$C$2:$C$1000,$H64))</f>
        <v/>
      </c>
      <c r="F64" s="6">
        <f>IF($H64="","",COUNTIF('10_Scoring'!$B$2:$B$1000,$H64))</f>
        <v/>
      </c>
      <c r="G64" s="6" t="n"/>
      <c r="H64" s="6" t="n"/>
      <c r="I64" s="6">
        <f>IFERROR(INDEX('03_Configurations'!$B$2:$B$1000,MATCH($H64,'03_Configurations'!$A$2:$A$1000,0)),"")</f>
        <v/>
      </c>
    </row>
    <row r="65">
      <c r="A65" s="6">
        <f>IF($H65="","",$H65)</f>
        <v/>
      </c>
      <c r="B65" s="6">
        <f>IF($H65="","",COUNTIF('04_Technical'!$B$2:$B$1000,$I65)+COUNTIF('04_Technical'!$C$2:$C$1000,$H65))</f>
        <v/>
      </c>
      <c r="C65" s="6">
        <f>IF($H65="","",COUNTIF('05_Equipment'!$B$2:$B$1000,$H65))</f>
        <v/>
      </c>
      <c r="D65" s="6">
        <f>IF($H65="","",COUNTIF('08_Evidence'!$B$2:$B$1000,$I65)+COUNTIF('08_Evidence'!$C$2:$C$1000,$H65))</f>
        <v/>
      </c>
      <c r="E65" s="6">
        <f>IF($H65="","",COUNTIF('07_Reviews'!$B$2:$B$1000,$I65)+COUNTIF('07_Reviews'!$C$2:$C$1000,$H65))</f>
        <v/>
      </c>
      <c r="F65" s="6">
        <f>IF($H65="","",COUNTIF('10_Scoring'!$B$2:$B$1000,$H65))</f>
        <v/>
      </c>
      <c r="G65" s="6" t="n"/>
      <c r="H65" s="6" t="n"/>
      <c r="I65" s="6">
        <f>IFERROR(INDEX('03_Configurations'!$B$2:$B$1000,MATCH($H65,'03_Configurations'!$A$2:$A$1000,0)),"")</f>
        <v/>
      </c>
    </row>
    <row r="66">
      <c r="A66" s="6">
        <f>IF($H66="","",$H66)</f>
        <v/>
      </c>
      <c r="B66" s="6">
        <f>IF($H66="","",COUNTIF('04_Technical'!$B$2:$B$1000,$I66)+COUNTIF('04_Technical'!$C$2:$C$1000,$H66))</f>
        <v/>
      </c>
      <c r="C66" s="6">
        <f>IF($H66="","",COUNTIF('05_Equipment'!$B$2:$B$1000,$H66))</f>
        <v/>
      </c>
      <c r="D66" s="6">
        <f>IF($H66="","",COUNTIF('08_Evidence'!$B$2:$B$1000,$I66)+COUNTIF('08_Evidence'!$C$2:$C$1000,$H66))</f>
        <v/>
      </c>
      <c r="E66" s="6">
        <f>IF($H66="","",COUNTIF('07_Reviews'!$B$2:$B$1000,$I66)+COUNTIF('07_Reviews'!$C$2:$C$1000,$H66))</f>
        <v/>
      </c>
      <c r="F66" s="6">
        <f>IF($H66="","",COUNTIF('10_Scoring'!$B$2:$B$1000,$H66))</f>
        <v/>
      </c>
      <c r="G66" s="6" t="n"/>
      <c r="H66" s="6" t="n"/>
      <c r="I66" s="6">
        <f>IFERROR(INDEX('03_Configurations'!$B$2:$B$1000,MATCH($H66,'03_Configurations'!$A$2:$A$1000,0)),"")</f>
        <v/>
      </c>
    </row>
    <row r="67">
      <c r="A67" s="6">
        <f>IF($H67="","",$H67)</f>
        <v/>
      </c>
      <c r="B67" s="6">
        <f>IF($H67="","",COUNTIF('04_Technical'!$B$2:$B$1000,$I67)+COUNTIF('04_Technical'!$C$2:$C$1000,$H67))</f>
        <v/>
      </c>
      <c r="C67" s="6">
        <f>IF($H67="","",COUNTIF('05_Equipment'!$B$2:$B$1000,$H67))</f>
        <v/>
      </c>
      <c r="D67" s="6">
        <f>IF($H67="","",COUNTIF('08_Evidence'!$B$2:$B$1000,$I67)+COUNTIF('08_Evidence'!$C$2:$C$1000,$H67))</f>
        <v/>
      </c>
      <c r="E67" s="6">
        <f>IF($H67="","",COUNTIF('07_Reviews'!$B$2:$B$1000,$I67)+COUNTIF('07_Reviews'!$C$2:$C$1000,$H67))</f>
        <v/>
      </c>
      <c r="F67" s="6">
        <f>IF($H67="","",COUNTIF('10_Scoring'!$B$2:$B$1000,$H67))</f>
        <v/>
      </c>
      <c r="G67" s="6" t="n"/>
      <c r="H67" s="6" t="n"/>
      <c r="I67" s="6">
        <f>IFERROR(INDEX('03_Configurations'!$B$2:$B$1000,MATCH($H67,'03_Configurations'!$A$2:$A$1000,0)),"")</f>
        <v/>
      </c>
    </row>
    <row r="68">
      <c r="A68" s="6">
        <f>IF($H68="","",$H68)</f>
        <v/>
      </c>
      <c r="B68" s="6">
        <f>IF($H68="","",COUNTIF('04_Technical'!$B$2:$B$1000,$I68)+COUNTIF('04_Technical'!$C$2:$C$1000,$H68))</f>
        <v/>
      </c>
      <c r="C68" s="6">
        <f>IF($H68="","",COUNTIF('05_Equipment'!$B$2:$B$1000,$H68))</f>
        <v/>
      </c>
      <c r="D68" s="6">
        <f>IF($H68="","",COUNTIF('08_Evidence'!$B$2:$B$1000,$I68)+COUNTIF('08_Evidence'!$C$2:$C$1000,$H68))</f>
        <v/>
      </c>
      <c r="E68" s="6">
        <f>IF($H68="","",COUNTIF('07_Reviews'!$B$2:$B$1000,$I68)+COUNTIF('07_Reviews'!$C$2:$C$1000,$H68))</f>
        <v/>
      </c>
      <c r="F68" s="6">
        <f>IF($H68="","",COUNTIF('10_Scoring'!$B$2:$B$1000,$H68))</f>
        <v/>
      </c>
      <c r="G68" s="6" t="n"/>
      <c r="H68" s="6" t="n"/>
      <c r="I68" s="6">
        <f>IFERROR(INDEX('03_Configurations'!$B$2:$B$1000,MATCH($H68,'03_Configurations'!$A$2:$A$1000,0)),"")</f>
        <v/>
      </c>
    </row>
    <row r="69">
      <c r="A69" s="6">
        <f>IF($H69="","",$H69)</f>
        <v/>
      </c>
      <c r="B69" s="6">
        <f>IF($H69="","",COUNTIF('04_Technical'!$B$2:$B$1000,$I69)+COUNTIF('04_Technical'!$C$2:$C$1000,$H69))</f>
        <v/>
      </c>
      <c r="C69" s="6">
        <f>IF($H69="","",COUNTIF('05_Equipment'!$B$2:$B$1000,$H69))</f>
        <v/>
      </c>
      <c r="D69" s="6">
        <f>IF($H69="","",COUNTIF('08_Evidence'!$B$2:$B$1000,$I69)+COUNTIF('08_Evidence'!$C$2:$C$1000,$H69))</f>
        <v/>
      </c>
      <c r="E69" s="6">
        <f>IF($H69="","",COUNTIF('07_Reviews'!$B$2:$B$1000,$I69)+COUNTIF('07_Reviews'!$C$2:$C$1000,$H69))</f>
        <v/>
      </c>
      <c r="F69" s="6">
        <f>IF($H69="","",COUNTIF('10_Scoring'!$B$2:$B$1000,$H69))</f>
        <v/>
      </c>
      <c r="G69" s="6" t="n"/>
      <c r="H69" s="6" t="n"/>
      <c r="I69" s="6">
        <f>IFERROR(INDEX('03_Configurations'!$B$2:$B$1000,MATCH($H69,'03_Configurations'!$A$2:$A$1000,0)),"")</f>
        <v/>
      </c>
    </row>
    <row r="70">
      <c r="A70" s="6">
        <f>IF($H70="","",$H70)</f>
        <v/>
      </c>
      <c r="B70" s="6">
        <f>IF($H70="","",COUNTIF('04_Technical'!$B$2:$B$1000,$I70)+COUNTIF('04_Technical'!$C$2:$C$1000,$H70))</f>
        <v/>
      </c>
      <c r="C70" s="6">
        <f>IF($H70="","",COUNTIF('05_Equipment'!$B$2:$B$1000,$H70))</f>
        <v/>
      </c>
      <c r="D70" s="6">
        <f>IF($H70="","",COUNTIF('08_Evidence'!$B$2:$B$1000,$I70)+COUNTIF('08_Evidence'!$C$2:$C$1000,$H70))</f>
        <v/>
      </c>
      <c r="E70" s="6">
        <f>IF($H70="","",COUNTIF('07_Reviews'!$B$2:$B$1000,$I70)+COUNTIF('07_Reviews'!$C$2:$C$1000,$H70))</f>
        <v/>
      </c>
      <c r="F70" s="6">
        <f>IF($H70="","",COUNTIF('10_Scoring'!$B$2:$B$1000,$H70))</f>
        <v/>
      </c>
      <c r="G70" s="6" t="n"/>
      <c r="H70" s="6" t="n"/>
      <c r="I70" s="6">
        <f>IFERROR(INDEX('03_Configurations'!$B$2:$B$1000,MATCH($H70,'03_Configurations'!$A$2:$A$1000,0)),"")</f>
        <v/>
      </c>
    </row>
    <row r="71">
      <c r="A71" s="6">
        <f>IF($H71="","",$H71)</f>
        <v/>
      </c>
      <c r="B71" s="6">
        <f>IF($H71="","",COUNTIF('04_Technical'!$B$2:$B$1000,$I71)+COUNTIF('04_Technical'!$C$2:$C$1000,$H71))</f>
        <v/>
      </c>
      <c r="C71" s="6">
        <f>IF($H71="","",COUNTIF('05_Equipment'!$B$2:$B$1000,$H71))</f>
        <v/>
      </c>
      <c r="D71" s="6">
        <f>IF($H71="","",COUNTIF('08_Evidence'!$B$2:$B$1000,$I71)+COUNTIF('08_Evidence'!$C$2:$C$1000,$H71))</f>
        <v/>
      </c>
      <c r="E71" s="6">
        <f>IF($H71="","",COUNTIF('07_Reviews'!$B$2:$B$1000,$I71)+COUNTIF('07_Reviews'!$C$2:$C$1000,$H71))</f>
        <v/>
      </c>
      <c r="F71" s="6">
        <f>IF($H71="","",COUNTIF('10_Scoring'!$B$2:$B$1000,$H71))</f>
        <v/>
      </c>
      <c r="G71" s="6" t="n"/>
      <c r="H71" s="6" t="n"/>
      <c r="I71" s="6">
        <f>IFERROR(INDEX('03_Configurations'!$B$2:$B$1000,MATCH($H71,'03_Configurations'!$A$2:$A$1000,0)),"")</f>
        <v/>
      </c>
    </row>
    <row r="72">
      <c r="A72" s="6">
        <f>IF($H72="","",$H72)</f>
        <v/>
      </c>
      <c r="B72" s="6">
        <f>IF($H72="","",COUNTIF('04_Technical'!$B$2:$B$1000,$I72)+COUNTIF('04_Technical'!$C$2:$C$1000,$H72))</f>
        <v/>
      </c>
      <c r="C72" s="6">
        <f>IF($H72="","",COUNTIF('05_Equipment'!$B$2:$B$1000,$H72))</f>
        <v/>
      </c>
      <c r="D72" s="6">
        <f>IF($H72="","",COUNTIF('08_Evidence'!$B$2:$B$1000,$I72)+COUNTIF('08_Evidence'!$C$2:$C$1000,$H72))</f>
        <v/>
      </c>
      <c r="E72" s="6">
        <f>IF($H72="","",COUNTIF('07_Reviews'!$B$2:$B$1000,$I72)+COUNTIF('07_Reviews'!$C$2:$C$1000,$H72))</f>
        <v/>
      </c>
      <c r="F72" s="6">
        <f>IF($H72="","",COUNTIF('10_Scoring'!$B$2:$B$1000,$H72))</f>
        <v/>
      </c>
      <c r="G72" s="6" t="n"/>
      <c r="H72" s="6" t="n"/>
      <c r="I72" s="6">
        <f>IFERROR(INDEX('03_Configurations'!$B$2:$B$1000,MATCH($H72,'03_Configurations'!$A$2:$A$1000,0)),"")</f>
        <v/>
      </c>
    </row>
    <row r="74">
      <c r="A74" s="4" t="inlineStr">
        <is>
          <t>4. Configuration Comparator</t>
        </is>
      </c>
    </row>
    <row r="75">
      <c r="A75" s="3" t="inlineStr">
        <is>
          <t>Select two ConfigurationIDs below to compare every scored Criterion side-by-side, including Confidence and the underlying Review text.</t>
        </is>
      </c>
    </row>
    <row r="77">
      <c r="A77" s="8" t="inlineStr">
        <is>
          <t>Configuration A</t>
        </is>
      </c>
      <c r="B77" s="9" t="n"/>
    </row>
    <row r="78">
      <c r="A78" s="8" t="inlineStr">
        <is>
          <t>Configuration B</t>
        </is>
      </c>
      <c r="B78" s="9" t="n"/>
    </row>
    <row r="80">
      <c r="A80" s="10" t="inlineStr">
        <is>
          <t>Metric</t>
        </is>
      </c>
      <c r="B80" s="10" t="inlineStr">
        <is>
          <t>Configuration A</t>
        </is>
      </c>
      <c r="C80" s="10" t="inlineStr">
        <is>
          <t>Configuration B</t>
        </is>
      </c>
    </row>
    <row r="81">
      <c r="A81" s="8" t="inlineStr">
        <is>
          <t>Vehicle / Trim</t>
        </is>
      </c>
      <c r="B81">
        <f>IF($B$77="","",IFERROR(INDEX('02_Vehicles'!$B$2:$B$1000,MATCH(INDEX('03_Configurations'!$B$2:$B$1000,MATCH($B$77,'03_Configurations'!$A$2:$A$1000,0)),'02_Vehicles'!$A$2:$A$1000,0))&amp;" "&amp;INDEX('02_Vehicles'!$C$2:$C$1000,MATCH(INDEX('03_Configurations'!$B$2:$B$1000,MATCH($B$77,'03_Configurations'!$A$2:$A$1000,0)),'02_Vehicles'!$A$2:$A$1000,0))&amp;" ("&amp;INDEX('03_Configurations'!$E$2:$E$1000,MATCH($B$77,'03_Configurations'!$A$2:$A$1000,0))&amp;")",""))</f>
        <v/>
      </c>
      <c r="C81">
        <f>IF($B$78="","",IFERROR(INDEX('02_Vehicles'!$B$2:$B$1000,MATCH(INDEX('03_Configurations'!$B$2:$B$1000,MATCH($B$78,'03_Configurations'!$A$2:$A$1000,0)),'02_Vehicles'!$A$2:$A$1000,0))&amp;" "&amp;INDEX('02_Vehicles'!$C$2:$C$1000,MATCH(INDEX('03_Configurations'!$B$2:$B$1000,MATCH($B$78,'03_Configurations'!$A$2:$A$1000,0)),'02_Vehicles'!$A$2:$A$1000,0))&amp;" ("&amp;INDEX('03_Configurations'!$E$2:$E$1000,MATCH($B$78,'03_Configurations'!$A$2:$A$1000,0))&amp;")",""))</f>
        <v/>
      </c>
    </row>
    <row r="82">
      <c r="A82" s="8" t="inlineStr">
        <is>
          <t>ConfiguredPrice</t>
        </is>
      </c>
      <c r="B82">
        <f>IF($B$77="","",IFERROR(INDEX('03_Configurations'!$G$2:$G$1000,MATCH($B$77,'03_Configurations'!$A$2:$A$1000,0)),""))</f>
        <v/>
      </c>
      <c r="C82">
        <f>IF($B$78="","",IFERROR(INDEX('03_Configurations'!$G$2:$G$1000,MATCH($B$78,'03_Configurations'!$A$2:$A$1000,0)),""))</f>
        <v/>
      </c>
    </row>
    <row r="83">
      <c r="A83" s="8" t="inlineStr">
        <is>
          <t>OverallScore</t>
        </is>
      </c>
      <c r="B83">
        <f>IF($B$77="","",IFERROR(INDEX('12_OverallScores'!$D$2:$D$1000,MATCH($B$77,'12_OverallScores'!$B$2:$B$1000,0)),""))</f>
        <v/>
      </c>
      <c r="C83">
        <f>IF($B$78="","",IFERROR(INDEX('12_OverallScores'!$D$2:$D$1000,MATCH($B$78,'12_OverallScores'!$B$2:$B$1000,0)),""))</f>
        <v/>
      </c>
    </row>
    <row r="84">
      <c r="A84" s="8" t="inlineStr">
        <is>
          <t>CoveragePercent</t>
        </is>
      </c>
      <c r="B84">
        <f>IF($B$77="","",IFERROR(INDEX('12_OverallScores'!$E$2:$E$1000,MATCH($B$77,'12_OverallScores'!$B$2:$B$1000,0)),""))</f>
        <v/>
      </c>
      <c r="C84">
        <f>IF($B$78="","",IFERROR(INDEX('12_OverallScores'!$E$2:$E$1000,MATCH($B$78,'12_OverallScores'!$B$2:$B$1000,0)),""))</f>
        <v/>
      </c>
    </row>
    <row r="85">
      <c r="A85" s="8" t="inlineStr">
        <is>
          <t>Hard Requirement Status</t>
        </is>
      </c>
      <c r="B85">
        <f>IF($B$77="","",IF(COUNTIFS('14_HardRequirementResults'!$B$2:$B$1000,$B$77,'14_HardRequirementResults'!$D$2:$D$1000,"FAIL")&gt;0,IF(IFERROR(INDEX('03_Configurations'!$I$2:$I$1000,MATCH($B$77,'03_Configurations'!$A$2:$A$1000,0)),"FALSE")="TRUE","FAIL - kept, overridden","FAIL - excluded"),IF(COUNTIFS('14_HardRequirementResults'!$B$2:$B$1000,$B$77,'14_HardRequirementResults'!$D$2:$D$1000,"UNKNOWN")&gt;0,"UNKNOWN","PASS")))</f>
        <v/>
      </c>
      <c r="C85">
        <f>IF($B$78="","",IF(COUNTIFS('14_HardRequirementResults'!$B$2:$B$1000,$B$78,'14_HardRequirementResults'!$D$2:$D$1000,"FAIL")&gt;0,IF(IFERROR(INDEX('03_Configurations'!$I$2:$I$1000,MATCH($B$78,'03_Configurations'!$A$2:$A$1000,0)),"FALSE")="TRUE","FAIL - kept, overridden","FAIL - excluded"),IF(COUNTIFS('14_HardRequirementResults'!$B$2:$B$1000,$B$78,'14_HardRequirementResults'!$D$2:$D$1000,"UNKNOWN")&gt;0,"UNKNOWN","PASS")))</f>
        <v/>
      </c>
    </row>
    <row r="87">
      <c r="A87" s="10" t="inlineStr">
        <is>
          <t>CriterionID</t>
        </is>
      </c>
      <c r="B87" s="10" t="inlineStr">
        <is>
          <t>Category</t>
        </is>
      </c>
      <c r="C87" s="10" t="inlineStr">
        <is>
          <t>Criterion</t>
        </is>
      </c>
      <c r="D87" s="10" t="inlineStr">
        <is>
          <t>Weight</t>
        </is>
      </c>
      <c r="E87" s="10" t="inlineStr">
        <is>
          <t>A: Score (1-5)</t>
        </is>
      </c>
      <c r="F87" s="10" t="inlineStr">
        <is>
          <t>A: Confidence</t>
        </is>
      </c>
      <c r="G87" s="10" t="inlineStr">
        <is>
          <t>A: WeightedScore</t>
        </is>
      </c>
      <c r="H87" s="10" t="inlineStr">
        <is>
          <t>B: Score (1-5)</t>
        </is>
      </c>
      <c r="I87" s="10" t="inlineStr">
        <is>
          <t>B: Confidence</t>
        </is>
      </c>
      <c r="J87" s="10" t="inlineStr">
        <is>
          <t>B: WeightedScore</t>
        </is>
      </c>
      <c r="K87" s="10" t="inlineStr">
        <is>
          <t>Δ WeightedScore (B-A)</t>
        </is>
      </c>
      <c r="M87" s="10" t="inlineStr">
        <is>
          <t>A: Review Summary</t>
        </is>
      </c>
      <c r="N87" s="10" t="inlineStr">
        <is>
          <t>B: Review Summary</t>
        </is>
      </c>
      <c r="P87" s="10" t="inlineStr">
        <is>
          <t>A: ReviewID (helper)</t>
        </is>
      </c>
      <c r="Q87" s="10" t="inlineStr">
        <is>
          <t>B: ReviewID (helper)</t>
        </is>
      </c>
    </row>
    <row r="88" ht="60" customHeight="1">
      <c r="A88" t="inlineStr">
        <is>
          <t>W001</t>
        </is>
      </c>
      <c r="B88">
        <f>IFERROR(INDEX('01_Criteria'!$B$2:$B$1000,MATCH($A88,'01_Criteria'!$A$2:$A$1000,0)),"")</f>
        <v/>
      </c>
      <c r="C88">
        <f>IFERROR(INDEX('01_Criteria'!$C$2:$C$1000,MATCH($A88,'01_Criteria'!$A$2:$A$1000,0)),"")</f>
        <v/>
      </c>
      <c r="D88">
        <f>IFERROR(INDEX('01_Criteria'!$F$2:$F$1000,MATCH($A88,'01_Criteria'!$A$2:$A$1000,0)),"")</f>
        <v/>
      </c>
      <c r="E88">
        <f>IF($P88="","",IFERROR(INDEX('07_Reviews'!$E$2:$E$1000,MATCH($P88,'07_Reviews'!$A$2:$A$1000,0)),""))</f>
        <v/>
      </c>
      <c r="F88">
        <f>IF($P88="","",IFERROR(INDEX('07_Reviews'!$F$2:$F$1000,MATCH($P88,'07_Reviews'!$A$2:$A$1000,0)),""))</f>
        <v/>
      </c>
      <c r="G88">
        <f>IF($P88="","",IFERROR(INDEX('10_Scoring'!$G$2:$G$1000,MATCH($P88,'10_Scoring'!$D$2:$D$1000,0)),""))</f>
        <v/>
      </c>
      <c r="H88">
        <f>IF($Q88="","",IFERROR(INDEX('07_Reviews'!$E$2:$E$1000,MATCH($Q88,'07_Reviews'!$A$2:$A$1000,0)),""))</f>
        <v/>
      </c>
      <c r="I88">
        <f>IF($Q88="","",IFERROR(INDEX('07_Reviews'!$F$2:$F$1000,MATCH($Q88,'07_Reviews'!$A$2:$A$1000,0)),""))</f>
        <v/>
      </c>
      <c r="J88">
        <f>IF($Q88="","",IFERROR(INDEX('10_Scoring'!$G$2:$G$1000,MATCH($Q88,'10_Scoring'!$D$2:$D$1000,0)),""))</f>
        <v/>
      </c>
      <c r="K88">
        <f>IF(OR($G88="",$J88=""),"",$J88-$G88)</f>
        <v/>
      </c>
      <c r="M88" s="11">
        <f>IF($P88="","",IFERROR(INDEX('07_Reviews'!$G$2:$G$1000,MATCH($P88,'07_Reviews'!$A$2:$A$1000,0)),""))</f>
        <v/>
      </c>
      <c r="N88" s="11">
        <f>IF($Q88="","",IFERROR(INDEX('07_Reviews'!$G$2:$G$1000,MATCH($Q88,'07_Reviews'!$A$2:$A$1000,0)),""))</f>
        <v/>
      </c>
      <c r="P88">
        <f>IF($B$77="","",IFERROR(INDEX('10_Scoring'!$D$2:$D$1000,MATCH(1,INDEX(('10_Scoring'!$B$2:$B$1000=$B$77)*('10_Scoring'!$C$2:$C$1000=$A88),0),0)),""))</f>
        <v/>
      </c>
      <c r="Q88">
        <f>IF($B$78="","",IFERROR(INDEX('10_Scoring'!$D$2:$D$1000,MATCH(1,INDEX(('10_Scoring'!$B$2:$B$1000=$B$78)*('10_Scoring'!$C$2:$C$1000=$A88),0),0)),""))</f>
        <v/>
      </c>
    </row>
    <row r="89" ht="60" customHeight="1">
      <c r="A89" t="inlineStr">
        <is>
          <t>W002</t>
        </is>
      </c>
      <c r="B89">
        <f>IFERROR(INDEX('01_Criteria'!$B$2:$B$1000,MATCH($A89,'01_Criteria'!$A$2:$A$1000,0)),"")</f>
        <v/>
      </c>
      <c r="C89">
        <f>IFERROR(INDEX('01_Criteria'!$C$2:$C$1000,MATCH($A89,'01_Criteria'!$A$2:$A$1000,0)),"")</f>
        <v/>
      </c>
      <c r="D89">
        <f>IFERROR(INDEX('01_Criteria'!$F$2:$F$1000,MATCH($A89,'01_Criteria'!$A$2:$A$1000,0)),"")</f>
        <v/>
      </c>
      <c r="E89">
        <f>IF($P89="","",IFERROR(INDEX('07_Reviews'!$E$2:$E$1000,MATCH($P89,'07_Reviews'!$A$2:$A$1000,0)),""))</f>
        <v/>
      </c>
      <c r="F89">
        <f>IF($P89="","",IFERROR(INDEX('07_Reviews'!$F$2:$F$1000,MATCH($P89,'07_Reviews'!$A$2:$A$1000,0)),""))</f>
        <v/>
      </c>
      <c r="G89">
        <f>IF($P89="","",IFERROR(INDEX('10_Scoring'!$G$2:$G$1000,MATCH($P89,'10_Scoring'!$D$2:$D$1000,0)),""))</f>
        <v/>
      </c>
      <c r="H89">
        <f>IF($Q89="","",IFERROR(INDEX('07_Reviews'!$E$2:$E$1000,MATCH($Q89,'07_Reviews'!$A$2:$A$1000,0)),""))</f>
        <v/>
      </c>
      <c r="I89">
        <f>IF($Q89="","",IFERROR(INDEX('07_Reviews'!$F$2:$F$1000,MATCH($Q89,'07_Reviews'!$A$2:$A$1000,0)),""))</f>
        <v/>
      </c>
      <c r="J89">
        <f>IF($Q89="","",IFERROR(INDEX('10_Scoring'!$G$2:$G$1000,MATCH($Q89,'10_Scoring'!$D$2:$D$1000,0)),""))</f>
        <v/>
      </c>
      <c r="K89">
        <f>IF(OR($G89="",$J89=""),"",$J89-$G89)</f>
        <v/>
      </c>
      <c r="M89" s="11">
        <f>IF($P89="","",IFERROR(INDEX('07_Reviews'!$G$2:$G$1000,MATCH($P89,'07_Reviews'!$A$2:$A$1000,0)),""))</f>
        <v/>
      </c>
      <c r="N89" s="11">
        <f>IF($Q89="","",IFERROR(INDEX('07_Reviews'!$G$2:$G$1000,MATCH($Q89,'07_Reviews'!$A$2:$A$1000,0)),""))</f>
        <v/>
      </c>
      <c r="P89">
        <f>IF($B$77="","",IFERROR(INDEX('10_Scoring'!$D$2:$D$1000,MATCH(1,INDEX(('10_Scoring'!$B$2:$B$1000=$B$77)*('10_Scoring'!$C$2:$C$1000=$A89),0),0)),""))</f>
        <v/>
      </c>
      <c r="Q89">
        <f>IF($B$78="","",IFERROR(INDEX('10_Scoring'!$D$2:$D$1000,MATCH(1,INDEX(('10_Scoring'!$B$2:$B$1000=$B$78)*('10_Scoring'!$C$2:$C$1000=$A89),0),0)),""))</f>
        <v/>
      </c>
    </row>
    <row r="90" ht="60" customHeight="1">
      <c r="A90" t="inlineStr">
        <is>
          <t>W003</t>
        </is>
      </c>
      <c r="B90">
        <f>IFERROR(INDEX('01_Criteria'!$B$2:$B$1000,MATCH($A90,'01_Criteria'!$A$2:$A$1000,0)),"")</f>
        <v/>
      </c>
      <c r="C90">
        <f>IFERROR(INDEX('01_Criteria'!$C$2:$C$1000,MATCH($A90,'01_Criteria'!$A$2:$A$1000,0)),"")</f>
        <v/>
      </c>
      <c r="D90">
        <f>IFERROR(INDEX('01_Criteria'!$F$2:$F$1000,MATCH($A90,'01_Criteria'!$A$2:$A$1000,0)),"")</f>
        <v/>
      </c>
      <c r="E90">
        <f>IF($P90="","",IFERROR(INDEX('07_Reviews'!$E$2:$E$1000,MATCH($P90,'07_Reviews'!$A$2:$A$1000,0)),""))</f>
        <v/>
      </c>
      <c r="F90">
        <f>IF($P90="","",IFERROR(INDEX('07_Reviews'!$F$2:$F$1000,MATCH($P90,'07_Reviews'!$A$2:$A$1000,0)),""))</f>
        <v/>
      </c>
      <c r="G90">
        <f>IF($P90="","",IFERROR(INDEX('10_Scoring'!$G$2:$G$1000,MATCH($P90,'10_Scoring'!$D$2:$D$1000,0)),""))</f>
        <v/>
      </c>
      <c r="H90">
        <f>IF($Q90="","",IFERROR(INDEX('07_Reviews'!$E$2:$E$1000,MATCH($Q90,'07_Reviews'!$A$2:$A$1000,0)),""))</f>
        <v/>
      </c>
      <c r="I90">
        <f>IF($Q90="","",IFERROR(INDEX('07_Reviews'!$F$2:$F$1000,MATCH($Q90,'07_Reviews'!$A$2:$A$1000,0)),""))</f>
        <v/>
      </c>
      <c r="J90">
        <f>IF($Q90="","",IFERROR(INDEX('10_Scoring'!$G$2:$G$1000,MATCH($Q90,'10_Scoring'!$D$2:$D$1000,0)),""))</f>
        <v/>
      </c>
      <c r="K90">
        <f>IF(OR($G90="",$J90=""),"",$J90-$G90)</f>
        <v/>
      </c>
      <c r="M90" s="11">
        <f>IF($P90="","",IFERROR(INDEX('07_Reviews'!$G$2:$G$1000,MATCH($P90,'07_Reviews'!$A$2:$A$1000,0)),""))</f>
        <v/>
      </c>
      <c r="N90" s="11">
        <f>IF($Q90="","",IFERROR(INDEX('07_Reviews'!$G$2:$G$1000,MATCH($Q90,'07_Reviews'!$A$2:$A$1000,0)),""))</f>
        <v/>
      </c>
      <c r="P90">
        <f>IF($B$77="","",IFERROR(INDEX('10_Scoring'!$D$2:$D$1000,MATCH(1,INDEX(('10_Scoring'!$B$2:$B$1000=$B$77)*('10_Scoring'!$C$2:$C$1000=$A90),0),0)),""))</f>
        <v/>
      </c>
      <c r="Q90">
        <f>IF($B$78="","",IFERROR(INDEX('10_Scoring'!$D$2:$D$1000,MATCH(1,INDEX(('10_Scoring'!$B$2:$B$1000=$B$78)*('10_Scoring'!$C$2:$C$1000=$A90),0),0)),""))</f>
        <v/>
      </c>
    </row>
    <row r="91" ht="60" customHeight="1">
      <c r="A91" t="inlineStr">
        <is>
          <t>W004</t>
        </is>
      </c>
      <c r="B91">
        <f>IFERROR(INDEX('01_Criteria'!$B$2:$B$1000,MATCH($A91,'01_Criteria'!$A$2:$A$1000,0)),"")</f>
        <v/>
      </c>
      <c r="C91">
        <f>IFERROR(INDEX('01_Criteria'!$C$2:$C$1000,MATCH($A91,'01_Criteria'!$A$2:$A$1000,0)),"")</f>
        <v/>
      </c>
      <c r="D91">
        <f>IFERROR(INDEX('01_Criteria'!$F$2:$F$1000,MATCH($A91,'01_Criteria'!$A$2:$A$1000,0)),"")</f>
        <v/>
      </c>
      <c r="E91">
        <f>IF($P91="","",IFERROR(INDEX('07_Reviews'!$E$2:$E$1000,MATCH($P91,'07_Reviews'!$A$2:$A$1000,0)),""))</f>
        <v/>
      </c>
      <c r="F91">
        <f>IF($P91="","",IFERROR(INDEX('07_Reviews'!$F$2:$F$1000,MATCH($P91,'07_Reviews'!$A$2:$A$1000,0)),""))</f>
        <v/>
      </c>
      <c r="G91">
        <f>IF($P91="","",IFERROR(INDEX('10_Scoring'!$G$2:$G$1000,MATCH($P91,'10_Scoring'!$D$2:$D$1000,0)),""))</f>
        <v/>
      </c>
      <c r="H91">
        <f>IF($Q91="","",IFERROR(INDEX('07_Reviews'!$E$2:$E$1000,MATCH($Q91,'07_Reviews'!$A$2:$A$1000,0)),""))</f>
        <v/>
      </c>
      <c r="I91">
        <f>IF($Q91="","",IFERROR(INDEX('07_Reviews'!$F$2:$F$1000,MATCH($Q91,'07_Reviews'!$A$2:$A$1000,0)),""))</f>
        <v/>
      </c>
      <c r="J91">
        <f>IF($Q91="","",IFERROR(INDEX('10_Scoring'!$G$2:$G$1000,MATCH($Q91,'10_Scoring'!$D$2:$D$1000,0)),""))</f>
        <v/>
      </c>
      <c r="K91">
        <f>IF(OR($G91="",$J91=""),"",$J91-$G91)</f>
        <v/>
      </c>
      <c r="M91" s="11">
        <f>IF($P91="","",IFERROR(INDEX('07_Reviews'!$G$2:$G$1000,MATCH($P91,'07_Reviews'!$A$2:$A$1000,0)),""))</f>
        <v/>
      </c>
      <c r="N91" s="11">
        <f>IF($Q91="","",IFERROR(INDEX('07_Reviews'!$G$2:$G$1000,MATCH($Q91,'07_Reviews'!$A$2:$A$1000,0)),""))</f>
        <v/>
      </c>
      <c r="P91">
        <f>IF($B$77="","",IFERROR(INDEX('10_Scoring'!$D$2:$D$1000,MATCH(1,INDEX(('10_Scoring'!$B$2:$B$1000=$B$77)*('10_Scoring'!$C$2:$C$1000=$A91),0),0)),""))</f>
        <v/>
      </c>
      <c r="Q91">
        <f>IF($B$78="","",IFERROR(INDEX('10_Scoring'!$D$2:$D$1000,MATCH(1,INDEX(('10_Scoring'!$B$2:$B$1000=$B$78)*('10_Scoring'!$C$2:$C$1000=$A91),0),0)),""))</f>
        <v/>
      </c>
    </row>
    <row r="92" ht="60" customHeight="1">
      <c r="A92" t="inlineStr">
        <is>
          <t>W005</t>
        </is>
      </c>
      <c r="B92">
        <f>IFERROR(INDEX('01_Criteria'!$B$2:$B$1000,MATCH($A92,'01_Criteria'!$A$2:$A$1000,0)),"")</f>
        <v/>
      </c>
      <c r="C92">
        <f>IFERROR(INDEX('01_Criteria'!$C$2:$C$1000,MATCH($A92,'01_Criteria'!$A$2:$A$1000,0)),"")</f>
        <v/>
      </c>
      <c r="D92">
        <f>IFERROR(INDEX('01_Criteria'!$F$2:$F$1000,MATCH($A92,'01_Criteria'!$A$2:$A$1000,0)),"")</f>
        <v/>
      </c>
      <c r="E92">
        <f>IF($P92="","",IFERROR(INDEX('07_Reviews'!$E$2:$E$1000,MATCH($P92,'07_Reviews'!$A$2:$A$1000,0)),""))</f>
        <v/>
      </c>
      <c r="F92">
        <f>IF($P92="","",IFERROR(INDEX('07_Reviews'!$F$2:$F$1000,MATCH($P92,'07_Reviews'!$A$2:$A$1000,0)),""))</f>
        <v/>
      </c>
      <c r="G92">
        <f>IF($P92="","",IFERROR(INDEX('10_Scoring'!$G$2:$G$1000,MATCH($P92,'10_Scoring'!$D$2:$D$1000,0)),""))</f>
        <v/>
      </c>
      <c r="H92">
        <f>IF($Q92="","",IFERROR(INDEX('07_Reviews'!$E$2:$E$1000,MATCH($Q92,'07_Reviews'!$A$2:$A$1000,0)),""))</f>
        <v/>
      </c>
      <c r="I92">
        <f>IF($Q92="","",IFERROR(INDEX('07_Reviews'!$F$2:$F$1000,MATCH($Q92,'07_Reviews'!$A$2:$A$1000,0)),""))</f>
        <v/>
      </c>
      <c r="J92">
        <f>IF($Q92="","",IFERROR(INDEX('10_Scoring'!$G$2:$G$1000,MATCH($Q92,'10_Scoring'!$D$2:$D$1000,0)),""))</f>
        <v/>
      </c>
      <c r="K92">
        <f>IF(OR($G92="",$J92=""),"",$J92-$G92)</f>
        <v/>
      </c>
      <c r="M92" s="11">
        <f>IF($P92="","",IFERROR(INDEX('07_Reviews'!$G$2:$G$1000,MATCH($P92,'07_Reviews'!$A$2:$A$1000,0)),""))</f>
        <v/>
      </c>
      <c r="N92" s="11">
        <f>IF($Q92="","",IFERROR(INDEX('07_Reviews'!$G$2:$G$1000,MATCH($Q92,'07_Reviews'!$A$2:$A$1000,0)),""))</f>
        <v/>
      </c>
      <c r="P92">
        <f>IF($B$77="","",IFERROR(INDEX('10_Scoring'!$D$2:$D$1000,MATCH(1,INDEX(('10_Scoring'!$B$2:$B$1000=$B$77)*('10_Scoring'!$C$2:$C$1000=$A92),0),0)),""))</f>
        <v/>
      </c>
      <c r="Q92">
        <f>IF($B$78="","",IFERROR(INDEX('10_Scoring'!$D$2:$D$1000,MATCH(1,INDEX(('10_Scoring'!$B$2:$B$1000=$B$78)*('10_Scoring'!$C$2:$C$1000=$A92),0),0)),""))</f>
        <v/>
      </c>
    </row>
    <row r="93" ht="60" customHeight="1">
      <c r="A93" t="inlineStr">
        <is>
          <t>W006</t>
        </is>
      </c>
      <c r="B93">
        <f>IFERROR(INDEX('01_Criteria'!$B$2:$B$1000,MATCH($A93,'01_Criteria'!$A$2:$A$1000,0)),"")</f>
        <v/>
      </c>
      <c r="C93">
        <f>IFERROR(INDEX('01_Criteria'!$C$2:$C$1000,MATCH($A93,'01_Criteria'!$A$2:$A$1000,0)),"")</f>
        <v/>
      </c>
      <c r="D93">
        <f>IFERROR(INDEX('01_Criteria'!$F$2:$F$1000,MATCH($A93,'01_Criteria'!$A$2:$A$1000,0)),"")</f>
        <v/>
      </c>
      <c r="E93">
        <f>IF($P93="","",IFERROR(INDEX('07_Reviews'!$E$2:$E$1000,MATCH($P93,'07_Reviews'!$A$2:$A$1000,0)),""))</f>
        <v/>
      </c>
      <c r="F93">
        <f>IF($P93="","",IFERROR(INDEX('07_Reviews'!$F$2:$F$1000,MATCH($P93,'07_Reviews'!$A$2:$A$1000,0)),""))</f>
        <v/>
      </c>
      <c r="G93">
        <f>IF($P93="","",IFERROR(INDEX('10_Scoring'!$G$2:$G$1000,MATCH($P93,'10_Scoring'!$D$2:$D$1000,0)),""))</f>
        <v/>
      </c>
      <c r="H93">
        <f>IF($Q93="","",IFERROR(INDEX('07_Reviews'!$E$2:$E$1000,MATCH($Q93,'07_Reviews'!$A$2:$A$1000,0)),""))</f>
        <v/>
      </c>
      <c r="I93">
        <f>IF($Q93="","",IFERROR(INDEX('07_Reviews'!$F$2:$F$1000,MATCH($Q93,'07_Reviews'!$A$2:$A$1000,0)),""))</f>
        <v/>
      </c>
      <c r="J93">
        <f>IF($Q93="","",IFERROR(INDEX('10_Scoring'!$G$2:$G$1000,MATCH($Q93,'10_Scoring'!$D$2:$D$1000,0)),""))</f>
        <v/>
      </c>
      <c r="K93">
        <f>IF(OR($G93="",$J93=""),"",$J93-$G93)</f>
        <v/>
      </c>
      <c r="M93" s="11">
        <f>IF($P93="","",IFERROR(INDEX('07_Reviews'!$G$2:$G$1000,MATCH($P93,'07_Reviews'!$A$2:$A$1000,0)),""))</f>
        <v/>
      </c>
      <c r="N93" s="11">
        <f>IF($Q93="","",IFERROR(INDEX('07_Reviews'!$G$2:$G$1000,MATCH($Q93,'07_Reviews'!$A$2:$A$1000,0)),""))</f>
        <v/>
      </c>
      <c r="P93">
        <f>IF($B$77="","",IFERROR(INDEX('10_Scoring'!$D$2:$D$1000,MATCH(1,INDEX(('10_Scoring'!$B$2:$B$1000=$B$77)*('10_Scoring'!$C$2:$C$1000=$A93),0),0)),""))</f>
        <v/>
      </c>
      <c r="Q93">
        <f>IF($B$78="","",IFERROR(INDEX('10_Scoring'!$D$2:$D$1000,MATCH(1,INDEX(('10_Scoring'!$B$2:$B$1000=$B$78)*('10_Scoring'!$C$2:$C$1000=$A93),0),0)),""))</f>
        <v/>
      </c>
    </row>
    <row r="94" ht="60" customHeight="1">
      <c r="A94" t="inlineStr">
        <is>
          <t>W007</t>
        </is>
      </c>
      <c r="B94">
        <f>IFERROR(INDEX('01_Criteria'!$B$2:$B$1000,MATCH($A94,'01_Criteria'!$A$2:$A$1000,0)),"")</f>
        <v/>
      </c>
      <c r="C94">
        <f>IFERROR(INDEX('01_Criteria'!$C$2:$C$1000,MATCH($A94,'01_Criteria'!$A$2:$A$1000,0)),"")</f>
        <v/>
      </c>
      <c r="D94">
        <f>IFERROR(INDEX('01_Criteria'!$F$2:$F$1000,MATCH($A94,'01_Criteria'!$A$2:$A$1000,0)),"")</f>
        <v/>
      </c>
      <c r="E94">
        <f>IF($P94="","",IFERROR(INDEX('07_Reviews'!$E$2:$E$1000,MATCH($P94,'07_Reviews'!$A$2:$A$1000,0)),""))</f>
        <v/>
      </c>
      <c r="F94">
        <f>IF($P94="","",IFERROR(INDEX('07_Reviews'!$F$2:$F$1000,MATCH($P94,'07_Reviews'!$A$2:$A$1000,0)),""))</f>
        <v/>
      </c>
      <c r="G94">
        <f>IF($P94="","",IFERROR(INDEX('10_Scoring'!$G$2:$G$1000,MATCH($P94,'10_Scoring'!$D$2:$D$1000,0)),""))</f>
        <v/>
      </c>
      <c r="H94">
        <f>IF($Q94="","",IFERROR(INDEX('07_Reviews'!$E$2:$E$1000,MATCH($Q94,'07_Reviews'!$A$2:$A$1000,0)),""))</f>
        <v/>
      </c>
      <c r="I94">
        <f>IF($Q94="","",IFERROR(INDEX('07_Reviews'!$F$2:$F$1000,MATCH($Q94,'07_Reviews'!$A$2:$A$1000,0)),""))</f>
        <v/>
      </c>
      <c r="J94">
        <f>IF($Q94="","",IFERROR(INDEX('10_Scoring'!$G$2:$G$1000,MATCH($Q94,'10_Scoring'!$D$2:$D$1000,0)),""))</f>
        <v/>
      </c>
      <c r="K94">
        <f>IF(OR($G94="",$J94=""),"",$J94-$G94)</f>
        <v/>
      </c>
      <c r="M94" s="11">
        <f>IF($P94="","",IFERROR(INDEX('07_Reviews'!$G$2:$G$1000,MATCH($P94,'07_Reviews'!$A$2:$A$1000,0)),""))</f>
        <v/>
      </c>
      <c r="N94" s="11">
        <f>IF($Q94="","",IFERROR(INDEX('07_Reviews'!$G$2:$G$1000,MATCH($Q94,'07_Reviews'!$A$2:$A$1000,0)),""))</f>
        <v/>
      </c>
      <c r="P94">
        <f>IF($B$77="","",IFERROR(INDEX('10_Scoring'!$D$2:$D$1000,MATCH(1,INDEX(('10_Scoring'!$B$2:$B$1000=$B$77)*('10_Scoring'!$C$2:$C$1000=$A94),0),0)),""))</f>
        <v/>
      </c>
      <c r="Q94">
        <f>IF($B$78="","",IFERROR(INDEX('10_Scoring'!$D$2:$D$1000,MATCH(1,INDEX(('10_Scoring'!$B$2:$B$1000=$B$78)*('10_Scoring'!$C$2:$C$1000=$A94),0),0)),""))</f>
        <v/>
      </c>
    </row>
    <row r="95" ht="60" customHeight="1">
      <c r="A95" t="inlineStr">
        <is>
          <t>W008</t>
        </is>
      </c>
      <c r="B95">
        <f>IFERROR(INDEX('01_Criteria'!$B$2:$B$1000,MATCH($A95,'01_Criteria'!$A$2:$A$1000,0)),"")</f>
        <v/>
      </c>
      <c r="C95">
        <f>IFERROR(INDEX('01_Criteria'!$C$2:$C$1000,MATCH($A95,'01_Criteria'!$A$2:$A$1000,0)),"")</f>
        <v/>
      </c>
      <c r="D95">
        <f>IFERROR(INDEX('01_Criteria'!$F$2:$F$1000,MATCH($A95,'01_Criteria'!$A$2:$A$1000,0)),"")</f>
        <v/>
      </c>
      <c r="E95">
        <f>IF($P95="","",IFERROR(INDEX('07_Reviews'!$E$2:$E$1000,MATCH($P95,'07_Reviews'!$A$2:$A$1000,0)),""))</f>
        <v/>
      </c>
      <c r="F95">
        <f>IF($P95="","",IFERROR(INDEX('07_Reviews'!$F$2:$F$1000,MATCH($P95,'07_Reviews'!$A$2:$A$1000,0)),""))</f>
        <v/>
      </c>
      <c r="G95">
        <f>IF($P95="","",IFERROR(INDEX('10_Scoring'!$G$2:$G$1000,MATCH($P95,'10_Scoring'!$D$2:$D$1000,0)),""))</f>
        <v/>
      </c>
      <c r="H95">
        <f>IF($Q95="","",IFERROR(INDEX('07_Reviews'!$E$2:$E$1000,MATCH($Q95,'07_Reviews'!$A$2:$A$1000,0)),""))</f>
        <v/>
      </c>
      <c r="I95">
        <f>IF($Q95="","",IFERROR(INDEX('07_Reviews'!$F$2:$F$1000,MATCH($Q95,'07_Reviews'!$A$2:$A$1000,0)),""))</f>
        <v/>
      </c>
      <c r="J95">
        <f>IF($Q95="","",IFERROR(INDEX('10_Scoring'!$G$2:$G$1000,MATCH($Q95,'10_Scoring'!$D$2:$D$1000,0)),""))</f>
        <v/>
      </c>
      <c r="K95">
        <f>IF(OR($G95="",$J95=""),"",$J95-$G95)</f>
        <v/>
      </c>
      <c r="M95" s="11">
        <f>IF($P95="","",IFERROR(INDEX('07_Reviews'!$G$2:$G$1000,MATCH($P95,'07_Reviews'!$A$2:$A$1000,0)),""))</f>
        <v/>
      </c>
      <c r="N95" s="11">
        <f>IF($Q95="","",IFERROR(INDEX('07_Reviews'!$G$2:$G$1000,MATCH($Q95,'07_Reviews'!$A$2:$A$1000,0)),""))</f>
        <v/>
      </c>
      <c r="P95">
        <f>IF($B$77="","",IFERROR(INDEX('10_Scoring'!$D$2:$D$1000,MATCH(1,INDEX(('10_Scoring'!$B$2:$B$1000=$B$77)*('10_Scoring'!$C$2:$C$1000=$A95),0),0)),""))</f>
        <v/>
      </c>
      <c r="Q95">
        <f>IF($B$78="","",IFERROR(INDEX('10_Scoring'!$D$2:$D$1000,MATCH(1,INDEX(('10_Scoring'!$B$2:$B$1000=$B$78)*('10_Scoring'!$C$2:$C$1000=$A95),0),0)),""))</f>
        <v/>
      </c>
    </row>
    <row r="96" ht="60" customHeight="1">
      <c r="A96" t="inlineStr">
        <is>
          <t>W009</t>
        </is>
      </c>
      <c r="B96">
        <f>IFERROR(INDEX('01_Criteria'!$B$2:$B$1000,MATCH($A96,'01_Criteria'!$A$2:$A$1000,0)),"")</f>
        <v/>
      </c>
      <c r="C96">
        <f>IFERROR(INDEX('01_Criteria'!$C$2:$C$1000,MATCH($A96,'01_Criteria'!$A$2:$A$1000,0)),"")</f>
        <v/>
      </c>
      <c r="D96">
        <f>IFERROR(INDEX('01_Criteria'!$F$2:$F$1000,MATCH($A96,'01_Criteria'!$A$2:$A$1000,0)),"")</f>
        <v/>
      </c>
      <c r="E96">
        <f>IF($P96="","",IFERROR(INDEX('07_Reviews'!$E$2:$E$1000,MATCH($P96,'07_Reviews'!$A$2:$A$1000,0)),""))</f>
        <v/>
      </c>
      <c r="F96">
        <f>IF($P96="","",IFERROR(INDEX('07_Reviews'!$F$2:$F$1000,MATCH($P96,'07_Reviews'!$A$2:$A$1000,0)),""))</f>
        <v/>
      </c>
      <c r="G96">
        <f>IF($P96="","",IFERROR(INDEX('10_Scoring'!$G$2:$G$1000,MATCH($P96,'10_Scoring'!$D$2:$D$1000,0)),""))</f>
        <v/>
      </c>
      <c r="H96">
        <f>IF($Q96="","",IFERROR(INDEX('07_Reviews'!$E$2:$E$1000,MATCH($Q96,'07_Reviews'!$A$2:$A$1000,0)),""))</f>
        <v/>
      </c>
      <c r="I96">
        <f>IF($Q96="","",IFERROR(INDEX('07_Reviews'!$F$2:$F$1000,MATCH($Q96,'07_Reviews'!$A$2:$A$1000,0)),""))</f>
        <v/>
      </c>
      <c r="J96">
        <f>IF($Q96="","",IFERROR(INDEX('10_Scoring'!$G$2:$G$1000,MATCH($Q96,'10_Scoring'!$D$2:$D$1000,0)),""))</f>
        <v/>
      </c>
      <c r="K96">
        <f>IF(OR($G96="",$J96=""),"",$J96-$G96)</f>
        <v/>
      </c>
      <c r="M96" s="11">
        <f>IF($P96="","",IFERROR(INDEX('07_Reviews'!$G$2:$G$1000,MATCH($P96,'07_Reviews'!$A$2:$A$1000,0)),""))</f>
        <v/>
      </c>
      <c r="N96" s="11">
        <f>IF($Q96="","",IFERROR(INDEX('07_Reviews'!$G$2:$G$1000,MATCH($Q96,'07_Reviews'!$A$2:$A$1000,0)),""))</f>
        <v/>
      </c>
      <c r="P96">
        <f>IF($B$77="","",IFERROR(INDEX('10_Scoring'!$D$2:$D$1000,MATCH(1,INDEX(('10_Scoring'!$B$2:$B$1000=$B$77)*('10_Scoring'!$C$2:$C$1000=$A96),0),0)),""))</f>
        <v/>
      </c>
      <c r="Q96">
        <f>IF($B$78="","",IFERROR(INDEX('10_Scoring'!$D$2:$D$1000,MATCH(1,INDEX(('10_Scoring'!$B$2:$B$1000=$B$78)*('10_Scoring'!$C$2:$C$1000=$A96),0),0)),""))</f>
        <v/>
      </c>
    </row>
    <row r="97" ht="60" customHeight="1">
      <c r="A97" t="inlineStr">
        <is>
          <t>W010</t>
        </is>
      </c>
      <c r="B97">
        <f>IFERROR(INDEX('01_Criteria'!$B$2:$B$1000,MATCH($A97,'01_Criteria'!$A$2:$A$1000,0)),"")</f>
        <v/>
      </c>
      <c r="C97">
        <f>IFERROR(INDEX('01_Criteria'!$C$2:$C$1000,MATCH($A97,'01_Criteria'!$A$2:$A$1000,0)),"")</f>
        <v/>
      </c>
      <c r="D97">
        <f>IFERROR(INDEX('01_Criteria'!$F$2:$F$1000,MATCH($A97,'01_Criteria'!$A$2:$A$1000,0)),"")</f>
        <v/>
      </c>
      <c r="E97">
        <f>IF($P97="","",IFERROR(INDEX('07_Reviews'!$E$2:$E$1000,MATCH($P97,'07_Reviews'!$A$2:$A$1000,0)),""))</f>
        <v/>
      </c>
      <c r="F97">
        <f>IF($P97="","",IFERROR(INDEX('07_Reviews'!$F$2:$F$1000,MATCH($P97,'07_Reviews'!$A$2:$A$1000,0)),""))</f>
        <v/>
      </c>
      <c r="G97">
        <f>IF($P97="","",IFERROR(INDEX('10_Scoring'!$G$2:$G$1000,MATCH($P97,'10_Scoring'!$D$2:$D$1000,0)),""))</f>
        <v/>
      </c>
      <c r="H97">
        <f>IF($Q97="","",IFERROR(INDEX('07_Reviews'!$E$2:$E$1000,MATCH($Q97,'07_Reviews'!$A$2:$A$1000,0)),""))</f>
        <v/>
      </c>
      <c r="I97">
        <f>IF($Q97="","",IFERROR(INDEX('07_Reviews'!$F$2:$F$1000,MATCH($Q97,'07_Reviews'!$A$2:$A$1000,0)),""))</f>
        <v/>
      </c>
      <c r="J97">
        <f>IF($Q97="","",IFERROR(INDEX('10_Scoring'!$G$2:$G$1000,MATCH($Q97,'10_Scoring'!$D$2:$D$1000,0)),""))</f>
        <v/>
      </c>
      <c r="K97">
        <f>IF(OR($G97="",$J97=""),"",$J97-$G97)</f>
        <v/>
      </c>
      <c r="M97" s="11">
        <f>IF($P97="","",IFERROR(INDEX('07_Reviews'!$G$2:$G$1000,MATCH($P97,'07_Reviews'!$A$2:$A$1000,0)),""))</f>
        <v/>
      </c>
      <c r="N97" s="11">
        <f>IF($Q97="","",IFERROR(INDEX('07_Reviews'!$G$2:$G$1000,MATCH($Q97,'07_Reviews'!$A$2:$A$1000,0)),""))</f>
        <v/>
      </c>
      <c r="P97">
        <f>IF($B$77="","",IFERROR(INDEX('10_Scoring'!$D$2:$D$1000,MATCH(1,INDEX(('10_Scoring'!$B$2:$B$1000=$B$77)*('10_Scoring'!$C$2:$C$1000=$A97),0),0)),""))</f>
        <v/>
      </c>
      <c r="Q97">
        <f>IF($B$78="","",IFERROR(INDEX('10_Scoring'!$D$2:$D$1000,MATCH(1,INDEX(('10_Scoring'!$B$2:$B$1000=$B$78)*('10_Scoring'!$C$2:$C$1000=$A97),0),0)),""))</f>
        <v/>
      </c>
    </row>
    <row r="98" ht="60" customHeight="1">
      <c r="A98" t="inlineStr">
        <is>
          <t>W011</t>
        </is>
      </c>
      <c r="B98">
        <f>IFERROR(INDEX('01_Criteria'!$B$2:$B$1000,MATCH($A98,'01_Criteria'!$A$2:$A$1000,0)),"")</f>
        <v/>
      </c>
      <c r="C98">
        <f>IFERROR(INDEX('01_Criteria'!$C$2:$C$1000,MATCH($A98,'01_Criteria'!$A$2:$A$1000,0)),"")</f>
        <v/>
      </c>
      <c r="D98">
        <f>IFERROR(INDEX('01_Criteria'!$F$2:$F$1000,MATCH($A98,'01_Criteria'!$A$2:$A$1000,0)),"")</f>
        <v/>
      </c>
      <c r="E98">
        <f>IF($P98="","",IFERROR(INDEX('07_Reviews'!$E$2:$E$1000,MATCH($P98,'07_Reviews'!$A$2:$A$1000,0)),""))</f>
        <v/>
      </c>
      <c r="F98">
        <f>IF($P98="","",IFERROR(INDEX('07_Reviews'!$F$2:$F$1000,MATCH($P98,'07_Reviews'!$A$2:$A$1000,0)),""))</f>
        <v/>
      </c>
      <c r="G98">
        <f>IF($P98="","",IFERROR(INDEX('10_Scoring'!$G$2:$G$1000,MATCH($P98,'10_Scoring'!$D$2:$D$1000,0)),""))</f>
        <v/>
      </c>
      <c r="H98">
        <f>IF($Q98="","",IFERROR(INDEX('07_Reviews'!$E$2:$E$1000,MATCH($Q98,'07_Reviews'!$A$2:$A$1000,0)),""))</f>
        <v/>
      </c>
      <c r="I98">
        <f>IF($Q98="","",IFERROR(INDEX('07_Reviews'!$F$2:$F$1000,MATCH($Q98,'07_Reviews'!$A$2:$A$1000,0)),""))</f>
        <v/>
      </c>
      <c r="J98">
        <f>IF($Q98="","",IFERROR(INDEX('10_Scoring'!$G$2:$G$1000,MATCH($Q98,'10_Scoring'!$D$2:$D$1000,0)),""))</f>
        <v/>
      </c>
      <c r="K98">
        <f>IF(OR($G98="",$J98=""),"",$J98-$G98)</f>
        <v/>
      </c>
      <c r="M98" s="11">
        <f>IF($P98="","",IFERROR(INDEX('07_Reviews'!$G$2:$G$1000,MATCH($P98,'07_Reviews'!$A$2:$A$1000,0)),""))</f>
        <v/>
      </c>
      <c r="N98" s="11">
        <f>IF($Q98="","",IFERROR(INDEX('07_Reviews'!$G$2:$G$1000,MATCH($Q98,'07_Reviews'!$A$2:$A$1000,0)),""))</f>
        <v/>
      </c>
      <c r="P98">
        <f>IF($B$77="","",IFERROR(INDEX('10_Scoring'!$D$2:$D$1000,MATCH(1,INDEX(('10_Scoring'!$B$2:$B$1000=$B$77)*('10_Scoring'!$C$2:$C$1000=$A98),0),0)),""))</f>
        <v/>
      </c>
      <c r="Q98">
        <f>IF($B$78="","",IFERROR(INDEX('10_Scoring'!$D$2:$D$1000,MATCH(1,INDEX(('10_Scoring'!$B$2:$B$1000=$B$78)*('10_Scoring'!$C$2:$C$1000=$A98),0),0)),""))</f>
        <v/>
      </c>
    </row>
    <row r="99" ht="60" customHeight="1">
      <c r="A99" t="inlineStr">
        <is>
          <t>W012</t>
        </is>
      </c>
      <c r="B99">
        <f>IFERROR(INDEX('01_Criteria'!$B$2:$B$1000,MATCH($A99,'01_Criteria'!$A$2:$A$1000,0)),"")</f>
        <v/>
      </c>
      <c r="C99">
        <f>IFERROR(INDEX('01_Criteria'!$C$2:$C$1000,MATCH($A99,'01_Criteria'!$A$2:$A$1000,0)),"")</f>
        <v/>
      </c>
      <c r="D99">
        <f>IFERROR(INDEX('01_Criteria'!$F$2:$F$1000,MATCH($A99,'01_Criteria'!$A$2:$A$1000,0)),"")</f>
        <v/>
      </c>
      <c r="E99">
        <f>IF($P99="","",IFERROR(INDEX('07_Reviews'!$E$2:$E$1000,MATCH($P99,'07_Reviews'!$A$2:$A$1000,0)),""))</f>
        <v/>
      </c>
      <c r="F99">
        <f>IF($P99="","",IFERROR(INDEX('07_Reviews'!$F$2:$F$1000,MATCH($P99,'07_Reviews'!$A$2:$A$1000,0)),""))</f>
        <v/>
      </c>
      <c r="G99">
        <f>IF($P99="","",IFERROR(INDEX('10_Scoring'!$G$2:$G$1000,MATCH($P99,'10_Scoring'!$D$2:$D$1000,0)),""))</f>
        <v/>
      </c>
      <c r="H99">
        <f>IF($Q99="","",IFERROR(INDEX('07_Reviews'!$E$2:$E$1000,MATCH($Q99,'07_Reviews'!$A$2:$A$1000,0)),""))</f>
        <v/>
      </c>
      <c r="I99">
        <f>IF($Q99="","",IFERROR(INDEX('07_Reviews'!$F$2:$F$1000,MATCH($Q99,'07_Reviews'!$A$2:$A$1000,0)),""))</f>
        <v/>
      </c>
      <c r="J99">
        <f>IF($Q99="","",IFERROR(INDEX('10_Scoring'!$G$2:$G$1000,MATCH($Q99,'10_Scoring'!$D$2:$D$1000,0)),""))</f>
        <v/>
      </c>
      <c r="K99">
        <f>IF(OR($G99="",$J99=""),"",$J99-$G99)</f>
        <v/>
      </c>
      <c r="M99" s="11">
        <f>IF($P99="","",IFERROR(INDEX('07_Reviews'!$G$2:$G$1000,MATCH($P99,'07_Reviews'!$A$2:$A$1000,0)),""))</f>
        <v/>
      </c>
      <c r="N99" s="11">
        <f>IF($Q99="","",IFERROR(INDEX('07_Reviews'!$G$2:$G$1000,MATCH($Q99,'07_Reviews'!$A$2:$A$1000,0)),""))</f>
        <v/>
      </c>
      <c r="P99">
        <f>IF($B$77="","",IFERROR(INDEX('10_Scoring'!$D$2:$D$1000,MATCH(1,INDEX(('10_Scoring'!$B$2:$B$1000=$B$77)*('10_Scoring'!$C$2:$C$1000=$A99),0),0)),""))</f>
        <v/>
      </c>
      <c r="Q99">
        <f>IF($B$78="","",IFERROR(INDEX('10_Scoring'!$D$2:$D$1000,MATCH(1,INDEX(('10_Scoring'!$B$2:$B$1000=$B$78)*('10_Scoring'!$C$2:$C$1000=$A99),0),0)),""))</f>
        <v/>
      </c>
    </row>
    <row r="100" ht="60" customHeight="1">
      <c r="A100" t="inlineStr">
        <is>
          <t>W013</t>
        </is>
      </c>
      <c r="B100">
        <f>IFERROR(INDEX('01_Criteria'!$B$2:$B$1000,MATCH($A100,'01_Criteria'!$A$2:$A$1000,0)),"")</f>
        <v/>
      </c>
      <c r="C100">
        <f>IFERROR(INDEX('01_Criteria'!$C$2:$C$1000,MATCH($A100,'01_Criteria'!$A$2:$A$1000,0)),"")</f>
        <v/>
      </c>
      <c r="D100">
        <f>IFERROR(INDEX('01_Criteria'!$F$2:$F$1000,MATCH($A100,'01_Criteria'!$A$2:$A$1000,0)),"")</f>
        <v/>
      </c>
      <c r="E100">
        <f>IF($P100="","",IFERROR(INDEX('07_Reviews'!$E$2:$E$1000,MATCH($P100,'07_Reviews'!$A$2:$A$1000,0)),""))</f>
        <v/>
      </c>
      <c r="F100">
        <f>IF($P100="","",IFERROR(INDEX('07_Reviews'!$F$2:$F$1000,MATCH($P100,'07_Reviews'!$A$2:$A$1000,0)),""))</f>
        <v/>
      </c>
      <c r="G100">
        <f>IF($P100="","",IFERROR(INDEX('10_Scoring'!$G$2:$G$1000,MATCH($P100,'10_Scoring'!$D$2:$D$1000,0)),""))</f>
        <v/>
      </c>
      <c r="H100">
        <f>IF($Q100="","",IFERROR(INDEX('07_Reviews'!$E$2:$E$1000,MATCH($Q100,'07_Reviews'!$A$2:$A$1000,0)),""))</f>
        <v/>
      </c>
      <c r="I100">
        <f>IF($Q100="","",IFERROR(INDEX('07_Reviews'!$F$2:$F$1000,MATCH($Q100,'07_Reviews'!$A$2:$A$1000,0)),""))</f>
        <v/>
      </c>
      <c r="J100">
        <f>IF($Q100="","",IFERROR(INDEX('10_Scoring'!$G$2:$G$1000,MATCH($Q100,'10_Scoring'!$D$2:$D$1000,0)),""))</f>
        <v/>
      </c>
      <c r="K100">
        <f>IF(OR($G100="",$J100=""),"",$J100-$G100)</f>
        <v/>
      </c>
      <c r="M100" s="11">
        <f>IF($P100="","",IFERROR(INDEX('07_Reviews'!$G$2:$G$1000,MATCH($P100,'07_Reviews'!$A$2:$A$1000,0)),""))</f>
        <v/>
      </c>
      <c r="N100" s="11">
        <f>IF($Q100="","",IFERROR(INDEX('07_Reviews'!$G$2:$G$1000,MATCH($Q100,'07_Reviews'!$A$2:$A$1000,0)),""))</f>
        <v/>
      </c>
      <c r="P100">
        <f>IF($B$77="","",IFERROR(INDEX('10_Scoring'!$D$2:$D$1000,MATCH(1,INDEX(('10_Scoring'!$B$2:$B$1000=$B$77)*('10_Scoring'!$C$2:$C$1000=$A100),0),0)),""))</f>
        <v/>
      </c>
      <c r="Q100">
        <f>IF($B$78="","",IFERROR(INDEX('10_Scoring'!$D$2:$D$1000,MATCH(1,INDEX(('10_Scoring'!$B$2:$B$1000=$B$78)*('10_Scoring'!$C$2:$C$1000=$A100),0),0)),""))</f>
        <v/>
      </c>
    </row>
    <row r="101" ht="60" customHeight="1">
      <c r="A101" t="inlineStr">
        <is>
          <t>W014</t>
        </is>
      </c>
      <c r="B101">
        <f>IFERROR(INDEX('01_Criteria'!$B$2:$B$1000,MATCH($A101,'01_Criteria'!$A$2:$A$1000,0)),"")</f>
        <v/>
      </c>
      <c r="C101">
        <f>IFERROR(INDEX('01_Criteria'!$C$2:$C$1000,MATCH($A101,'01_Criteria'!$A$2:$A$1000,0)),"")</f>
        <v/>
      </c>
      <c r="D101">
        <f>IFERROR(INDEX('01_Criteria'!$F$2:$F$1000,MATCH($A101,'01_Criteria'!$A$2:$A$1000,0)),"")</f>
        <v/>
      </c>
      <c r="E101">
        <f>IF($P101="","",IFERROR(INDEX('07_Reviews'!$E$2:$E$1000,MATCH($P101,'07_Reviews'!$A$2:$A$1000,0)),""))</f>
        <v/>
      </c>
      <c r="F101">
        <f>IF($P101="","",IFERROR(INDEX('07_Reviews'!$F$2:$F$1000,MATCH($P101,'07_Reviews'!$A$2:$A$1000,0)),""))</f>
        <v/>
      </c>
      <c r="G101">
        <f>IF($P101="","",IFERROR(INDEX('10_Scoring'!$G$2:$G$1000,MATCH($P101,'10_Scoring'!$D$2:$D$1000,0)),""))</f>
        <v/>
      </c>
      <c r="H101">
        <f>IF($Q101="","",IFERROR(INDEX('07_Reviews'!$E$2:$E$1000,MATCH($Q101,'07_Reviews'!$A$2:$A$1000,0)),""))</f>
        <v/>
      </c>
      <c r="I101">
        <f>IF($Q101="","",IFERROR(INDEX('07_Reviews'!$F$2:$F$1000,MATCH($Q101,'07_Reviews'!$A$2:$A$1000,0)),""))</f>
        <v/>
      </c>
      <c r="J101">
        <f>IF($Q101="","",IFERROR(INDEX('10_Scoring'!$G$2:$G$1000,MATCH($Q101,'10_Scoring'!$D$2:$D$1000,0)),""))</f>
        <v/>
      </c>
      <c r="K101">
        <f>IF(OR($G101="",$J101=""),"",$J101-$G101)</f>
        <v/>
      </c>
      <c r="M101" s="11">
        <f>IF($P101="","",IFERROR(INDEX('07_Reviews'!$G$2:$G$1000,MATCH($P101,'07_Reviews'!$A$2:$A$1000,0)),""))</f>
        <v/>
      </c>
      <c r="N101" s="11">
        <f>IF($Q101="","",IFERROR(INDEX('07_Reviews'!$G$2:$G$1000,MATCH($Q101,'07_Reviews'!$A$2:$A$1000,0)),""))</f>
        <v/>
      </c>
      <c r="P101">
        <f>IF($B$77="","",IFERROR(INDEX('10_Scoring'!$D$2:$D$1000,MATCH(1,INDEX(('10_Scoring'!$B$2:$B$1000=$B$77)*('10_Scoring'!$C$2:$C$1000=$A101),0),0)),""))</f>
        <v/>
      </c>
      <c r="Q101">
        <f>IF($B$78="","",IFERROR(INDEX('10_Scoring'!$D$2:$D$1000,MATCH(1,INDEX(('10_Scoring'!$B$2:$B$1000=$B$78)*('10_Scoring'!$C$2:$C$1000=$A101),0),0)),""))</f>
        <v/>
      </c>
    </row>
    <row r="102" ht="60" customHeight="1">
      <c r="A102" t="inlineStr">
        <is>
          <t>W015</t>
        </is>
      </c>
      <c r="B102">
        <f>IFERROR(INDEX('01_Criteria'!$B$2:$B$1000,MATCH($A102,'01_Criteria'!$A$2:$A$1000,0)),"")</f>
        <v/>
      </c>
      <c r="C102">
        <f>IFERROR(INDEX('01_Criteria'!$C$2:$C$1000,MATCH($A102,'01_Criteria'!$A$2:$A$1000,0)),"")</f>
        <v/>
      </c>
      <c r="D102">
        <f>IFERROR(INDEX('01_Criteria'!$F$2:$F$1000,MATCH($A102,'01_Criteria'!$A$2:$A$1000,0)),"")</f>
        <v/>
      </c>
      <c r="E102">
        <f>IF($P102="","",IFERROR(INDEX('07_Reviews'!$E$2:$E$1000,MATCH($P102,'07_Reviews'!$A$2:$A$1000,0)),""))</f>
        <v/>
      </c>
      <c r="F102">
        <f>IF($P102="","",IFERROR(INDEX('07_Reviews'!$F$2:$F$1000,MATCH($P102,'07_Reviews'!$A$2:$A$1000,0)),""))</f>
        <v/>
      </c>
      <c r="G102">
        <f>IF($P102="","",IFERROR(INDEX('10_Scoring'!$G$2:$G$1000,MATCH($P102,'10_Scoring'!$D$2:$D$1000,0)),""))</f>
        <v/>
      </c>
      <c r="H102">
        <f>IF($Q102="","",IFERROR(INDEX('07_Reviews'!$E$2:$E$1000,MATCH($Q102,'07_Reviews'!$A$2:$A$1000,0)),""))</f>
        <v/>
      </c>
      <c r="I102">
        <f>IF($Q102="","",IFERROR(INDEX('07_Reviews'!$F$2:$F$1000,MATCH($Q102,'07_Reviews'!$A$2:$A$1000,0)),""))</f>
        <v/>
      </c>
      <c r="J102">
        <f>IF($Q102="","",IFERROR(INDEX('10_Scoring'!$G$2:$G$1000,MATCH($Q102,'10_Scoring'!$D$2:$D$1000,0)),""))</f>
        <v/>
      </c>
      <c r="K102">
        <f>IF(OR($G102="",$J102=""),"",$J102-$G102)</f>
        <v/>
      </c>
      <c r="M102" s="11">
        <f>IF($P102="","",IFERROR(INDEX('07_Reviews'!$G$2:$G$1000,MATCH($P102,'07_Reviews'!$A$2:$A$1000,0)),""))</f>
        <v/>
      </c>
      <c r="N102" s="11">
        <f>IF($Q102="","",IFERROR(INDEX('07_Reviews'!$G$2:$G$1000,MATCH($Q102,'07_Reviews'!$A$2:$A$1000,0)),""))</f>
        <v/>
      </c>
      <c r="P102">
        <f>IF($B$77="","",IFERROR(INDEX('10_Scoring'!$D$2:$D$1000,MATCH(1,INDEX(('10_Scoring'!$B$2:$B$1000=$B$77)*('10_Scoring'!$C$2:$C$1000=$A102),0),0)),""))</f>
        <v/>
      </c>
      <c r="Q102">
        <f>IF($B$78="","",IFERROR(INDEX('10_Scoring'!$D$2:$D$1000,MATCH(1,INDEX(('10_Scoring'!$B$2:$B$1000=$B$78)*('10_Scoring'!$C$2:$C$1000=$A102),0),0)),""))</f>
        <v/>
      </c>
    </row>
    <row r="103" ht="60" customHeight="1">
      <c r="A103" t="inlineStr">
        <is>
          <t>W016</t>
        </is>
      </c>
      <c r="B103">
        <f>IFERROR(INDEX('01_Criteria'!$B$2:$B$1000,MATCH($A103,'01_Criteria'!$A$2:$A$1000,0)),"")</f>
        <v/>
      </c>
      <c r="C103">
        <f>IFERROR(INDEX('01_Criteria'!$C$2:$C$1000,MATCH($A103,'01_Criteria'!$A$2:$A$1000,0)),"")</f>
        <v/>
      </c>
      <c r="D103">
        <f>IFERROR(INDEX('01_Criteria'!$F$2:$F$1000,MATCH($A103,'01_Criteria'!$A$2:$A$1000,0)),"")</f>
        <v/>
      </c>
      <c r="E103">
        <f>IF($P103="","",IFERROR(INDEX('07_Reviews'!$E$2:$E$1000,MATCH($P103,'07_Reviews'!$A$2:$A$1000,0)),""))</f>
        <v/>
      </c>
      <c r="F103">
        <f>IF($P103="","",IFERROR(INDEX('07_Reviews'!$F$2:$F$1000,MATCH($P103,'07_Reviews'!$A$2:$A$1000,0)),""))</f>
        <v/>
      </c>
      <c r="G103">
        <f>IF($P103="","",IFERROR(INDEX('10_Scoring'!$G$2:$G$1000,MATCH($P103,'10_Scoring'!$D$2:$D$1000,0)),""))</f>
        <v/>
      </c>
      <c r="H103">
        <f>IF($Q103="","",IFERROR(INDEX('07_Reviews'!$E$2:$E$1000,MATCH($Q103,'07_Reviews'!$A$2:$A$1000,0)),""))</f>
        <v/>
      </c>
      <c r="I103">
        <f>IF($Q103="","",IFERROR(INDEX('07_Reviews'!$F$2:$F$1000,MATCH($Q103,'07_Reviews'!$A$2:$A$1000,0)),""))</f>
        <v/>
      </c>
      <c r="J103">
        <f>IF($Q103="","",IFERROR(INDEX('10_Scoring'!$G$2:$G$1000,MATCH($Q103,'10_Scoring'!$D$2:$D$1000,0)),""))</f>
        <v/>
      </c>
      <c r="K103">
        <f>IF(OR($G103="",$J103=""),"",$J103-$G103)</f>
        <v/>
      </c>
      <c r="M103" s="11">
        <f>IF($P103="","",IFERROR(INDEX('07_Reviews'!$G$2:$G$1000,MATCH($P103,'07_Reviews'!$A$2:$A$1000,0)),""))</f>
        <v/>
      </c>
      <c r="N103" s="11">
        <f>IF($Q103="","",IFERROR(INDEX('07_Reviews'!$G$2:$G$1000,MATCH($Q103,'07_Reviews'!$A$2:$A$1000,0)),""))</f>
        <v/>
      </c>
      <c r="P103">
        <f>IF($B$77="","",IFERROR(INDEX('10_Scoring'!$D$2:$D$1000,MATCH(1,INDEX(('10_Scoring'!$B$2:$B$1000=$B$77)*('10_Scoring'!$C$2:$C$1000=$A103),0),0)),""))</f>
        <v/>
      </c>
      <c r="Q103">
        <f>IF($B$78="","",IFERROR(INDEX('10_Scoring'!$D$2:$D$1000,MATCH(1,INDEX(('10_Scoring'!$B$2:$B$1000=$B$78)*('10_Scoring'!$C$2:$C$1000=$A103),0),0)),""))</f>
        <v/>
      </c>
    </row>
    <row r="104" ht="60" customHeight="1">
      <c r="A104" t="inlineStr">
        <is>
          <t>W017</t>
        </is>
      </c>
      <c r="B104">
        <f>IFERROR(INDEX('01_Criteria'!$B$2:$B$1000,MATCH($A104,'01_Criteria'!$A$2:$A$1000,0)),"")</f>
        <v/>
      </c>
      <c r="C104">
        <f>IFERROR(INDEX('01_Criteria'!$C$2:$C$1000,MATCH($A104,'01_Criteria'!$A$2:$A$1000,0)),"")</f>
        <v/>
      </c>
      <c r="D104">
        <f>IFERROR(INDEX('01_Criteria'!$F$2:$F$1000,MATCH($A104,'01_Criteria'!$A$2:$A$1000,0)),"")</f>
        <v/>
      </c>
      <c r="E104">
        <f>IF($P104="","",IFERROR(INDEX('07_Reviews'!$E$2:$E$1000,MATCH($P104,'07_Reviews'!$A$2:$A$1000,0)),""))</f>
        <v/>
      </c>
      <c r="F104">
        <f>IF($P104="","",IFERROR(INDEX('07_Reviews'!$F$2:$F$1000,MATCH($P104,'07_Reviews'!$A$2:$A$1000,0)),""))</f>
        <v/>
      </c>
      <c r="G104">
        <f>IF($P104="","",IFERROR(INDEX('10_Scoring'!$G$2:$G$1000,MATCH($P104,'10_Scoring'!$D$2:$D$1000,0)),""))</f>
        <v/>
      </c>
      <c r="H104">
        <f>IF($Q104="","",IFERROR(INDEX('07_Reviews'!$E$2:$E$1000,MATCH($Q104,'07_Reviews'!$A$2:$A$1000,0)),""))</f>
        <v/>
      </c>
      <c r="I104">
        <f>IF($Q104="","",IFERROR(INDEX('07_Reviews'!$F$2:$F$1000,MATCH($Q104,'07_Reviews'!$A$2:$A$1000,0)),""))</f>
        <v/>
      </c>
      <c r="J104">
        <f>IF($Q104="","",IFERROR(INDEX('10_Scoring'!$G$2:$G$1000,MATCH($Q104,'10_Scoring'!$D$2:$D$1000,0)),""))</f>
        <v/>
      </c>
      <c r="K104">
        <f>IF(OR($G104="",$J104=""),"",$J104-$G104)</f>
        <v/>
      </c>
      <c r="M104" s="11">
        <f>IF($P104="","",IFERROR(INDEX('07_Reviews'!$G$2:$G$1000,MATCH($P104,'07_Reviews'!$A$2:$A$1000,0)),""))</f>
        <v/>
      </c>
      <c r="N104" s="11">
        <f>IF($Q104="","",IFERROR(INDEX('07_Reviews'!$G$2:$G$1000,MATCH($Q104,'07_Reviews'!$A$2:$A$1000,0)),""))</f>
        <v/>
      </c>
      <c r="P104">
        <f>IF($B$77="","",IFERROR(INDEX('10_Scoring'!$D$2:$D$1000,MATCH(1,INDEX(('10_Scoring'!$B$2:$B$1000=$B$77)*('10_Scoring'!$C$2:$C$1000=$A104),0),0)),""))</f>
        <v/>
      </c>
      <c r="Q104">
        <f>IF($B$78="","",IFERROR(INDEX('10_Scoring'!$D$2:$D$1000,MATCH(1,INDEX(('10_Scoring'!$B$2:$B$1000=$B$78)*('10_Scoring'!$C$2:$C$1000=$A104),0),0)),""))</f>
        <v/>
      </c>
    </row>
    <row r="105" ht="60" customHeight="1">
      <c r="A105" t="inlineStr">
        <is>
          <t>W018</t>
        </is>
      </c>
      <c r="B105">
        <f>IFERROR(INDEX('01_Criteria'!$B$2:$B$1000,MATCH($A105,'01_Criteria'!$A$2:$A$1000,0)),"")</f>
        <v/>
      </c>
      <c r="C105">
        <f>IFERROR(INDEX('01_Criteria'!$C$2:$C$1000,MATCH($A105,'01_Criteria'!$A$2:$A$1000,0)),"")</f>
        <v/>
      </c>
      <c r="D105">
        <f>IFERROR(INDEX('01_Criteria'!$F$2:$F$1000,MATCH($A105,'01_Criteria'!$A$2:$A$1000,0)),"")</f>
        <v/>
      </c>
      <c r="E105">
        <f>IF($P105="","",IFERROR(INDEX('07_Reviews'!$E$2:$E$1000,MATCH($P105,'07_Reviews'!$A$2:$A$1000,0)),""))</f>
        <v/>
      </c>
      <c r="F105">
        <f>IF($P105="","",IFERROR(INDEX('07_Reviews'!$F$2:$F$1000,MATCH($P105,'07_Reviews'!$A$2:$A$1000,0)),""))</f>
        <v/>
      </c>
      <c r="G105">
        <f>IF($P105="","",IFERROR(INDEX('10_Scoring'!$G$2:$G$1000,MATCH($P105,'10_Scoring'!$D$2:$D$1000,0)),""))</f>
        <v/>
      </c>
      <c r="H105">
        <f>IF($Q105="","",IFERROR(INDEX('07_Reviews'!$E$2:$E$1000,MATCH($Q105,'07_Reviews'!$A$2:$A$1000,0)),""))</f>
        <v/>
      </c>
      <c r="I105">
        <f>IF($Q105="","",IFERROR(INDEX('07_Reviews'!$F$2:$F$1000,MATCH($Q105,'07_Reviews'!$A$2:$A$1000,0)),""))</f>
        <v/>
      </c>
      <c r="J105">
        <f>IF($Q105="","",IFERROR(INDEX('10_Scoring'!$G$2:$G$1000,MATCH($Q105,'10_Scoring'!$D$2:$D$1000,0)),""))</f>
        <v/>
      </c>
      <c r="K105">
        <f>IF(OR($G105="",$J105=""),"",$J105-$G105)</f>
        <v/>
      </c>
      <c r="M105" s="11">
        <f>IF($P105="","",IFERROR(INDEX('07_Reviews'!$G$2:$G$1000,MATCH($P105,'07_Reviews'!$A$2:$A$1000,0)),""))</f>
        <v/>
      </c>
      <c r="N105" s="11">
        <f>IF($Q105="","",IFERROR(INDEX('07_Reviews'!$G$2:$G$1000,MATCH($Q105,'07_Reviews'!$A$2:$A$1000,0)),""))</f>
        <v/>
      </c>
      <c r="P105">
        <f>IF($B$77="","",IFERROR(INDEX('10_Scoring'!$D$2:$D$1000,MATCH(1,INDEX(('10_Scoring'!$B$2:$B$1000=$B$77)*('10_Scoring'!$C$2:$C$1000=$A105),0),0)),""))</f>
        <v/>
      </c>
      <c r="Q105">
        <f>IF($B$78="","",IFERROR(INDEX('10_Scoring'!$D$2:$D$1000,MATCH(1,INDEX(('10_Scoring'!$B$2:$B$1000=$B$78)*('10_Scoring'!$C$2:$C$1000=$A105),0),0)),""))</f>
        <v/>
      </c>
    </row>
    <row r="106" ht="60" customHeight="1">
      <c r="A106" t="inlineStr">
        <is>
          <t>W019</t>
        </is>
      </c>
      <c r="B106">
        <f>IFERROR(INDEX('01_Criteria'!$B$2:$B$1000,MATCH($A106,'01_Criteria'!$A$2:$A$1000,0)),"")</f>
        <v/>
      </c>
      <c r="C106">
        <f>IFERROR(INDEX('01_Criteria'!$C$2:$C$1000,MATCH($A106,'01_Criteria'!$A$2:$A$1000,0)),"")</f>
        <v/>
      </c>
      <c r="D106">
        <f>IFERROR(INDEX('01_Criteria'!$F$2:$F$1000,MATCH($A106,'01_Criteria'!$A$2:$A$1000,0)),"")</f>
        <v/>
      </c>
      <c r="E106">
        <f>IF($P106="","",IFERROR(INDEX('07_Reviews'!$E$2:$E$1000,MATCH($P106,'07_Reviews'!$A$2:$A$1000,0)),""))</f>
        <v/>
      </c>
      <c r="F106">
        <f>IF($P106="","",IFERROR(INDEX('07_Reviews'!$F$2:$F$1000,MATCH($P106,'07_Reviews'!$A$2:$A$1000,0)),""))</f>
        <v/>
      </c>
      <c r="G106">
        <f>IF($P106="","",IFERROR(INDEX('10_Scoring'!$G$2:$G$1000,MATCH($P106,'10_Scoring'!$D$2:$D$1000,0)),""))</f>
        <v/>
      </c>
      <c r="H106">
        <f>IF($Q106="","",IFERROR(INDEX('07_Reviews'!$E$2:$E$1000,MATCH($Q106,'07_Reviews'!$A$2:$A$1000,0)),""))</f>
        <v/>
      </c>
      <c r="I106">
        <f>IF($Q106="","",IFERROR(INDEX('07_Reviews'!$F$2:$F$1000,MATCH($Q106,'07_Reviews'!$A$2:$A$1000,0)),""))</f>
        <v/>
      </c>
      <c r="J106">
        <f>IF($Q106="","",IFERROR(INDEX('10_Scoring'!$G$2:$G$1000,MATCH($Q106,'10_Scoring'!$D$2:$D$1000,0)),""))</f>
        <v/>
      </c>
      <c r="K106">
        <f>IF(OR($G106="",$J106=""),"",$J106-$G106)</f>
        <v/>
      </c>
      <c r="M106" s="11">
        <f>IF($P106="","",IFERROR(INDEX('07_Reviews'!$G$2:$G$1000,MATCH($P106,'07_Reviews'!$A$2:$A$1000,0)),""))</f>
        <v/>
      </c>
      <c r="N106" s="11">
        <f>IF($Q106="","",IFERROR(INDEX('07_Reviews'!$G$2:$G$1000,MATCH($Q106,'07_Reviews'!$A$2:$A$1000,0)),""))</f>
        <v/>
      </c>
      <c r="P106">
        <f>IF($B$77="","",IFERROR(INDEX('10_Scoring'!$D$2:$D$1000,MATCH(1,INDEX(('10_Scoring'!$B$2:$B$1000=$B$77)*('10_Scoring'!$C$2:$C$1000=$A106),0),0)),""))</f>
        <v/>
      </c>
      <c r="Q106">
        <f>IF($B$78="","",IFERROR(INDEX('10_Scoring'!$D$2:$D$1000,MATCH(1,INDEX(('10_Scoring'!$B$2:$B$1000=$B$78)*('10_Scoring'!$C$2:$C$1000=$A106),0),0)),""))</f>
        <v/>
      </c>
    </row>
    <row r="107" ht="60" customHeight="1">
      <c r="A107" t="inlineStr">
        <is>
          <t>W020</t>
        </is>
      </c>
      <c r="B107">
        <f>IFERROR(INDEX('01_Criteria'!$B$2:$B$1000,MATCH($A107,'01_Criteria'!$A$2:$A$1000,0)),"")</f>
        <v/>
      </c>
      <c r="C107">
        <f>IFERROR(INDEX('01_Criteria'!$C$2:$C$1000,MATCH($A107,'01_Criteria'!$A$2:$A$1000,0)),"")</f>
        <v/>
      </c>
      <c r="D107">
        <f>IFERROR(INDEX('01_Criteria'!$F$2:$F$1000,MATCH($A107,'01_Criteria'!$A$2:$A$1000,0)),"")</f>
        <v/>
      </c>
      <c r="E107">
        <f>IF($P107="","",IFERROR(INDEX('07_Reviews'!$E$2:$E$1000,MATCH($P107,'07_Reviews'!$A$2:$A$1000,0)),""))</f>
        <v/>
      </c>
      <c r="F107">
        <f>IF($P107="","",IFERROR(INDEX('07_Reviews'!$F$2:$F$1000,MATCH($P107,'07_Reviews'!$A$2:$A$1000,0)),""))</f>
        <v/>
      </c>
      <c r="G107">
        <f>IF($P107="","",IFERROR(INDEX('10_Scoring'!$G$2:$G$1000,MATCH($P107,'10_Scoring'!$D$2:$D$1000,0)),""))</f>
        <v/>
      </c>
      <c r="H107">
        <f>IF($Q107="","",IFERROR(INDEX('07_Reviews'!$E$2:$E$1000,MATCH($Q107,'07_Reviews'!$A$2:$A$1000,0)),""))</f>
        <v/>
      </c>
      <c r="I107">
        <f>IF($Q107="","",IFERROR(INDEX('07_Reviews'!$F$2:$F$1000,MATCH($Q107,'07_Reviews'!$A$2:$A$1000,0)),""))</f>
        <v/>
      </c>
      <c r="J107">
        <f>IF($Q107="","",IFERROR(INDEX('10_Scoring'!$G$2:$G$1000,MATCH($Q107,'10_Scoring'!$D$2:$D$1000,0)),""))</f>
        <v/>
      </c>
      <c r="K107">
        <f>IF(OR($G107="",$J107=""),"",$J107-$G107)</f>
        <v/>
      </c>
      <c r="M107" s="11">
        <f>IF($P107="","",IFERROR(INDEX('07_Reviews'!$G$2:$G$1000,MATCH($P107,'07_Reviews'!$A$2:$A$1000,0)),""))</f>
        <v/>
      </c>
      <c r="N107" s="11">
        <f>IF($Q107="","",IFERROR(INDEX('07_Reviews'!$G$2:$G$1000,MATCH($Q107,'07_Reviews'!$A$2:$A$1000,0)),""))</f>
        <v/>
      </c>
      <c r="P107">
        <f>IF($B$77="","",IFERROR(INDEX('10_Scoring'!$D$2:$D$1000,MATCH(1,INDEX(('10_Scoring'!$B$2:$B$1000=$B$77)*('10_Scoring'!$C$2:$C$1000=$A107),0),0)),""))</f>
        <v/>
      </c>
      <c r="Q107">
        <f>IF($B$78="","",IFERROR(INDEX('10_Scoring'!$D$2:$D$1000,MATCH(1,INDEX(('10_Scoring'!$B$2:$B$1000=$B$78)*('10_Scoring'!$C$2:$C$1000=$A107),0),0)),""))</f>
        <v/>
      </c>
    </row>
    <row r="109">
      <c r="A109" s="4" t="inlineStr">
        <is>
          <t>Hard Requirement Comparison</t>
        </is>
      </c>
    </row>
    <row r="110">
      <c r="A110" s="10" t="inlineStr">
        <is>
          <t>CriterionID</t>
        </is>
      </c>
      <c r="B110" s="10" t="inlineStr">
        <is>
          <t>Requirement</t>
        </is>
      </c>
      <c r="C110" s="10" t="inlineStr">
        <is>
          <t>A: Result</t>
        </is>
      </c>
      <c r="D110" s="10" t="inlineStr">
        <is>
          <t>A: Reason</t>
        </is>
      </c>
      <c r="E110" s="10" t="inlineStr">
        <is>
          <t>B: Result</t>
        </is>
      </c>
      <c r="F110" s="10" t="inlineStr">
        <is>
          <t>B: Reason</t>
        </is>
      </c>
    </row>
    <row r="111">
      <c r="A111" t="inlineStr">
        <is>
          <t>M001</t>
        </is>
      </c>
      <c r="B111">
        <f>IFERROR(INDEX('01_Criteria'!$C$2:$C$1000,MATCH($A111,'01_Criteria'!$A$2:$A$1000,0)),"")</f>
        <v/>
      </c>
      <c r="C111">
        <f>IF($B$77="","",IFERROR(INDEX('14_HardRequirementResults'!$D$2:$D$1000,MATCH(1,INDEX(('14_HardRequirementResults'!$B$2:$B$1000=$B$77)*('14_HardRequirementResults'!$C$2:$C$1000=$A111),0),0)),""))</f>
        <v/>
      </c>
      <c r="D111" s="11">
        <f>IF($B$77="","",IFERROR(INDEX('14_HardRequirementResults'!$F$2:$F$1000,MATCH(1,INDEX(('14_HardRequirementResults'!$B$2:$B$1000=$B$77)*('14_HardRequirementResults'!$C$2:$C$1000=$A111),0),0)),""))</f>
        <v/>
      </c>
      <c r="E111">
        <f>IF($B$78="","",IFERROR(INDEX('14_HardRequirementResults'!$D$2:$D$1000,MATCH(1,INDEX(('14_HardRequirementResults'!$B$2:$B$1000=$B$78)*('14_HardRequirementResults'!$C$2:$C$1000=$A111),0),0)),""))</f>
        <v/>
      </c>
      <c r="F111" s="11">
        <f>IF($B$78="","",IFERROR(INDEX('14_HardRequirementResults'!$F$2:$F$1000,MATCH(1,INDEX(('14_HardRequirementResults'!$B$2:$B$1000=$B$78)*('14_HardRequirementResults'!$C$2:$C$1000=$A111),0),0)),""))</f>
        <v/>
      </c>
    </row>
    <row r="112">
      <c r="A112" t="inlineStr">
        <is>
          <t>M002</t>
        </is>
      </c>
      <c r="B112">
        <f>IFERROR(INDEX('01_Criteria'!$C$2:$C$1000,MATCH($A112,'01_Criteria'!$A$2:$A$1000,0)),"")</f>
        <v/>
      </c>
      <c r="C112">
        <f>IF($B$77="","",IFERROR(INDEX('14_HardRequirementResults'!$D$2:$D$1000,MATCH(1,INDEX(('14_HardRequirementResults'!$B$2:$B$1000=$B$77)*('14_HardRequirementResults'!$C$2:$C$1000=$A112),0),0)),""))</f>
        <v/>
      </c>
      <c r="D112" s="11">
        <f>IF($B$77="","",IFERROR(INDEX('14_HardRequirementResults'!$F$2:$F$1000,MATCH(1,INDEX(('14_HardRequirementResults'!$B$2:$B$1000=$B$77)*('14_HardRequirementResults'!$C$2:$C$1000=$A112),0),0)),""))</f>
        <v/>
      </c>
      <c r="E112">
        <f>IF($B$78="","",IFERROR(INDEX('14_HardRequirementResults'!$D$2:$D$1000,MATCH(1,INDEX(('14_HardRequirementResults'!$B$2:$B$1000=$B$78)*('14_HardRequirementResults'!$C$2:$C$1000=$A112),0),0)),""))</f>
        <v/>
      </c>
      <c r="F112" s="11">
        <f>IF($B$78="","",IFERROR(INDEX('14_HardRequirementResults'!$F$2:$F$1000,MATCH(1,INDEX(('14_HardRequirementResults'!$B$2:$B$1000=$B$78)*('14_HardRequirementResults'!$C$2:$C$1000=$A112),0),0)),""))</f>
        <v/>
      </c>
    </row>
    <row r="113">
      <c r="A113" t="inlineStr">
        <is>
          <t>M003</t>
        </is>
      </c>
      <c r="B113">
        <f>IFERROR(INDEX('01_Criteria'!$C$2:$C$1000,MATCH($A113,'01_Criteria'!$A$2:$A$1000,0)),"")</f>
        <v/>
      </c>
      <c r="C113">
        <f>IF($B$77="","",IFERROR(INDEX('14_HardRequirementResults'!$D$2:$D$1000,MATCH(1,INDEX(('14_HardRequirementResults'!$B$2:$B$1000=$B$77)*('14_HardRequirementResults'!$C$2:$C$1000=$A113),0),0)),""))</f>
        <v/>
      </c>
      <c r="D113" s="11">
        <f>IF($B$77="","",IFERROR(INDEX('14_HardRequirementResults'!$F$2:$F$1000,MATCH(1,INDEX(('14_HardRequirementResults'!$B$2:$B$1000=$B$77)*('14_HardRequirementResults'!$C$2:$C$1000=$A113),0),0)),""))</f>
        <v/>
      </c>
      <c r="E113">
        <f>IF($B$78="","",IFERROR(INDEX('14_HardRequirementResults'!$D$2:$D$1000,MATCH(1,INDEX(('14_HardRequirementResults'!$B$2:$B$1000=$B$78)*('14_HardRequirementResults'!$C$2:$C$1000=$A113),0),0)),""))</f>
        <v/>
      </c>
      <c r="F113" s="11">
        <f>IF($B$78="","",IFERROR(INDEX('14_HardRequirementResults'!$F$2:$F$1000,MATCH(1,INDEX(('14_HardRequirementResults'!$B$2:$B$1000=$B$78)*('14_HardRequirementResults'!$C$2:$C$1000=$A113),0),0)),""))</f>
        <v/>
      </c>
    </row>
    <row r="114">
      <c r="A114" t="inlineStr">
        <is>
          <t>M004</t>
        </is>
      </c>
      <c r="B114">
        <f>IFERROR(INDEX('01_Criteria'!$C$2:$C$1000,MATCH($A114,'01_Criteria'!$A$2:$A$1000,0)),"")</f>
        <v/>
      </c>
      <c r="C114">
        <f>IF($B$77="","",IFERROR(INDEX('14_HardRequirementResults'!$D$2:$D$1000,MATCH(1,INDEX(('14_HardRequirementResults'!$B$2:$B$1000=$B$77)*('14_HardRequirementResults'!$C$2:$C$1000=$A114),0),0)),""))</f>
        <v/>
      </c>
      <c r="D114" s="11">
        <f>IF($B$77="","",IFERROR(INDEX('14_HardRequirementResults'!$F$2:$F$1000,MATCH(1,INDEX(('14_HardRequirementResults'!$B$2:$B$1000=$B$77)*('14_HardRequirementResults'!$C$2:$C$1000=$A114),0),0)),""))</f>
        <v/>
      </c>
      <c r="E114">
        <f>IF($B$78="","",IFERROR(INDEX('14_HardRequirementResults'!$D$2:$D$1000,MATCH(1,INDEX(('14_HardRequirementResults'!$B$2:$B$1000=$B$78)*('14_HardRequirementResults'!$C$2:$C$1000=$A114),0),0)),""))</f>
        <v/>
      </c>
      <c r="F114" s="11">
        <f>IF($B$78="","",IFERROR(INDEX('14_HardRequirementResults'!$F$2:$F$1000,MATCH(1,INDEX(('14_HardRequirementResults'!$B$2:$B$1000=$B$78)*('14_HardRequirementResults'!$C$2:$C$1000=$A114),0),0)),""))</f>
        <v/>
      </c>
    </row>
    <row r="115">
      <c r="A115" t="inlineStr">
        <is>
          <t>M005</t>
        </is>
      </c>
      <c r="B115">
        <f>IFERROR(INDEX('01_Criteria'!$C$2:$C$1000,MATCH($A115,'01_Criteria'!$A$2:$A$1000,0)),"")</f>
        <v/>
      </c>
      <c r="C115">
        <f>IF($B$77="","",IFERROR(INDEX('14_HardRequirementResults'!$D$2:$D$1000,MATCH(1,INDEX(('14_HardRequirementResults'!$B$2:$B$1000=$B$77)*('14_HardRequirementResults'!$C$2:$C$1000=$A115),0),0)),""))</f>
        <v/>
      </c>
      <c r="D115" s="11">
        <f>IF($B$77="","",IFERROR(INDEX('14_HardRequirementResults'!$F$2:$F$1000,MATCH(1,INDEX(('14_HardRequirementResults'!$B$2:$B$1000=$B$77)*('14_HardRequirementResults'!$C$2:$C$1000=$A115),0),0)),""))</f>
        <v/>
      </c>
      <c r="E115">
        <f>IF($B$78="","",IFERROR(INDEX('14_HardRequirementResults'!$D$2:$D$1000,MATCH(1,INDEX(('14_HardRequirementResults'!$B$2:$B$1000=$B$78)*('14_HardRequirementResults'!$C$2:$C$1000=$A115),0),0)),""))</f>
        <v/>
      </c>
      <c r="F115" s="11">
        <f>IF($B$78="","",IFERROR(INDEX('14_HardRequirementResults'!$F$2:$F$1000,MATCH(1,INDEX(('14_HardRequirementResults'!$B$2:$B$1000=$B$78)*('14_HardRequirementResults'!$C$2:$C$1000=$A115),0),0)),""))</f>
        <v/>
      </c>
    </row>
  </sheetData>
  <mergeCells count="7">
    <mergeCell ref="A27:N27"/>
    <mergeCell ref="A74:Q74"/>
    <mergeCell ref="A4:N4"/>
    <mergeCell ref="A2:N2"/>
    <mergeCell ref="A51:N51"/>
    <mergeCell ref="A75:Q75"/>
    <mergeCell ref="A1:N1"/>
  </mergeCells>
  <conditionalFormatting sqref="B53:F72">
    <cfRule type="colorScale" priority="1">
      <colorScale>
        <cfvo type="num" val="0"/>
        <cfvo type="num" val="3"/>
        <cfvo type="num" val="10"/>
        <color rgb="FFF8696B"/>
        <color rgb="FFFFEB84"/>
        <color rgb="FF63BE7B"/>
      </colorScale>
    </cfRule>
  </conditionalFormatting>
  <dataValidations count="1">
    <dataValidation sqref="B77 B78" showDropDown="0" showInputMessage="0" showErrorMessage="0" allowBlank="1" type="list">
      <formula1>='03_Configurations'!$A$2:$A$21</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2026-07-08T15:16:22Z</dcterms:modified>
  <cp:lastModifiedBy>Codex</cp:lastModifiedBy>
  <cp:keywords>EV Decision Framework; FrameworkVersion 1.0; workbook schema</cp:keywords>
</cp:coreProperties>
</file>