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 name="15_Dashboard" sheetId="16" state="visible" r:id="rId16"/>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Enum_Language">'README'!$AL$2:$AL$4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7">
    <font>
      <name val="Aptos"/>
      <family val="2"/>
      <color theme="1"/>
      <sz val="11"/>
    </font>
    <font>
      <name val="Aptos"/>
      <family val="2"/>
      <b val="1"/>
      <color rgb="FFFFFFFF"/>
      <sz val="11"/>
    </font>
    <font>
      <name val="Aptos"/>
      <b val="1"/>
      <color rgb="FF1F4E78"/>
      <sz val="16"/>
    </font>
    <font>
      <name val="Aptos"/>
      <i val="1"/>
      <color rgb="FF666666"/>
      <sz val="10"/>
    </font>
    <font>
      <name val="Aptos"/>
      <b val="1"/>
      <color rgb="FF1F4E78"/>
      <sz val="13"/>
    </font>
    <font>
      <name val="Aptos"/>
      <i val="1"/>
      <color rgb="FF888888"/>
      <sz val="9"/>
    </font>
    <font>
      <name val="Aptos"/>
      <sz val="10"/>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5"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Category Breakdown - WeightedScore by Configuration</a:t>
            </a:r>
          </a:p>
        </rich>
      </tx>
    </title>
    <plotArea>
      <barChart>
        <barDir val="col"/>
        <grouping val="clustered"/>
        <ser>
          <idx val="0"/>
          <order val="0"/>
          <tx>
            <strRef>
              <f>'15_Dashboard'!$A$29</f>
            </strRef>
          </tx>
          <spPr>
            <a:ln>
              <a:prstDash val="solid"/>
            </a:ln>
          </spPr>
          <cat>
            <numRef>
              <f>'15_Dashboard'!$B$28:$I$28</f>
            </numRef>
          </cat>
          <val>
            <numRef>
              <f>'15_Dashboard'!$B$29:$I$29</f>
            </numRef>
          </val>
        </ser>
        <ser>
          <idx val="1"/>
          <order val="1"/>
          <tx>
            <strRef>
              <f>'15_Dashboard'!$A$30</f>
            </strRef>
          </tx>
          <spPr>
            <a:ln>
              <a:prstDash val="solid"/>
            </a:ln>
          </spPr>
          <cat>
            <numRef>
              <f>'15_Dashboard'!$B$28:$I$28</f>
            </numRef>
          </cat>
          <val>
            <numRef>
              <f>'15_Dashboard'!$B$30:$I$30</f>
            </numRef>
          </val>
        </ser>
        <ser>
          <idx val="2"/>
          <order val="2"/>
          <tx>
            <strRef>
              <f>'15_Dashboard'!$A$31</f>
            </strRef>
          </tx>
          <spPr>
            <a:ln>
              <a:prstDash val="solid"/>
            </a:ln>
          </spPr>
          <cat>
            <numRef>
              <f>'15_Dashboard'!$B$28:$I$28</f>
            </numRef>
          </cat>
          <val>
            <numRef>
              <f>'15_Dashboard'!$B$31:$I$31</f>
            </numRef>
          </val>
        </ser>
        <ser>
          <idx val="3"/>
          <order val="3"/>
          <tx>
            <strRef>
              <f>'15_Dashboard'!$A$32</f>
            </strRef>
          </tx>
          <spPr>
            <a:ln>
              <a:prstDash val="solid"/>
            </a:ln>
          </spPr>
          <cat>
            <numRef>
              <f>'15_Dashboard'!$B$28:$I$28</f>
            </numRef>
          </cat>
          <val>
            <numRef>
              <f>'15_Dashboard'!$B$32:$I$32</f>
            </numRef>
          </val>
        </ser>
        <ser>
          <idx val="4"/>
          <order val="4"/>
          <tx>
            <strRef>
              <f>'15_Dashboard'!$A$33</f>
            </strRef>
          </tx>
          <spPr>
            <a:ln>
              <a:prstDash val="solid"/>
            </a:ln>
          </spPr>
          <cat>
            <numRef>
              <f>'15_Dashboard'!$B$28:$I$28</f>
            </numRef>
          </cat>
          <val>
            <numRef>
              <f>'15_Dashboard'!$B$33:$I$33</f>
            </numRef>
          </val>
        </ser>
        <ser>
          <idx val="5"/>
          <order val="5"/>
          <tx>
            <strRef>
              <f>'15_Dashboard'!$A$34</f>
            </strRef>
          </tx>
          <spPr>
            <a:ln>
              <a:prstDash val="solid"/>
            </a:ln>
          </spPr>
          <cat>
            <numRef>
              <f>'15_Dashboard'!$B$28:$I$28</f>
            </numRef>
          </cat>
          <val>
            <numRef>
              <f>'15_Dashboard'!$B$34:$I$34</f>
            </numRef>
          </val>
        </ser>
        <gapWidth val="150"/>
        <overlap val="-10"/>
        <axId val="10"/>
        <axId val="100"/>
      </barChart>
      <catAx>
        <axId val="10"/>
        <scaling>
          <orientation val="minMax"/>
        </scaling>
        <axPos val="l"/>
        <title>
          <tx>
            <rich>
              <a:bodyPr/>
              <a:p>
                <a:pPr>
                  <a:defRPr/>
                </a:pPr>
                <a:r>
                  <a:t>Category</a:t>
                </a:r>
              </a:p>
            </rich>
          </tx>
        </title>
        <majorTickMark val="none"/>
        <minorTickMark val="none"/>
        <crossAx val="100"/>
        <lblOffset val="100"/>
      </catAx>
      <valAx>
        <axId val="100"/>
        <scaling>
          <orientation val="minMax"/>
        </scaling>
        <axPos val="l"/>
        <majorGridlines/>
        <title>
          <tx>
            <rich>
              <a:bodyPr/>
              <a:p>
                <a:pPr>
                  <a:defRPr/>
                </a:pPr>
                <a:r>
                  <a:t>Summed WeightedScore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L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c r="AL1" t="inlineStr">
        <is>
          <t>Enum_Language</t>
        </is>
      </c>
    </row>
    <row r="2">
      <c r="A2" t="inlineStr">
        <is>
          <t>WorkbookVersion</t>
        </is>
      </c>
      <c r="B2" t="inlineStr">
        <is>
          <t>1.8</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c r="AL2" t="inlineStr">
        <is>
          <t>NB</t>
        </is>
      </c>
    </row>
    <row r="3">
      <c r="A3" t="inlineStr">
        <is>
          <t>FrameworkVersion</t>
        </is>
      </c>
      <c r="B3" t="inlineStr">
        <is>
          <t>1.8</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c r="AL3" t="inlineStr">
        <is>
          <t>EN</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c r="AL4" t="inlineStr">
        <is>
          <t>OTHER</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n">
        <v>0</v>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n">
        <v>0</v>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n">
        <v>0</v>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n">
        <v>0</v>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n">
        <v>0</v>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n">
        <v>8</v>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n">
        <v>7</v>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n">
        <v>5</v>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n">
        <v>5</v>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n">
        <v>7</v>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n">
        <v>4</v>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n">
        <v>3</v>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n">
        <v>5</v>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n">
        <v>3</v>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n">
        <v>5</v>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n">
        <v>5</v>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n">
        <v>5</v>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n">
        <v>3</v>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n">
        <v>6</v>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n">
        <v>5</v>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n">
        <v>4</v>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n">
        <v>10</v>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n">
        <v>5</v>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n">
        <v>3</v>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n">
        <v>2</v>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n">
        <v>0</v>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n">
        <v>0</v>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n">
        <v>0</v>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n">
        <v>0</v>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row r="7">
      <c r="A7" t="inlineStr">
        <is>
          <t>BYD_ATTO3</t>
        </is>
      </c>
      <c r="B7" t="inlineStr">
        <is>
          <t>BYD</t>
        </is>
      </c>
      <c r="C7" t="inlineStr">
        <is>
          <t>Atto 3</t>
        </is>
      </c>
      <c r="D7" t="inlineStr">
        <is>
          <t>UNKNOWN</t>
        </is>
      </c>
      <c r="E7" t="inlineStr">
        <is>
          <t>UNKNOWN</t>
        </is>
      </c>
      <c r="F7" t="inlineStr">
        <is>
          <t>AVAILABLE</t>
        </is>
      </c>
      <c r="G7" t="inlineStr">
        <is>
          <t>BYD Norge offisiell modellside sett 2026-07-07: https://byd.no/modeller/atto3. To utstyrsnivåer (Comfort, Design), ett batteri/drivverk (60 kWh, forhjulsdrift). Modellår og plattform ikke spesifisert i kildegrunnlaget. Skilt fra det separat markedsførte BYD EVO 4x4 (byd.no/modeller/evo-4x4), som ikke er del av denne sammenligningen.</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1"/>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c r="I8" t="inlineStr">
        <is>
          <t>FALSE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c r="I19" t="inlineStr">
        <is>
          <t>FALSE</t>
        </is>
      </c>
    </row>
    <row r="20">
      <c r="A20" t="inlineStr">
        <is>
          <t>BYD_ATTO3_COMFORT</t>
        </is>
      </c>
      <c r="B20" t="inlineStr">
        <is>
          <t>BYD_ATTO3</t>
        </is>
      </c>
      <c r="C20" t="inlineStr">
        <is>
          <t>NO</t>
        </is>
      </c>
      <c r="D20" t="inlineStr">
        <is>
          <t>AVAILABLE</t>
        </is>
      </c>
      <c r="E20" t="inlineStr">
        <is>
          <t>Comfort</t>
        </is>
      </c>
      <c r="F20" t="n">
        <v>365920</v>
      </c>
      <c r="G20" t="n">
        <v>365920</v>
      </c>
      <c r="H20" t="inlineStr">
        <is>
          <t>BYD Norge offisiell prisliste sett 2026-07-07: https://byd.no/modeller/atto3. Møter alle sjekkede Hard Requirements - se 14_HardRequirementResults. M003 forblir Ukjent.</t>
        </is>
      </c>
      <c r="I20" t="inlineStr">
        <is>
          <t>FALSE</t>
        </is>
      </c>
    </row>
    <row r="21">
      <c r="A21" t="inlineStr">
        <is>
          <t>BYD_ATTO3_DESIGN</t>
        </is>
      </c>
      <c r="B21" t="inlineStr">
        <is>
          <t>BYD_ATTO3</t>
        </is>
      </c>
      <c r="C21" t="inlineStr">
        <is>
          <t>NO</t>
        </is>
      </c>
      <c r="D21" t="inlineStr">
        <is>
          <t>AVAILABLE</t>
        </is>
      </c>
      <c r="E21" t="inlineStr">
        <is>
          <t>Design</t>
        </is>
      </c>
      <c r="F21" t="n">
        <v>389920</v>
      </c>
      <c r="G21" t="n">
        <v>389920</v>
      </c>
      <c r="H21" t="inlineStr">
        <is>
          <t>BYD Norge offisiell prisliste sett 2026-07-07: https://byd.no/modeller/atto3. Deler ACC/ryggekamera/360-kamera med Comfort (kilden bryter ikke ned utstyr per nivå); Design-spesifikke tillegg er elektrisk bakluke, større skjerm (15,6"), flerfarget ambientbelysning. M003 forblir Ukjent.</t>
        </is>
      </c>
      <c r="I21"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60"/>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row r="147">
      <c r="A147" t="inlineStr">
        <is>
          <t>TECH_000146</t>
        </is>
      </c>
      <c r="B147" t="inlineStr">
        <is>
          <t>BYD_ATTO3</t>
        </is>
      </c>
      <c r="D147" t="inlineStr">
        <is>
          <t>TF_LENGTH</t>
        </is>
      </c>
      <c r="E147" t="n">
        <v>4455</v>
      </c>
      <c r="F147" t="inlineStr">
        <is>
          <t>MM</t>
        </is>
      </c>
      <c r="G147" t="inlineStr">
        <is>
          <t>SRC_EVDATABASE_ATTO3</t>
        </is>
      </c>
      <c r="H147" t="inlineStr">
        <is>
          <t>MEDIUM</t>
        </is>
      </c>
      <c r="I147" t="inlineStr">
        <is>
          <t>2026-07-07</t>
        </is>
      </c>
      <c r="J147" t="inlineStr">
        <is>
          <t>1.8</t>
        </is>
      </c>
    </row>
    <row r="148">
      <c r="A148" t="inlineStr">
        <is>
          <t>TECH_000147</t>
        </is>
      </c>
      <c r="B148" t="inlineStr">
        <is>
          <t>BYD_ATTO3</t>
        </is>
      </c>
      <c r="D148" t="inlineStr">
        <is>
          <t>TF_WIDTH</t>
        </is>
      </c>
      <c r="E148" t="n">
        <v>1875</v>
      </c>
      <c r="F148" t="inlineStr">
        <is>
          <t>MM</t>
        </is>
      </c>
      <c r="G148" t="inlineStr">
        <is>
          <t>SRC_EVDATABASE_ATTO3</t>
        </is>
      </c>
      <c r="H148" t="inlineStr">
        <is>
          <t>MEDIUM</t>
        </is>
      </c>
      <c r="I148" t="inlineStr">
        <is>
          <t>2026-07-07</t>
        </is>
      </c>
      <c r="J148" t="inlineStr">
        <is>
          <t>1.8</t>
        </is>
      </c>
      <c r="K148" t="inlineStr">
        <is>
          <t>Excluding mirrors</t>
        </is>
      </c>
    </row>
    <row r="149">
      <c r="A149" t="inlineStr">
        <is>
          <t>TECH_000148</t>
        </is>
      </c>
      <c r="B149" t="inlineStr">
        <is>
          <t>BYD_ATTO3</t>
        </is>
      </c>
      <c r="D149" t="inlineStr">
        <is>
          <t>TF_WIDTH</t>
        </is>
      </c>
      <c r="E149" t="n">
        <v>2050</v>
      </c>
      <c r="F149" t="inlineStr">
        <is>
          <t>MM</t>
        </is>
      </c>
      <c r="G149" t="inlineStr">
        <is>
          <t>SRC_EVDATABASE_ATTO3</t>
        </is>
      </c>
      <c r="H149" t="inlineStr">
        <is>
          <t>MEDIUM</t>
        </is>
      </c>
      <c r="I149" t="inlineStr">
        <is>
          <t>2026-07-07</t>
        </is>
      </c>
      <c r="J149" t="inlineStr">
        <is>
          <t>1.8</t>
        </is>
      </c>
      <c r="K149" t="inlineStr">
        <is>
          <t>Mirrors unfolded</t>
        </is>
      </c>
    </row>
    <row r="150">
      <c r="A150" t="inlineStr">
        <is>
          <t>TECH_000149</t>
        </is>
      </c>
      <c r="B150" t="inlineStr">
        <is>
          <t>BYD_ATTO3</t>
        </is>
      </c>
      <c r="D150" t="inlineStr">
        <is>
          <t>TF_HEIGHT</t>
        </is>
      </c>
      <c r="E150" t="n">
        <v>1615</v>
      </c>
      <c r="F150" t="inlineStr">
        <is>
          <t>MM</t>
        </is>
      </c>
      <c r="G150" t="inlineStr">
        <is>
          <t>SRC_EVDATABASE_ATTO3</t>
        </is>
      </c>
      <c r="H150" t="inlineStr">
        <is>
          <t>MEDIUM</t>
        </is>
      </c>
      <c r="I150" t="inlineStr">
        <is>
          <t>2026-07-07</t>
        </is>
      </c>
      <c r="J150" t="inlineStr">
        <is>
          <t>1.8</t>
        </is>
      </c>
    </row>
    <row r="151">
      <c r="A151" t="inlineStr">
        <is>
          <t>TECH_000150</t>
        </is>
      </c>
      <c r="B151" t="inlineStr">
        <is>
          <t>BYD_ATTO3</t>
        </is>
      </c>
      <c r="D151" t="inlineStr">
        <is>
          <t>TF_KERB_WEIGHT</t>
        </is>
      </c>
      <c r="E151" t="n">
        <v>1750</v>
      </c>
      <c r="F151" t="inlineStr">
        <is>
          <t>KG</t>
        </is>
      </c>
      <c r="G151" t="inlineStr">
        <is>
          <t>SRC_NAF_BILGUIDEN_ATTO3</t>
        </is>
      </c>
      <c r="H151" t="inlineStr">
        <is>
          <t>MEDIUM</t>
        </is>
      </c>
      <c r="I151" t="inlineStr">
        <is>
          <t>2026-07-07</t>
        </is>
      </c>
      <c r="J151" t="inlineStr">
        <is>
          <t>1.8</t>
        </is>
      </c>
    </row>
    <row r="152">
      <c r="A152" t="inlineStr">
        <is>
          <t>TECH_000151</t>
        </is>
      </c>
      <c r="B152" t="inlineStr">
        <is>
          <t>BYD_ATTO3</t>
        </is>
      </c>
      <c r="D152" t="inlineStr">
        <is>
          <t>TF_BOOT_VOLUME</t>
        </is>
      </c>
      <c r="E152" t="n">
        <v>440</v>
      </c>
      <c r="F152" t="inlineStr">
        <is>
          <t>L</t>
        </is>
      </c>
      <c r="G152" t="inlineStr">
        <is>
          <t>SRC_BYD_NO_ATTO3</t>
        </is>
      </c>
      <c r="H152" t="inlineStr">
        <is>
          <t>MEDIUM</t>
        </is>
      </c>
      <c r="I152" t="inlineStr">
        <is>
          <t>2026-07-07</t>
        </is>
      </c>
      <c r="J152" t="inlineStr">
        <is>
          <t>1.8</t>
        </is>
      </c>
    </row>
    <row r="153">
      <c r="A153" t="inlineStr">
        <is>
          <t>TECH_000152</t>
        </is>
      </c>
      <c r="B153" t="inlineStr">
        <is>
          <t>BYD_ATTO3</t>
        </is>
      </c>
      <c r="D153" t="inlineStr">
        <is>
          <t>TF_BATTERY_NET</t>
        </is>
      </c>
      <c r="E153" t="n">
        <v>60.48</v>
      </c>
      <c r="F153" t="inlineStr">
        <is>
          <t>KWH</t>
        </is>
      </c>
      <c r="G153" t="inlineStr">
        <is>
          <t>SRC_EVDATABASE_ATTO3</t>
        </is>
      </c>
      <c r="H153" t="inlineStr">
        <is>
          <t>MEDIUM</t>
        </is>
      </c>
      <c r="I153" t="inlineStr">
        <is>
          <t>2026-07-07</t>
        </is>
      </c>
      <c r="J153" t="inlineStr">
        <is>
          <t>1.8</t>
        </is>
      </c>
    </row>
    <row r="154">
      <c r="A154" t="inlineStr">
        <is>
          <t>TECH_000153</t>
        </is>
      </c>
      <c r="B154" t="inlineStr">
        <is>
          <t>BYD_ATTO3</t>
        </is>
      </c>
      <c r="D154" t="inlineStr">
        <is>
          <t>TF_AC_MAX_CHARGING</t>
        </is>
      </c>
      <c r="E154" t="n">
        <v>11</v>
      </c>
      <c r="F154" t="inlineStr">
        <is>
          <t>KW</t>
        </is>
      </c>
      <c r="G154" t="inlineStr">
        <is>
          <t>SRC_BYD_NO_ATTO3</t>
        </is>
      </c>
      <c r="H154" t="inlineStr">
        <is>
          <t>MEDIUM</t>
        </is>
      </c>
      <c r="I154" t="inlineStr">
        <is>
          <t>2026-07-07</t>
        </is>
      </c>
      <c r="J154" t="inlineStr">
        <is>
          <t>1.8</t>
        </is>
      </c>
    </row>
    <row r="155">
      <c r="A155" t="inlineStr">
        <is>
          <t>TECH_000154</t>
        </is>
      </c>
      <c r="B155" t="inlineStr">
        <is>
          <t>BYD_ATTO3</t>
        </is>
      </c>
      <c r="D155" t="inlineStr">
        <is>
          <t>TF_DC_MAX_CHARGING</t>
        </is>
      </c>
      <c r="E155" t="n">
        <v>80</v>
      </c>
      <c r="F155" t="inlineStr">
        <is>
          <t>KW</t>
        </is>
      </c>
      <c r="G155" t="inlineStr">
        <is>
          <t>SRC_BYD_NO_ATTO3</t>
        </is>
      </c>
      <c r="H155" t="inlineStr">
        <is>
          <t>MEDIUM</t>
        </is>
      </c>
      <c r="I155" t="inlineStr">
        <is>
          <t>2026-07-07</t>
        </is>
      </c>
      <c r="J155" t="inlineStr">
        <is>
          <t>1.8</t>
        </is>
      </c>
      <c r="K155" t="inlineStr">
        <is>
          <t>Manufacturer-stated</t>
        </is>
      </c>
    </row>
    <row r="156">
      <c r="A156" t="inlineStr">
        <is>
          <t>TECH_000155</t>
        </is>
      </c>
      <c r="B156" t="inlineStr">
        <is>
          <t>BYD_ATTO3</t>
        </is>
      </c>
      <c r="D156" t="inlineStr">
        <is>
          <t>TF_DC_MAX_CHARGING</t>
        </is>
      </c>
      <c r="E156" t="n">
        <v>90</v>
      </c>
      <c r="F156" t="inlineStr">
        <is>
          <t>KW</t>
        </is>
      </c>
      <c r="G156" t="inlineStr">
        <is>
          <t>SRC_NAF_BILGUIDEN_ATTO3</t>
        </is>
      </c>
      <c r="H156" t="inlineStr">
        <is>
          <t>MEDIUM</t>
        </is>
      </c>
      <c r="I156" t="inlineStr">
        <is>
          <t>2026-07-07</t>
        </is>
      </c>
      <c r="J156" t="inlineStr">
        <is>
          <t>1.8</t>
        </is>
      </c>
      <c r="K156" t="inlineStr">
        <is>
          <t>NAF-measured peak</t>
        </is>
      </c>
    </row>
    <row r="157">
      <c r="A157" t="inlineStr">
        <is>
          <t>TECH_000156</t>
        </is>
      </c>
      <c r="B157" t="inlineStr">
        <is>
          <t>BYD_ATTO3</t>
        </is>
      </c>
      <c r="D157" t="inlineStr">
        <is>
          <t>TF_WLTP_RANGE</t>
        </is>
      </c>
      <c r="E157" t="n">
        <v>420</v>
      </c>
      <c r="F157" t="inlineStr">
        <is>
          <t>KM</t>
        </is>
      </c>
      <c r="G157" t="inlineStr">
        <is>
          <t>SRC_BYD_NO_ATTO3</t>
        </is>
      </c>
      <c r="H157" t="inlineStr">
        <is>
          <t>MEDIUM</t>
        </is>
      </c>
      <c r="I157" t="inlineStr">
        <is>
          <t>2026-07-07</t>
        </is>
      </c>
      <c r="J157" t="inlineStr">
        <is>
          <t>1.8</t>
        </is>
      </c>
    </row>
    <row r="158">
      <c r="A158" t="inlineStr">
        <is>
          <t>TECH_000157</t>
        </is>
      </c>
      <c r="B158" t="inlineStr">
        <is>
          <t>BYD_ATTO3</t>
        </is>
      </c>
      <c r="D158" t="inlineStr">
        <is>
          <t>TF_MOTOR_POWER</t>
        </is>
      </c>
      <c r="E158" t="n">
        <v>150</v>
      </c>
      <c r="F158" t="inlineStr">
        <is>
          <t>KW</t>
        </is>
      </c>
      <c r="G158" t="inlineStr">
        <is>
          <t>SRC_EVDATABASE_ATTO3</t>
        </is>
      </c>
      <c r="H158" t="inlineStr">
        <is>
          <t>MEDIUM</t>
        </is>
      </c>
      <c r="I158" t="inlineStr">
        <is>
          <t>2026-07-07</t>
        </is>
      </c>
      <c r="J158" t="inlineStr">
        <is>
          <t>1.8</t>
        </is>
      </c>
    </row>
    <row r="159">
      <c r="A159" t="inlineStr">
        <is>
          <t>TECH_000158</t>
        </is>
      </c>
      <c r="B159" t="inlineStr">
        <is>
          <t>BYD_ATTO3</t>
        </is>
      </c>
      <c r="D159" t="inlineStr">
        <is>
          <t>TF_TORQUE</t>
        </is>
      </c>
      <c r="E159" t="n">
        <v>310</v>
      </c>
      <c r="F159" t="inlineStr">
        <is>
          <t>NM</t>
        </is>
      </c>
      <c r="G159" t="inlineStr">
        <is>
          <t>SRC_EVDATABASE_ATTO3</t>
        </is>
      </c>
      <c r="H159" t="inlineStr">
        <is>
          <t>MEDIUM</t>
        </is>
      </c>
      <c r="I159" t="inlineStr">
        <is>
          <t>2026-07-07</t>
        </is>
      </c>
      <c r="J159" t="inlineStr">
        <is>
          <t>1.8</t>
        </is>
      </c>
    </row>
    <row r="160">
      <c r="A160" t="inlineStr">
        <is>
          <t>TECH_000159</t>
        </is>
      </c>
      <c r="B160" t="inlineStr">
        <is>
          <t>BYD_ATTO3</t>
        </is>
      </c>
      <c r="D160" t="inlineStr">
        <is>
          <t>TF_TOP_SPEED</t>
        </is>
      </c>
      <c r="E160" t="n">
        <v>160</v>
      </c>
      <c r="F160" t="inlineStr">
        <is>
          <t>KMH</t>
        </is>
      </c>
      <c r="G160" t="inlineStr">
        <is>
          <t>SRC_EVDATABASE_ATTO3</t>
        </is>
      </c>
      <c r="H160" t="inlineStr">
        <is>
          <t>MEDIUM</t>
        </is>
      </c>
      <c r="I160" t="inlineStr">
        <is>
          <t>2026-07-07</t>
        </is>
      </c>
      <c r="J160" t="inlineStr">
        <is>
          <t>1.8</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row r="64">
      <c r="A64" t="inlineStr">
        <is>
          <t>EQ_000063</t>
        </is>
      </c>
      <c r="B64" t="inlineStr">
        <is>
          <t>BYD_ATTO3_COMFORT</t>
        </is>
      </c>
      <c r="C64" t="inlineStr">
        <is>
          <t>EQ_ACC</t>
        </is>
      </c>
      <c r="D64" t="inlineStr">
        <is>
          <t>STANDARD</t>
        </is>
      </c>
      <c r="E64" t="inlineStr">
        <is>
          <t>SRC_BYD_NO_ATTO3</t>
        </is>
      </c>
      <c r="F64" t="inlineStr">
        <is>
          <t>MEDIUM</t>
        </is>
      </c>
    </row>
    <row r="65">
      <c r="A65" t="inlineStr">
        <is>
          <t>EQ_000064</t>
        </is>
      </c>
      <c r="B65" t="inlineStr">
        <is>
          <t>BYD_ATTO3_COMFORT</t>
        </is>
      </c>
      <c r="C65" t="inlineStr">
        <is>
          <t>EQ_REAR_CAMERA</t>
        </is>
      </c>
      <c r="D65" t="inlineStr">
        <is>
          <t>STANDARD</t>
        </is>
      </c>
      <c r="E65" t="inlineStr">
        <is>
          <t>SRC_BYD_NO_ATTO3</t>
        </is>
      </c>
      <c r="F65" t="inlineStr">
        <is>
          <t>MEDIUM</t>
        </is>
      </c>
    </row>
    <row r="66">
      <c r="A66" t="inlineStr">
        <is>
          <t>EQ_000065</t>
        </is>
      </c>
      <c r="B66" t="inlineStr">
        <is>
          <t>BYD_ATTO3_COMFORT</t>
        </is>
      </c>
      <c r="C66" t="inlineStr">
        <is>
          <t>EQ_360</t>
        </is>
      </c>
      <c r="D66" t="inlineStr">
        <is>
          <t>STANDARD</t>
        </is>
      </c>
      <c r="E66" t="inlineStr">
        <is>
          <t>SRC_BYD_NO_ATTO3</t>
        </is>
      </c>
      <c r="F66" t="inlineStr">
        <is>
          <t>MEDIUM</t>
        </is>
      </c>
    </row>
    <row r="67">
      <c r="A67" t="inlineStr">
        <is>
          <t>EQ_000066</t>
        </is>
      </c>
      <c r="B67" t="inlineStr">
        <is>
          <t>BYD_ATTO3_DESIGN</t>
        </is>
      </c>
      <c r="C67" t="inlineStr">
        <is>
          <t>EQ_ACC</t>
        </is>
      </c>
      <c r="D67" t="inlineStr">
        <is>
          <t>STANDARD</t>
        </is>
      </c>
      <c r="E67" t="inlineStr">
        <is>
          <t>SRC_BYD_NO_ATTO3</t>
        </is>
      </c>
      <c r="F67" t="inlineStr">
        <is>
          <t>MEDIUM</t>
        </is>
      </c>
    </row>
    <row r="68">
      <c r="A68" t="inlineStr">
        <is>
          <t>EQ_000067</t>
        </is>
      </c>
      <c r="B68" t="inlineStr">
        <is>
          <t>BYD_ATTO3_DESIGN</t>
        </is>
      </c>
      <c r="C68" t="inlineStr">
        <is>
          <t>EQ_REAR_CAMERA</t>
        </is>
      </c>
      <c r="D68" t="inlineStr">
        <is>
          <t>STANDARD</t>
        </is>
      </c>
      <c r="E68" t="inlineStr">
        <is>
          <t>SRC_BYD_NO_ATTO3</t>
        </is>
      </c>
      <c r="F68" t="inlineStr">
        <is>
          <t>MEDIUM</t>
        </is>
      </c>
    </row>
    <row r="69">
      <c r="A69" t="inlineStr">
        <is>
          <t>EQ_000068</t>
        </is>
      </c>
      <c r="B69" t="inlineStr">
        <is>
          <t>BYD_ATTO3_DESIGN</t>
        </is>
      </c>
      <c r="C69" t="inlineStr">
        <is>
          <t>EQ_360</t>
        </is>
      </c>
      <c r="D69" t="inlineStr">
        <is>
          <t>STANDARD</t>
        </is>
      </c>
      <c r="E69" t="inlineStr">
        <is>
          <t>SRC_BYD_NO_ATTO3</t>
        </is>
      </c>
      <c r="F69"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kupestøy i den oppgraderte Model 3-plattformen sammenlignet med tidligere årsmodeller; dekkstøy fremheves som blant de beste i klassen. Testet på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fjæringen som behagelig ved høyere hastighet; Cars.com bekrefter at det ikke oppstår brå støt takket være frekvensavhengige dempere. Testet på AWD/Long Range-varianter; RWD-spesifikk fjæringskarakter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dårlig sikt bakover - sistnevnte er en reell praktisk ulempe ved manøvrering.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undersøkelsestidspunkt (juli 2026) fortsatt ikke støttes på noen Tesla-modell, inkludert Model 3. Tesla har varslet trådløs CarPlay "i løpet av kommende måneder"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på ujevn vei" med ubehagelig humpete kjøring på harde skjøter, mens RAC Drive på samme drivlinje (150 Comfort Range) rapporterer at fjæringen "smothers potholes and speed bumps quietly." De to profesjonelle kildene motsier hverandre direkte om komfort - dokumentert som uenighet, ikke løst ved å velge en foretrukket verdi (jf. rammeverkets prinsipp om å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så vidt får plass bak en like høy fører i baksetet, og at pedalplassering er trang - en reell praktisk ulempe. Samtidig gir høyere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på alle versjoner av Renault 4, bekreftet både av offisiell Renault-spesifikasjon og uavhengig av RAC Drive ("comes on all models"). Motsatt funn av Tesla Model 3 Long Range RWD, som mangler CarPlay-støtte.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på ca. 30 minutter) og 15,5 kWh/100km forbruk for Techno (52 kWh Comfort Range) - solid ladeeffekt for segmentet, godt over minimumsbehovet gitt lav estimert årlig kjørelengde.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hjulstøy er "en familiesvakhet for bilene på MEB-plattformen" og at Elroq hadde mest hjulstøy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fjæringen som hastighetsavhengig (stiv i lav fart, fast og fin i høy fart) - nøytralt til svakt positivt funn. What Car? er klart positiv: fjæringen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på alle versjoner av Skoda Elroq, bekreftet både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på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hjulstøy på piggfrie vinterdekk; What Car? beskriver bilen som "fairly hushed" ved høy fart med kun litt vind-/veistøy.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fjæringen som svært stiv over skarpe ujevnheter, men behagelig i fart. What Car? vurderer balansen mellom komfort og kjøreegenskaper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på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på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motorstøy, lite dekkstøy på motorvei og lite fjæringsstøy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høyere hastighet på Standard Range-varianten, med dempere beskrevet som stive og "ikke spesielt sofistikerte." What Car? rapporterer motsatt at fjæringen er relativt myk og glatter ut humper, om enn med krengning i svinger. Direkte motstridende funn - dokumentert som uenighet, ikke løst.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på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høyest forbruk i utvalget) uten tilsvarende mer rekkevidde. Merprisen går hovedsakelig til firehjulsdrift og ytelse (0-100 på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kjøperens egne tilvalg (4-seter, vinterhjul) og er ikke representativt for trimmens egen verdi. Vurdert på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størst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på motorvei.' Kort omtale fremfor en dyptgående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får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row r="102">
      <c r="A102" t="inlineStr">
        <is>
          <t>REV_000101</t>
        </is>
      </c>
      <c r="C102" t="inlineStr">
        <is>
          <t>BYD_ATTO3_DESIGN</t>
        </is>
      </c>
      <c r="D102" t="inlineStr">
        <is>
          <t>Kjøreopplevelse</t>
        </is>
      </c>
      <c r="E102" t="n">
        <v>3</v>
      </c>
      <c r="F102" t="inlineStr">
        <is>
          <t>MEDIUM</t>
        </is>
      </c>
      <c r="G102" t="inlineStr">
        <is>
          <t>Bil24 rapporterer komfortabelt støynivå opp til 80 km/t, men merkbart mer støy ved 100 km/t - nettopp den motorveifarten dette kriteriet vektlegger tungt. Testet på Comfort, men deler karosseri/lydisolasjon med Design. Kun én uavhengig kilde funnet. [Kriterium W001]</t>
        </is>
      </c>
      <c r="H102" t="inlineStr">
        <is>
          <t>EV_000128</t>
        </is>
      </c>
      <c r="I102" t="inlineStr">
        <is>
          <t>1.8</t>
        </is>
      </c>
    </row>
    <row r="103">
      <c r="A103" t="inlineStr">
        <is>
          <t>REV_000102</t>
        </is>
      </c>
      <c r="C103" t="inlineStr">
        <is>
          <t>BYD_ATTO3_DESIGN</t>
        </is>
      </c>
      <c r="D103" t="inlineStr">
        <is>
          <t>Kjøreopplevelse</t>
        </is>
      </c>
      <c r="E103" t="n">
        <v>4</v>
      </c>
      <c r="F103" t="inlineStr">
        <is>
          <t>MEDIUM</t>
        </is>
      </c>
      <c r="G103" t="inlineStr">
        <is>
          <t>To uavhengige kilder (Bil24 på Comfort, Formel E på Design) er samstemte om en komfortabel, mykt avstemt fjæring. Bil24 fremhever komfortable seter over lengre kjøreturer, men med begrenset justeringsmulighet. [Kriterium W002]</t>
        </is>
      </c>
      <c r="H103" t="inlineStr">
        <is>
          <t>EV_000129,EV_000130</t>
        </is>
      </c>
      <c r="I103" t="inlineStr">
        <is>
          <t>1.8</t>
        </is>
      </c>
    </row>
    <row r="104">
      <c r="A104" t="inlineStr">
        <is>
          <t>REV_000103</t>
        </is>
      </c>
      <c r="C104" t="inlineStr">
        <is>
          <t>BYD_ATTO3_DESIGN</t>
        </is>
      </c>
      <c r="D104" t="inlineStr">
        <is>
          <t>Kjøreopplevelse</t>
        </is>
      </c>
      <c r="E104" t="n">
        <v>4</v>
      </c>
      <c r="F104" t="inlineStr">
        <is>
          <t>MEDIUM</t>
        </is>
      </c>
      <c r="G104" t="inlineStr">
        <is>
          <t>Bil24 fremhever 360-graders kamerasystemet som klart og tydelig med gode tilpasningsmuligheter, noe som gir god oversikt ved manøvrering og parkering. Generell fremrutesikt ikke eksplisitt vurdert i den ene kilden funnet. [Kriterium W003]</t>
        </is>
      </c>
      <c r="H104" t="inlineStr">
        <is>
          <t>EV_000131</t>
        </is>
      </c>
      <c r="I104" t="inlineStr">
        <is>
          <t>1.8</t>
        </is>
      </c>
    </row>
    <row r="105">
      <c r="A105" t="inlineStr">
        <is>
          <t>REV_000104</t>
        </is>
      </c>
      <c r="C105" t="inlineStr">
        <is>
          <t>BYD_ATTO3_DESIGN</t>
        </is>
      </c>
      <c r="D105" t="inlineStr">
        <is>
          <t>Kjøreopplevelse</t>
        </is>
      </c>
      <c r="E105" t="n">
        <v>3</v>
      </c>
      <c r="F105" t="inlineStr">
        <is>
          <t>LOW</t>
        </is>
      </c>
      <c r="G105" t="inlineStr">
        <is>
          <t>Formel E (Design-testbil) beskriver kjøringen som 'stabil og ganske underholdende', med velavstemt fjæringsgeometri - men vurderingen er generell og ikke en detaljert styrefølelse-analyse. Kun én tynn kilde funnet, ingen motstridende eller bekreftende data. [Kriterium W004]</t>
        </is>
      </c>
      <c r="H105" t="inlineStr">
        <is>
          <t>EV_000130</t>
        </is>
      </c>
      <c r="I105" t="inlineStr">
        <is>
          <t>1.8</t>
        </is>
      </c>
    </row>
    <row r="106">
      <c r="A106" t="inlineStr">
        <is>
          <t>REV_000105</t>
        </is>
      </c>
      <c r="C106" t="inlineStr">
        <is>
          <t>BYD_ATTO3_DESIGN</t>
        </is>
      </c>
      <c r="D106" t="inlineStr">
        <is>
          <t>Teknologi</t>
        </is>
      </c>
      <c r="E106" t="n">
        <v>3</v>
      </c>
      <c r="F106" t="inlineStr">
        <is>
          <t>MEDIUM</t>
        </is>
      </c>
      <c r="G106" t="inlineStr">
        <is>
          <t>Genuin kildemotsigelse: Formel E (Design) beskriver den 15,6 tommers skjermen som stor og svært tydelig, mens Bil24 finner infotainmentet stort sett brukervennlig men med ulogiske strukturer (f.eks. DAB-radio gjemt i en egen 'app'). Dokumentert som reell uenighet, ikke forsøkt løst. [Kriterium W005]</t>
        </is>
      </c>
      <c r="H106" t="inlineStr">
        <is>
          <t>EV_000135,EV_000134</t>
        </is>
      </c>
      <c r="I106" t="inlineStr">
        <is>
          <t>1.8</t>
        </is>
      </c>
    </row>
    <row r="107">
      <c r="A107" t="inlineStr">
        <is>
          <t>REV_000106</t>
        </is>
      </c>
      <c r="C107" t="inlineStr">
        <is>
          <t>BYD_ATTO3_DESIGN</t>
        </is>
      </c>
      <c r="D107" t="inlineStr">
        <is>
          <t>Teknologi</t>
        </is>
      </c>
      <c r="E107" t="n">
        <v>4</v>
      </c>
      <c r="F107" t="inlineStr">
        <is>
          <t>MEDIUM</t>
        </is>
      </c>
      <c r="G107" t="inlineStr">
        <is>
          <t>Bil24 fremhever OTA-oppdateringsmuligheten som en tydelig fordel, som også gjør bilen attraktiv for tredjeparts appleverandører over tid. Kun én kilde, men entydig positiv og teknisk bekreftet (samme OTA-kanal brukt til å legge til trådløs CarPlay, se W007). [Kriterium W006]</t>
        </is>
      </c>
      <c r="H107" t="inlineStr">
        <is>
          <t>EV_000136</t>
        </is>
      </c>
      <c r="I107" t="inlineStr">
        <is>
          <t>1.8</t>
        </is>
      </c>
    </row>
    <row r="108">
      <c r="A108" t="inlineStr">
        <is>
          <t>REV_000107</t>
        </is>
      </c>
      <c r="C108" t="inlineStr">
        <is>
          <t>BYD_ATTO3_DESIGN</t>
        </is>
      </c>
      <c r="D108" t="inlineStr">
        <is>
          <t>Teknologi</t>
        </is>
      </c>
      <c r="E108" t="n">
        <v>3</v>
      </c>
      <c r="F108" t="inlineStr">
        <is>
          <t>MEDIUM</t>
        </is>
      </c>
      <c r="G108" t="inlineStr">
        <is>
          <t>CarPlay var kun kablet ved lansering; trådløs CarPlay ble lagt til via en bekreftet OTA-oppdatering (V1.8.0, 2026-forgjenger-dato 2024-07-02). Fungerer altså i dag, men den forsinkede/ettermonterte trådløsheten er en reell historisk begrensning verdt å notere. Android Auto var trådløst fra start. [Kriterium W007]</t>
        </is>
      </c>
      <c r="H108" t="inlineStr">
        <is>
          <t>EV_000137</t>
        </is>
      </c>
      <c r="I108" t="inlineStr">
        <is>
          <t>1.8</t>
        </is>
      </c>
    </row>
    <row r="109">
      <c r="A109" t="inlineStr">
        <is>
          <t>REV_000108</t>
        </is>
      </c>
      <c r="C109" t="inlineStr">
        <is>
          <t>BYD_ATTO3_DESIGN</t>
        </is>
      </c>
      <c r="D109" t="inlineStr">
        <is>
          <t>Teknologi</t>
        </is>
      </c>
      <c r="E109" t="n">
        <v>2</v>
      </c>
      <c r="F109" t="inlineStr">
        <is>
          <t>MEDIUM</t>
        </is>
      </c>
      <c r="G109" t="inlineStr">
        <is>
          <t>To uavhengige kilder peker samme vei: Bil24 (profesjonell test) beskriver adaptiv cruisekontroll som unødig hjelpsom med nedbremsing i svinger; en samling eierrapporter (EVparts4x4) dokumenterer falske frontkollisjonsvarsler i klar trafikk og en filholdsassistent med 'jerky' styreinngrep. Fungerer, men kvaliteten er en reell, dokumentert svakhet. [Kriterium W008]</t>
        </is>
      </c>
      <c r="H109" t="inlineStr">
        <is>
          <t>EV_000132,EV_000133</t>
        </is>
      </c>
      <c r="I109" t="inlineStr">
        <is>
          <t>1.8</t>
        </is>
      </c>
    </row>
    <row r="110">
      <c r="A110" t="inlineStr">
        <is>
          <t>REV_000109</t>
        </is>
      </c>
      <c r="C110" t="inlineStr">
        <is>
          <t>BYD_ATTO3_DESIGN</t>
        </is>
      </c>
      <c r="D110" t="inlineStr">
        <is>
          <t>Teknologi</t>
        </is>
      </c>
      <c r="E110" t="n">
        <v>5</v>
      </c>
      <c r="F110" t="inlineStr">
        <is>
          <t>MEDIUM</t>
        </is>
      </c>
      <c r="G110" t="inlineStr">
        <is>
          <t>Bil24 gir eksplisitt positiv omtale av 360-graders kamerasystemet: klar og tydelig visning fra flere vinkler med gode tilpasningsmuligheter. Ingen negative funn om kamerakvalitet i noen av kildene gjennomgått. [Kriterium W009]</t>
        </is>
      </c>
      <c r="H110" t="inlineStr">
        <is>
          <t>EV_000131</t>
        </is>
      </c>
      <c r="I110" t="inlineStr">
        <is>
          <t>1.8</t>
        </is>
      </c>
    </row>
    <row r="111">
      <c r="A111" t="inlineStr">
        <is>
          <t>REV_000110</t>
        </is>
      </c>
      <c r="C111" t="inlineStr">
        <is>
          <t>BYD_ATTO3_DESIGN</t>
        </is>
      </c>
      <c r="D111" t="inlineStr">
        <is>
          <t>Opplevd kvalitet</t>
        </is>
      </c>
      <c r="E111" t="n">
        <v>4</v>
      </c>
      <c r="F111" t="inlineStr">
        <is>
          <t>MEDIUM</t>
        </is>
      </c>
      <c r="G111" t="inlineStr">
        <is>
          <t>Formel E (Design) beskriver interiøret som 'well-built, well-composed and modern' med detaljer som vegansk lær på rattet; Bil24 (Comfort) beskriver et overraskende 'lekent' interiør i form og farge. Ingen hardplast-kritikk funnet i noen kilde - solid for prisklassen. [Kriterium W010]</t>
        </is>
      </c>
      <c r="H111" t="inlineStr">
        <is>
          <t>EV_000138,EV_000139</t>
        </is>
      </c>
      <c r="I111" t="inlineStr">
        <is>
          <t>1.8</t>
        </is>
      </c>
    </row>
    <row r="112">
      <c r="A112" t="inlineStr">
        <is>
          <t>REV_000111</t>
        </is>
      </c>
      <c r="C112" t="inlineStr">
        <is>
          <t>BYD_ATTO3_DESIGN</t>
        </is>
      </c>
      <c r="D112" t="inlineStr">
        <is>
          <t>Opplevd kvalitet</t>
        </is>
      </c>
      <c r="E112" t="n">
        <v>4</v>
      </c>
      <c r="F112" t="inlineStr">
        <is>
          <t>MEDIUM</t>
        </is>
      </c>
      <c r="G112" t="inlineStr">
        <is>
          <t>Formel E vurderer Design-testbilen som 'well-built, well-composed' uten å nevne knirk eller løse paneler. Kun én kilde med eksplisitt byggekvalitetsvurdering, og ingen motstridende funn om knirk/skranglete inntrykk i de øvrige kildene. [Kriterium W011]</t>
        </is>
      </c>
      <c r="H112" t="inlineStr">
        <is>
          <t>EV_000138</t>
        </is>
      </c>
      <c r="I112" t="inlineStr">
        <is>
          <t>1.8</t>
        </is>
      </c>
    </row>
    <row r="113">
      <c r="A113" t="inlineStr">
        <is>
          <t>REV_000112</t>
        </is>
      </c>
      <c r="C113" t="inlineStr">
        <is>
          <t>BYD_ATTO3_DESIGN</t>
        </is>
      </c>
      <c r="D113" t="inlineStr">
        <is>
          <t>Opplevd kvalitet</t>
        </is>
      </c>
      <c r="E113" t="n">
        <v>3</v>
      </c>
      <c r="F113" t="inlineStr">
        <is>
          <t>MEDIUM</t>
        </is>
      </c>
      <c r="G113" t="inlineStr">
        <is>
          <t>Bil24 gir en detaljert, blandet vurdering: setet oppleves 'meget komfortabel' over en 350 km tur, men mangler lengde- og helningsjustering; hodehøyde er begrenset for høye passasjerer under panoramataket, og armlenet er relativt stort. Reelle, konkrete innvendinger, ikke bare generell positivitet. [Kriterium W012]</t>
        </is>
      </c>
      <c r="H113" t="inlineStr">
        <is>
          <t>EV_000129,EV_000140</t>
        </is>
      </c>
      <c r="I113" t="inlineStr">
        <is>
          <t>1.8</t>
        </is>
      </c>
    </row>
    <row r="114">
      <c r="A114" t="inlineStr">
        <is>
          <t>REV_000113</t>
        </is>
      </c>
      <c r="C114" t="inlineStr">
        <is>
          <t>BYD_ATTO3_DESIGN</t>
        </is>
      </c>
      <c r="D114" t="inlineStr">
        <is>
          <t>Opplevd kvalitet</t>
        </is>
      </c>
      <c r="E114" t="n">
        <v>3</v>
      </c>
      <c r="F114" t="inlineStr">
        <is>
          <t>MEDIUM</t>
        </is>
      </c>
      <c r="G114" t="inlineStr">
        <is>
          <t>Bil24 beskriver fysiske detaljer som polariserende: bakdørhåndtak i 'gitarstreng'-design er nytenkende men potensielt uheldig med barn i baksetet, girspaken oppleves som 'artig', men enkelte menystrukturer er ikke intuitive og rattvarme mangler helt. [Kriterium W013]</t>
        </is>
      </c>
      <c r="H114" t="inlineStr">
        <is>
          <t>EV_000141</t>
        </is>
      </c>
      <c r="I114" t="inlineStr">
        <is>
          <t>1.8</t>
        </is>
      </c>
    </row>
    <row r="115">
      <c r="A115" t="inlineStr">
        <is>
          <t>REV_000114</t>
        </is>
      </c>
      <c r="C115" t="inlineStr">
        <is>
          <t>BYD_ATTO3_DESIGN</t>
        </is>
      </c>
      <c r="D115" t="inlineStr">
        <is>
          <t>Langtidseierskap</t>
        </is>
      </c>
      <c r="E115" t="n">
        <v>4</v>
      </c>
      <c r="F115" t="inlineStr">
        <is>
          <t>MEDIUM</t>
        </is>
      </c>
      <c r="G115" t="inlineStr">
        <is>
          <t>BYD er verdens største EV-produsent etter volum og har vært etablert som bilprodusent siden 1995 - ikke en ny, uprøvd aktør. Atto 3 har dessuten vært til salgs i Norge siden minst 2023 med flere uavhengige testrunder over tid, altså reell modellspesifikk historikk fremfor kun merke-fallback (se [[feedback-langtidseierskap-brand-fallback-confidence]]-prinsippet, som her ikke engang er nødvendig å ty til). [Kriterium W014]</t>
        </is>
      </c>
      <c r="H115" t="inlineStr">
        <is>
          <t>EV_000145</t>
        </is>
      </c>
      <c r="I115" t="inlineStr">
        <is>
          <t>1.8</t>
        </is>
      </c>
    </row>
    <row r="116">
      <c r="A116" t="inlineStr">
        <is>
          <t>REV_000115</t>
        </is>
      </c>
      <c r="C116" t="inlineStr">
        <is>
          <t>BYD_ATTO3_DESIGN</t>
        </is>
      </c>
      <c r="D116" t="inlineStr">
        <is>
          <t>Langtidseierskap</t>
        </is>
      </c>
      <c r="E116" t="n">
        <v>5</v>
      </c>
      <c r="F116" t="inlineStr">
        <is>
          <t>MEDIUM</t>
        </is>
      </c>
      <c r="G116" t="inlineStr">
        <is>
          <t>Offisiell garantihåndbok bekrefter 6 år/150 000 km generell garanti, 8 år/250 000 km batterigaranti (SOH&gt;=70%), 12 år rustgaranti og 8 år/150 000 km drivmotorgaranti - et objektivt sterkt garantipakke sammenlignet med de øvrige 5 bilene i denne sammenligningen. [Kriterium W015]</t>
        </is>
      </c>
      <c r="H116" t="inlineStr">
        <is>
          <t>EV_000142</t>
        </is>
      </c>
      <c r="I116" t="inlineStr">
        <is>
          <t>1.8</t>
        </is>
      </c>
    </row>
    <row r="117">
      <c r="A117" t="inlineStr">
        <is>
          <t>REV_000116</t>
        </is>
      </c>
      <c r="C117" t="inlineStr">
        <is>
          <t>BYD_ATTO3_DESIGN</t>
        </is>
      </c>
      <c r="D117" t="inlineStr">
        <is>
          <t>Langtidseierskap</t>
        </is>
      </c>
      <c r="E117" t="n">
        <v>3</v>
      </c>
      <c r="F117" t="inlineStr">
        <is>
          <t>MEDIUM</t>
        </is>
      </c>
      <c r="G117" t="inlineStr">
        <is>
          <t>Flere års dokumentert tilstedeværelse i det norske markedet (NAF-test datert 2023, samt nyere tester fra Bil24/Formel E) viser reell nordisk modenhet sammenlignet med f.eks. Kia EV2, som ble vurdert som for ny for vintertestsykluser. Trekkes likevel ned av at ingen kilde har dokumentert en faktisk vintertest av rekkevidde (se M003, forblir Ukjent). [Kriterium W016]</t>
        </is>
      </c>
      <c r="H117" t="inlineStr">
        <is>
          <t>EV_000145</t>
        </is>
      </c>
      <c r="I117" t="inlineStr">
        <is>
          <t>1.8</t>
        </is>
      </c>
    </row>
    <row r="118">
      <c r="A118" t="inlineStr">
        <is>
          <t>REV_000117</t>
        </is>
      </c>
      <c r="C118" t="inlineStr">
        <is>
          <t>BYD_ATTO3_DESIGN</t>
        </is>
      </c>
      <c r="D118" t="inlineStr">
        <is>
          <t>Økonomi</t>
        </is>
      </c>
      <c r="E118" t="n">
        <v>3</v>
      </c>
      <c r="F118" t="inlineStr">
        <is>
          <t>MEDIUM</t>
        </is>
      </c>
      <c r="G118" t="inlineStr">
        <is>
          <t>Design til 389 920 kr ligger midt i feltet av de 6 bilene (billigere enn Tesla, Kia og Volvo; dyrere enn Renault og Skoda) for en pakke med 5-stjerners NCAP, sterk garanti og OTA-økosystem, men svakere DC-lading og dokumenterte ADAS-kvirker. Bil24s egen tester er selv usikker på om dette er god verdi for en forhjulsdrevet 5-seter ('Det er kanskje det?') - en ærlig, ikke overdrevet, vurdering. [Kriterium W017]</t>
        </is>
      </c>
      <c r="H118" t="inlineStr">
        <is>
          <t>EV_000144</t>
        </is>
      </c>
      <c r="I118" t="inlineStr">
        <is>
          <t>1.8</t>
        </is>
      </c>
    </row>
    <row r="119">
      <c r="A119" t="inlineStr">
        <is>
          <t>REV_000118</t>
        </is>
      </c>
      <c r="C119" t="inlineStr">
        <is>
          <t>BYD_ATTO3_DESIGN</t>
        </is>
      </c>
      <c r="D119" t="inlineStr">
        <is>
          <t>Praktisk bruk</t>
        </is>
      </c>
      <c r="E119" t="n">
        <v>4</v>
      </c>
      <c r="F119" t="inlineStr">
        <is>
          <t>MEDIUM</t>
        </is>
      </c>
      <c r="G119" t="inlineStr">
        <is>
          <t>440 liter bagasjerom med flatt gulv, 60/40 delt bakseterygg og to romslige sidekott gir god fleksibilitet for voksne passasjerer og bagasje. Eneste dokumenterte praktiske begrensning er redusert hodehøyde for høye passasjerer under panoramataket - ingen barnesetefokusert vurdering (jf. [[user-no-children-household]]). [Kriterium W018]</t>
        </is>
      </c>
      <c r="H119" t="inlineStr">
        <is>
          <t>EV_000143,EV_000140</t>
        </is>
      </c>
      <c r="I119" t="inlineStr">
        <is>
          <t>1.8</t>
        </is>
      </c>
    </row>
    <row r="120">
      <c r="A120" t="inlineStr">
        <is>
          <t>REV_000119</t>
        </is>
      </c>
      <c r="C120" t="inlineStr">
        <is>
          <t>BYD_ATTO3_DESIGN</t>
        </is>
      </c>
      <c r="D120" t="inlineStr">
        <is>
          <t>Garasje</t>
        </is>
      </c>
      <c r="E120" t="n">
        <v>3</v>
      </c>
      <c r="F120" t="inlineStr">
        <is>
          <t>MEDIUM</t>
        </is>
      </c>
      <c r="G120" t="inlineStr">
        <is>
          <t>Offisiell lengde 4455mm gir 45mm margin til 4500mm-grensen - en reell, men moderat margin: trangere enn Kia EV2s 435mm, men romsligere enn Skoda Elroqs 12mm. Se 14_HardRequirementResults (M002) for samme grunnlag. [Kriterium W019]</t>
        </is>
      </c>
      <c r="H120" t="inlineStr">
        <is>
          <t>EV_000146</t>
        </is>
      </c>
      <c r="I120" t="inlineStr">
        <is>
          <t>1.8</t>
        </is>
      </c>
    </row>
    <row r="121">
      <c r="A121" t="inlineStr">
        <is>
          <t>REV_000120</t>
        </is>
      </c>
      <c r="C121" t="inlineStr">
        <is>
          <t>BYD_ATTO3_DESIGN</t>
        </is>
      </c>
      <c r="D121" t="inlineStr">
        <is>
          <t>Rekkevidde/lading</t>
        </is>
      </c>
      <c r="E121" t="n">
        <v>2</v>
      </c>
      <c r="F121" t="inlineStr">
        <is>
          <t>MEDIUM</t>
        </is>
      </c>
      <c r="G121" t="inlineStr">
        <is>
          <t>DC-lading på 80kW (produsentoppgitt) til 90kW (NAF-målt) og AC på 11kW ligger under nivået til mange 2026-konkurrenter som ofte tilbyr 150-220kW DC. Kriteriet er lavt vektet, og svakheten trekker score noe ned, men ikke drastisk. [Kriterium W020]</t>
        </is>
      </c>
      <c r="H121" t="inlineStr">
        <is>
          <t>EV_000147</t>
        </is>
      </c>
      <c r="I121" t="inlineStr">
        <is>
          <t>1.8</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4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på ujevn vei, og harde skjøter gir ubehagelig humpete kjøring"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"hjulstøyen - en familiesvakhet for bilene på MEB-plattformen - som ødelegger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"Fjæringen er stiv i lavere fart, fast og fin i høyere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på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hjulstøy på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på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høyere hastigheter gir en vel spretten følelse"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Førerassistenter kvalitet: elbil.no sin norske test bekrefter adaptiv cruise control er standard på Techno (og Iconic), og at den fungerer 'overraskende greit på motorvei'. Kort omtale, ikke en dyptgående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på Iconic-varianten (+20 000 kr over Techno). Techno får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row r="129">
      <c r="A129" t="inlineStr">
        <is>
          <t>EV_000128</t>
        </is>
      </c>
      <c r="B129" t="inlineStr">
        <is>
          <t>BYD_ATTO3</t>
        </is>
      </c>
      <c r="D129" t="inlineStr">
        <is>
          <t>Kupéstøy: komfortable fjæringer og hyggelig støynivå opp til 80 km/t, men merkbart mer støy ved 100 km/t (motorveifart). Testet på Comfort-spesifikasjon, som deler karosseri og lydisolasjon med Design.</t>
        </is>
      </c>
      <c r="E129" t="inlineStr">
        <is>
          <t>SRC_BIL24_ATTO3</t>
        </is>
      </c>
      <c r="F129" t="inlineStr">
        <is>
          <t>MEDIUM</t>
        </is>
      </c>
    </row>
    <row r="130">
      <c r="A130" t="inlineStr">
        <is>
          <t>EV_000129</t>
        </is>
      </c>
      <c r="B130" t="inlineStr">
        <is>
          <t>BYD_ATTO3</t>
        </is>
      </c>
      <c r="D130" t="inlineStr">
        <is>
          <t>Fjæring/seter: komfortabel over en 350 km kjøretur; førersete beskrevet som 'meget komfortabel', men mangler lengdejustering og setehelningsjustering. Armlene relativt stort. Testet på Comfort-spesifikasjon.</t>
        </is>
      </c>
      <c r="E130" t="inlineStr">
        <is>
          <t>SRC_BIL24_ATTO3</t>
        </is>
      </c>
      <c r="F130" t="inlineStr">
        <is>
          <t>MEDIUM</t>
        </is>
      </c>
    </row>
    <row r="131">
      <c r="A131" t="inlineStr">
        <is>
          <t>EV_000130</t>
        </is>
      </c>
      <c r="B131" t="inlineStr">
        <is>
          <t>BYD_ATTO3</t>
        </is>
      </c>
      <c r="D131" t="inlineStr">
        <is>
          <t>Fjæring/styring (Design-testbil): avansert multilink bakaksel, fast men komfortabel fjæring; beskrevet som 'stabil og ganske underholdende å kjøre', velavstemt fjæringsgeometri kombinert med forhjulsdrift.</t>
        </is>
      </c>
      <c r="E131" t="inlineStr">
        <is>
          <t>SRC_FORMELE_ATTO3_DESIGN</t>
        </is>
      </c>
      <c r="F131" t="inlineStr">
        <is>
          <t>MEDIUM</t>
        </is>
      </c>
    </row>
    <row r="132">
      <c r="A132" t="inlineStr">
        <is>
          <t>EV_000131</t>
        </is>
      </c>
      <c r="B132" t="inlineStr">
        <is>
          <t>BYD_ATTO3</t>
        </is>
      </c>
      <c r="D132" t="inlineStr">
        <is>
          <t>360-graders kamera: klar og tydelig visning foran, bak og ovenfra, med flere tilpasningsmuligheter for visningsvinkel. Testet på Comfort-spesifikasjon, men kamerasystemet er delt med Design.</t>
        </is>
      </c>
      <c r="E132" t="inlineStr">
        <is>
          <t>SRC_BIL24_ATTO3</t>
        </is>
      </c>
      <c r="F132" t="inlineStr">
        <is>
          <t>MEDIUM</t>
        </is>
      </c>
    </row>
    <row r="133">
      <c r="A133" t="inlineStr">
        <is>
          <t>EV_000132</t>
        </is>
      </c>
      <c r="B133" t="inlineStr">
        <is>
          <t>BYD_ATTO3</t>
        </is>
      </c>
      <c r="D133" t="inlineStr">
        <is>
          <t>Adaptiv cruisekontroll beskrevet som 'noe hjelpsom med nedbremsing i svinger, kanskje litt mer enn undertegnede setter pris på'. Mange assistentfunksjoner kan deaktiveres.</t>
        </is>
      </c>
      <c r="E133" t="inlineStr">
        <is>
          <t>SRC_BIL24_ATTO3</t>
        </is>
      </c>
      <c r="F133" t="inlineStr">
        <is>
          <t>MEDIUM</t>
        </is>
      </c>
    </row>
    <row r="134">
      <c r="A134" t="inlineStr">
        <is>
          <t>EV_000133</t>
        </is>
      </c>
      <c r="B134" t="inlineStr">
        <is>
          <t>BYD_ATTO3</t>
        </is>
      </c>
      <c r="D134" t="inlineStr">
        <is>
          <t>Eierrapporter: falske frontkollisjonsvarsler i klar trafikk ('beeping or flashing with no obstacle'), overivrige parkeringssensorer, og filholdsassistent beskrevet som gir 'overly aggressive or jerky steering input'.</t>
        </is>
      </c>
      <c r="E134" t="inlineStr">
        <is>
          <t>SRC_EVPARTS4X4_ATTO3</t>
        </is>
      </c>
      <c r="F134" t="inlineStr">
        <is>
          <t>MEDIUM</t>
        </is>
      </c>
    </row>
    <row r="135">
      <c r="A135" t="inlineStr">
        <is>
          <t>EV_000134</t>
        </is>
      </c>
      <c r="B135" t="inlineStr">
        <is>
          <t>BYD_ATTO3</t>
        </is>
      </c>
      <c r="D135" t="inlineStr">
        <is>
          <t>Infotainment oppleves i hovedsak brukervennlig, men med enkelte ulogiske strukturer (DAB-radio krever egen 'app' i stedet for å ligge i hovedradiomenyen). Spotify-integrasjon tilgjengelig.</t>
        </is>
      </c>
      <c r="E135" t="inlineStr">
        <is>
          <t>SRC_BIL24_ATTO3</t>
        </is>
      </c>
      <c r="F135" t="inlineStr">
        <is>
          <t>MEDIUM</t>
        </is>
      </c>
    </row>
    <row r="136">
      <c r="A136" t="inlineStr">
        <is>
          <t>EV_000135</t>
        </is>
      </c>
      <c r="B136" t="inlineStr">
        <is>
          <t>BYD_ATTO3</t>
        </is>
      </c>
      <c r="D136" t="inlineStr">
        <is>
          <t>15,6 tommers skjerm (Design) beskrevet som stor og svært tydelig, kan roteres 90 grader.</t>
        </is>
      </c>
      <c r="E136" t="inlineStr">
        <is>
          <t>SRC_FORMELE_ATTO3_DESIGN</t>
        </is>
      </c>
      <c r="F136" t="inlineStr">
        <is>
          <t>MEDIUM</t>
        </is>
      </c>
    </row>
    <row r="137">
      <c r="A137" t="inlineStr">
        <is>
          <t>EV_000136</t>
        </is>
      </c>
      <c r="B137" t="inlineStr">
        <is>
          <t>BYD_ATTO3</t>
        </is>
      </c>
      <c r="D137" t="inlineStr">
        <is>
          <t>OTA-oppdateringsmulighet fremhevet som en tydelig fordel - gjør bilen attraktiv for tredjeparts appleverandører.</t>
        </is>
      </c>
      <c r="E137" t="inlineStr">
        <is>
          <t>SRC_BIL24_ATTO3</t>
        </is>
      </c>
      <c r="F137" t="inlineStr">
        <is>
          <t>MEDIUM</t>
        </is>
      </c>
    </row>
    <row r="138">
      <c r="A138" t="inlineStr">
        <is>
          <t>EV_000137</t>
        </is>
      </c>
      <c r="B138" t="inlineStr">
        <is>
          <t>BYD_ATTO3</t>
        </is>
      </c>
      <c r="D138" t="inlineStr">
        <is>
          <t>Apple CarPlay var kun kablet ved lansering; trådløs CarPlay ble lagt til via en OTA-oppdatering (V1.8.0) 2. juli 2024. Android Auto har vært tilgjengelig trådløst fra start.</t>
        </is>
      </c>
      <c r="E138" t="inlineStr">
        <is>
          <t>SRC_CAREXPERT_ATTO3_CARPLAY</t>
        </is>
      </c>
      <c r="F138" t="inlineStr">
        <is>
          <t>MEDIUM</t>
        </is>
      </c>
    </row>
    <row r="139">
      <c r="A139" t="inlineStr">
        <is>
          <t>EV_000138</t>
        </is>
      </c>
      <c r="B139" t="inlineStr">
        <is>
          <t>BYD_ATTO3</t>
        </is>
      </c>
      <c r="D139" t="inlineStr">
        <is>
          <t>Design-testbil beskrevet som 'well-built, well-composed and modern' med et 'appealing design'; ratt i vegansk lær.</t>
        </is>
      </c>
      <c r="E139" t="inlineStr">
        <is>
          <t>SRC_FORMELE_ATTO3_DESIGN</t>
        </is>
      </c>
      <c r="F139" t="inlineStr">
        <is>
          <t>MEDIUM</t>
        </is>
      </c>
    </row>
    <row r="140">
      <c r="A140" t="inlineStr">
        <is>
          <t>EV_000139</t>
        </is>
      </c>
      <c r="B140" t="inlineStr">
        <is>
          <t>BYD_ATTO3</t>
        </is>
      </c>
      <c r="D140" t="inlineStr">
        <is>
          <t>Interiøret beskrives som overraskende lekent, 'både i former og i farge' - ikke et tradisjonelt/nøytralt SUV-interiør.</t>
        </is>
      </c>
      <c r="E140" t="inlineStr">
        <is>
          <t>SRC_BIL24_ATTO3</t>
        </is>
      </c>
      <c r="F140" t="inlineStr">
        <is>
          <t>MEDIUM</t>
        </is>
      </c>
    </row>
    <row r="141">
      <c r="A141" t="inlineStr">
        <is>
          <t>EV_000140</t>
        </is>
      </c>
      <c r="B141" t="inlineStr">
        <is>
          <t>BYD_ATTO3</t>
        </is>
      </c>
      <c r="D141" t="inlineStr">
        <is>
          <t>Førermiljø: setet mangler lengde- og helningsjustering (risiko for enkelte kroppsstørrelser), stort armlene, og begrenset hodehøyde for høye passasjerer under panoramataket. Seterygg med to varmenivåer.</t>
        </is>
      </c>
      <c r="E141" t="inlineStr">
        <is>
          <t>SRC_BIL24_ATTO3</t>
        </is>
      </c>
      <c r="F141" t="inlineStr">
        <is>
          <t>MEDIUM</t>
        </is>
      </c>
    </row>
    <row r="142">
      <c r="A142" t="inlineStr">
        <is>
          <t>EV_000141</t>
        </is>
      </c>
      <c r="B142" t="inlineStr">
        <is>
          <t>BYD_ATTO3</t>
        </is>
      </c>
      <c r="D142" t="inlineStr">
        <is>
          <t>Bakdørhåndtak i 'gitarstreng'-design beskrevet som artig, men potensielt problematisk med barn i baksetet. Girspaken beskrevet som 'artig'. Enkelte menystrukturer ikke intuitive. Ingen rattvarme.</t>
        </is>
      </c>
      <c r="E142" t="inlineStr">
        <is>
          <t>SRC_BIL24_ATTO3</t>
        </is>
      </c>
      <c r="F142" t="inlineStr">
        <is>
          <t>MEDIUM</t>
        </is>
      </c>
    </row>
    <row r="143">
      <c r="A143" t="inlineStr">
        <is>
          <t>EV_000142</t>
        </is>
      </c>
      <c r="B143" t="inlineStr">
        <is>
          <t>BYD_ATTO3</t>
        </is>
      </c>
      <c r="D143" t="inlineStr">
        <is>
          <t>Offisiell garanti: 6 år/150 000 km generell garanti, 8 år/250 000 km batterigaranti (SOH&gt;=70%), 12 år rustgaranti, 8 år/150 000 km drivmotorgaranti.</t>
        </is>
      </c>
      <c r="E143" t="inlineStr">
        <is>
          <t>SRC_BYD_WARRANTY_NO</t>
        </is>
      </c>
      <c r="F143" t="inlineStr">
        <is>
          <t>HIGH</t>
        </is>
      </c>
    </row>
    <row r="144">
      <c r="A144" t="inlineStr">
        <is>
          <t>EV_000143</t>
        </is>
      </c>
      <c r="B144" t="inlineStr">
        <is>
          <t>BYD_ATTO3</t>
        </is>
      </c>
      <c r="D144" t="inlineStr">
        <is>
          <t>440 liter bagasjerom, 60/40 delt bakseterygg med trekkstropper for nedfelling, to romslige sidekott, flatt gulv fremhevet som en praktisk fordel.</t>
        </is>
      </c>
      <c r="E144" t="inlineStr">
        <is>
          <t>SRC_BIL24_ATTO3</t>
        </is>
      </c>
      <c r="F144" t="inlineStr">
        <is>
          <t>MEDIUM</t>
        </is>
      </c>
    </row>
    <row r="145">
      <c r="A145" t="inlineStr">
        <is>
          <t>EV_000144</t>
        </is>
      </c>
      <c r="B145" t="inlineStr">
        <is>
          <t>BYD_ATTO3</t>
        </is>
      </c>
      <c r="D145" t="inlineStr">
        <is>
          <t>Reviewer stiller åpent spørsmål ved verdien for en forhjulsdrevet 5-seters SUV til ~380-423 000 kr avhengig av utstyrsnivå/opsjoner: 'Det er kanskje det?' - ambivalent, ikke en sterk anbefaling.</t>
        </is>
      </c>
      <c r="E145" t="inlineStr">
        <is>
          <t>SRC_BIL24_ATTO3</t>
        </is>
      </c>
      <c r="F145" t="inlineStr">
        <is>
          <t>MEDIUM</t>
        </is>
      </c>
    </row>
    <row r="146">
      <c r="A146" t="inlineStr">
        <is>
          <t>EV_000145</t>
        </is>
      </c>
      <c r="B146" t="inlineStr">
        <is>
          <t>BYD_ATTO3</t>
        </is>
      </c>
      <c r="D146" t="inlineStr">
        <is>
          <t>Atto 3 har vært til salgs i Norge siden minst 2023 (jf. datert NAF-test av Comfort 2023) med flere uavhengige testrunder over tid (elbil.no, bil24.no, formele.dk, NAF) - reell modellspesifikk historikk, ikke kun merke-fallback.</t>
        </is>
      </c>
      <c r="E146" t="inlineStr">
        <is>
          <t>SRC_NAF_BILGUIDEN_ATTO3</t>
        </is>
      </c>
      <c r="F146" t="inlineStr">
        <is>
          <t>MEDIUM</t>
        </is>
      </c>
    </row>
    <row r="147">
      <c r="A147" t="inlineStr">
        <is>
          <t>EV_000146</t>
        </is>
      </c>
      <c r="B147" t="inlineStr">
        <is>
          <t>BYD_ATTO3</t>
        </is>
      </c>
      <c r="D147" t="inlineStr">
        <is>
          <t>Offisiell lengde 4455mm gir 45mm margin til 4500mm-grensen - en reell, men moderat margin (trangere enn Kia EV2s 435mm, romsligere enn Skoda Elroqs 12mm).</t>
        </is>
      </c>
      <c r="E147" t="inlineStr">
        <is>
          <t>SRC_EVDATABASE_ATTO3</t>
        </is>
      </c>
      <c r="F147" t="inlineStr">
        <is>
          <t>MEDIUM</t>
        </is>
      </c>
    </row>
    <row r="148">
      <c r="A148" t="inlineStr">
        <is>
          <t>EV_000147</t>
        </is>
      </c>
      <c r="B148" t="inlineStr">
        <is>
          <t>BYD_ATTO3</t>
        </is>
      </c>
      <c r="D148" t="inlineStr">
        <is>
          <t>DC-lading 80kW (produsentoppgitt) / 90kW (NAF-målt) og AC 11kW - under nivået til mange 2026-konkurrenter (ofte 150-220kW DC), men lavt vektet kriterium.</t>
        </is>
      </c>
      <c r="E148" t="inlineStr">
        <is>
          <t>SRC_BYD_NO_ATTO3</t>
        </is>
      </c>
      <c r="F148"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9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c r="I1" t="inlineStr">
        <is>
          <t>Language</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c r="I2" t="inlineStr">
        <is>
          <t>NB</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c r="I3" t="inlineStr">
        <is>
          <t>NB</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NVH/støydemping, fjæring og infotainment-betjening.</t>
        </is>
      </c>
      <c r="I4" t="inlineStr">
        <is>
          <t>EN</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CarPlay-støtte på Tesla-kjøretøy, inkludert Model 3.</t>
        </is>
      </c>
      <c r="I5" t="inlineStr">
        <is>
          <t>EN</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c r="I6" t="inlineStr">
        <is>
          <t>NB</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c r="I7" t="inlineStr">
        <is>
          <t>NB</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fjæring/komfort, sikt og infotainment.</t>
        </is>
      </c>
      <c r="I8" t="inlineStr">
        <is>
          <t>NB</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c r="I9" t="inlineStr">
        <is>
          <t>EN</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c r="I10" t="inlineStr">
        <is>
          <t>NB</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c r="I11" t="inlineStr">
        <is>
          <t>NB</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c r="I12" t="inlineStr">
        <is>
          <t>EN</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kupestøy (hjulstøy), fjæring, og betjening/infotainment.</t>
        </is>
      </c>
      <c r="I13" t="inlineStr">
        <is>
          <t>NB</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c r="I14" t="inlineStr">
        <is>
          <t>EN</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c r="I15" t="inlineStr">
        <is>
          <t>EN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c r="I16" t="inlineStr">
        <is>
          <t>NB</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kupestøy, fjæring, rattbetjening, infotainment, og førerassistenter på norske vinterveier.</t>
        </is>
      </c>
      <c r="I17" t="inlineStr">
        <is>
          <t>NB</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c r="I18" t="inlineStr">
        <is>
          <t>EN</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c r="I19" t="inlineStr">
        <is>
          <t>NB</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c r="I20" t="inlineStr">
        <is>
          <t>NB</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fjæring/komfort og sikt.</t>
        </is>
      </c>
      <c r="I21" t="inlineStr">
        <is>
          <t>NB</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c r="I22" t="inlineStr">
        <is>
          <t>EN</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c r="I23" t="inlineStr">
        <is>
          <t>EN</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c r="I24" t="inlineStr">
        <is>
          <t>NB</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c r="I25" t="inlineStr">
        <is>
          <t>NB</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c r="I26" t="inlineStr">
        <is>
          <t>NB</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c r="I27" t="inlineStr">
        <is>
          <t>EN</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c r="I28" t="inlineStr">
        <is>
          <t>NB</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c r="I29" t="inlineStr">
        <is>
          <t>EN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c r="I30" t="inlineStr">
        <is>
          <t>EN</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c r="I31" t="inlineStr">
        <is>
          <t>NB</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c r="I32" t="inlineStr">
        <is>
          <t>EN</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c r="I33" t="inlineStr">
        <is>
          <t>EN</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c r="I34" t="inlineStr">
        <is>
          <t>EN</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c r="I35" t="inlineStr">
        <is>
          <t>NB</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c r="I36" t="inlineStr">
        <is>
          <t>EN</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c r="I37" t="inlineStr">
        <is>
          <t>EN</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c r="I38" t="inlineStr">
        <is>
          <t>NB</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c r="I39" t="inlineStr">
        <is>
          <t>NB</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c r="I40" t="inlineStr">
        <is>
          <t>EN</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c r="I41" t="inlineStr">
        <is>
          <t>EN</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c r="I42" t="inlineStr">
        <is>
          <t>NB</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c r="I43" t="inlineStr">
        <is>
          <t>EN</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c r="I44" t="inlineStr">
        <is>
          <t>OTHER</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c r="I45" t="inlineStr">
        <is>
          <t>OTHER</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c r="I46" t="inlineStr">
        <is>
          <t>NB</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c r="I47" t="inlineStr">
        <is>
          <t>NB</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c r="I48" t="inlineStr">
        <is>
          <t>OTHER</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c r="I49" t="inlineStr">
        <is>
          <t>NB</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c r="I50" t="inlineStr">
        <is>
          <t>NB</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c r="I51" t="inlineStr">
        <is>
          <t>EN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c r="I52" t="inlineStr">
        <is>
          <t>NB</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c r="I53" t="inlineStr">
        <is>
          <t>NB</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c r="I54" t="inlineStr">
        <is>
          <t>NB</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c r="I55" t="inlineStr">
        <is>
          <t>NB</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c r="I56" t="inlineStr">
        <is>
          <t>NB</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c r="I57" t="inlineStr">
        <is>
          <t>NB</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c r="I58" t="inlineStr">
        <is>
          <t>NB</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c r="I59" t="inlineStr">
        <is>
          <t>EN</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c r="I60" t="inlineStr">
        <is>
          <t>EN</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c r="I61" t="inlineStr">
        <is>
          <t>EN</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c r="I62" t="inlineStr">
        <is>
          <t>EN</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c r="I63" t="inlineStr">
        <is>
          <t>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c r="I64" t="inlineStr">
        <is>
          <t>EN</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c r="I65" t="inlineStr">
        <is>
          <t>EN</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c r="I66" t="inlineStr">
        <is>
          <t>EN</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c r="I67" t="inlineStr">
        <is>
          <t>EN</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c r="I68" t="inlineStr">
        <is>
          <t>EN</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c r="I69" t="inlineStr">
        <is>
          <t>EN</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c r="I70" t="inlineStr">
        <is>
          <t>EN</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c r="I71" t="inlineStr">
        <is>
          <t>EN</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c r="I72" t="inlineStr">
        <is>
          <t>EN</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c r="I73" t="inlineStr">
        <is>
          <t>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c r="I74" t="inlineStr">
        <is>
          <t>EN</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c r="I75" t="inlineStr">
        <is>
          <t>EN</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c r="I76" t="inlineStr">
        <is>
          <t>EN</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c r="I77" t="inlineStr">
        <is>
          <t>EN</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c r="I78" t="inlineStr">
        <is>
          <t>NB</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c r="I79" t="inlineStr">
        <is>
          <t>EN</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c r="I80" t="inlineStr">
        <is>
          <t>NB</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c r="I81" t="inlineStr">
        <is>
          <t>EN</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c r="I82" t="inlineStr">
        <is>
          <t>NB</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c r="I83" t="inlineStr">
        <is>
          <t>EN</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c r="I84" t="inlineStr">
        <is>
          <t>NB</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c r="I85" t="inlineStr">
        <is>
          <t>EN</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c r="I86" t="inlineStr">
        <is>
          <t>NB</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c r="I87" t="inlineStr">
        <is>
          <t>EN</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c r="I88" t="inlineStr">
        <is>
          <t>EN</t>
        </is>
      </c>
    </row>
    <row r="89">
      <c r="A89" t="inlineStr">
        <is>
          <t>SRC_BYD_NO_ATTO3</t>
        </is>
      </c>
      <c r="B89" t="inlineStr">
        <is>
          <t>MANUFACTURER</t>
        </is>
      </c>
      <c r="C89" t="inlineStr">
        <is>
          <t>Atto3 | Opplev din neste BYD idag</t>
        </is>
      </c>
      <c r="D89" t="inlineStr">
        <is>
          <t>BYD Norge</t>
        </is>
      </c>
      <c r="E89" t="inlineStr">
        <is>
          <t>https://byd.no/modeller/atto3</t>
        </is>
      </c>
      <c r="G89" t="inlineStr">
        <is>
          <t>2026-07-07</t>
        </is>
      </c>
      <c r="H89" t="inlineStr">
        <is>
          <t>Offisiell BYD Norge modellside for Atto 3 (Comfort/Design-nivå, 60 kWh/420 km WLTP). Ikke å forveksle med det separat markedsførte EVO 4x4 (byd.no/modeller/evo-4x4).</t>
        </is>
      </c>
      <c r="I89" t="inlineStr">
        <is>
          <t>NB</t>
        </is>
      </c>
    </row>
    <row r="90">
      <c r="A90" t="inlineStr">
        <is>
          <t>SRC_EVDATABASE_ATTO3</t>
        </is>
      </c>
      <c r="B90" t="inlineStr">
        <is>
          <t>DATABASE</t>
        </is>
      </c>
      <c r="C90" t="inlineStr">
        <is>
          <t>BYD ATTO 3 (MY23-24) (2022-2025) price and specifications</t>
        </is>
      </c>
      <c r="D90" t="inlineStr">
        <is>
          <t>EV Database</t>
        </is>
      </c>
      <c r="E90" t="inlineStr">
        <is>
          <t>https://ev-database.org/car/1782/BYD-ATTO-3</t>
        </is>
      </c>
      <c r="G90" t="inlineStr">
        <is>
          <t>2026-07-07</t>
        </is>
      </c>
      <c r="H90" t="inlineStr">
        <is>
          <t>Tredjeparts spesifikasjonsdatabase; brukt for lengde/bredde/høyde/motoreffekt/dreiemoment/toppfart som ikke er oppgitt på byd.no.</t>
        </is>
      </c>
      <c r="I90" t="inlineStr">
        <is>
          <t>EN</t>
        </is>
      </c>
    </row>
    <row r="91">
      <c r="A91" t="inlineStr">
        <is>
          <t>SRC_NAF_BILGUIDEN_ATTO3</t>
        </is>
      </c>
      <c r="B91" t="inlineStr">
        <is>
          <t>PROFESSIONAL_REVIEW</t>
        </is>
      </c>
      <c r="C91" t="inlineStr">
        <is>
          <t>BYD Atto 3 - pris, rekkevidde og tester</t>
        </is>
      </c>
      <c r="D91" t="inlineStr">
        <is>
          <t>NAF</t>
        </is>
      </c>
      <c r="E91" t="inlineStr">
        <is>
          <t>https://www.naf.no/bilguiden/bilmodell/byd-atto-3</t>
        </is>
      </c>
      <c r="G91" t="inlineStr">
        <is>
          <t>2026-07-07</t>
        </is>
      </c>
      <c r="H91" t="inlineStr">
        <is>
          <t>NAFs egen testside viser kun sommertest 2023-resultater (ladetest, egenvekt); ingen vintertest-rekkevidde er publisert her, til tross for at et søkemotor-sammendrag hevdet et 311 km-tall som ikke lot seg bekrefte ved direkte henting av siden.</t>
        </is>
      </c>
      <c r="I91" t="inlineStr">
        <is>
          <t>NB</t>
        </is>
      </c>
    </row>
    <row r="92">
      <c r="A92" t="inlineStr">
        <is>
          <t>SRC_BIL24_ATTO3</t>
        </is>
      </c>
      <c r="B92" t="inlineStr">
        <is>
          <t>PROFESSIONAL_REVIEW</t>
        </is>
      </c>
      <c r="C92" t="inlineStr">
        <is>
          <t>Vi har testet BYD Atto 3</t>
        </is>
      </c>
      <c r="D92" t="inlineStr">
        <is>
          <t>Bil24</t>
        </is>
      </c>
      <c r="E92" t="inlineStr">
        <is>
          <t>https://bil24.no/vi-har-testet-byd-atto-3</t>
        </is>
      </c>
      <c r="G92" t="inlineStr">
        <is>
          <t>2026-07-07</t>
        </is>
      </c>
      <c r="H92" t="inlineStr">
        <is>
          <t>Norsk redaksjonell test, 350 km kjørt. Testbil er Comfort-basert (pris ~423 000 kr inkl. vinterhjul/metallic/ladekabel), men deler karosseri/fjæring/infotainment/kamerasystem med Design - kun skjermstørrelse, bakluke og ambientbelysning skiller nivåene.</t>
        </is>
      </c>
      <c r="I92" t="inlineStr">
        <is>
          <t>NB</t>
        </is>
      </c>
    </row>
    <row r="93">
      <c r="A93" t="inlineStr">
        <is>
          <t>SRC_FORMELE_ATTO3_DESIGN</t>
        </is>
      </c>
      <c r="B93" t="inlineStr">
        <is>
          <t>PROFESSIONAL_REVIEW</t>
        </is>
      </c>
      <c r="C93" t="inlineStr">
        <is>
          <t>BYD Atto 3 Design - biltest</t>
        </is>
      </c>
      <c r="D93" t="inlineStr">
        <is>
          <t>Formel E (Danmark)</t>
        </is>
      </c>
      <c r="E93" t="inlineStr">
        <is>
          <t>https://formele.dk/index.php/el-biler/biltest-provekorsler/byd-test/383-byd-atto-3-design-biltest</t>
        </is>
      </c>
      <c r="G93" t="inlineStr">
        <is>
          <t>2026-07-07</t>
        </is>
      </c>
      <c r="H93" t="inlineStr">
        <is>
          <t>Dansk test spesifikt på Design-utstyrsnivå - direkte anvendelig på den norske Design-konfigurasjonen.</t>
        </is>
      </c>
      <c r="I93" t="inlineStr">
        <is>
          <t>OTHER</t>
        </is>
      </c>
    </row>
    <row r="94">
      <c r="A94" t="inlineStr">
        <is>
          <t>SRC_EVPARTS4X4_ATTO3</t>
        </is>
      </c>
      <c r="B94" t="inlineStr">
        <is>
          <t>COMMUNITY</t>
        </is>
      </c>
      <c r="C94" t="inlineStr">
        <is>
          <t>BYD Atto 3 Common Problems, Fixes &amp; Reliability (2026 update)</t>
        </is>
      </c>
      <c r="D94" t="inlineStr">
        <is>
          <t>EVparts4x4</t>
        </is>
      </c>
      <c r="E94" t="inlineStr">
        <is>
          <t>https://evparts4x4.com/blogs/news/byd-atto-3-common-problems-2026-update</t>
        </is>
      </c>
      <c r="G94" t="inlineStr">
        <is>
          <t>2026-07-07</t>
        </is>
      </c>
      <c r="H94" t="inlineStr">
        <is>
          <t>Sammenstilling av eierrapporterte problemer, ikke en profesjonell redaksjonell test - vektet lavere/supplerende, ikke som eneste kilde for W008.</t>
        </is>
      </c>
      <c r="I94" t="inlineStr">
        <is>
          <t>EN</t>
        </is>
      </c>
    </row>
    <row r="95">
      <c r="A95" t="inlineStr">
        <is>
          <t>SRC_CAREXPERT_ATTO3_CARPLAY</t>
        </is>
      </c>
      <c r="B95" t="inlineStr">
        <is>
          <t>OTHER</t>
        </is>
      </c>
      <c r="C95" t="inlineStr">
        <is>
          <t>BYD Atto 3, Seal, Dolphin gain wireless Apple CarPlay</t>
        </is>
      </c>
      <c r="D95" t="inlineStr">
        <is>
          <t>CarExpert</t>
        </is>
      </c>
      <c r="E95" t="inlineStr">
        <is>
          <t>https://www.carexpert.com.au/car-news/byd-atto-3-seal-dolphin-gain-wireless-apple-carplay</t>
        </is>
      </c>
      <c r="F95" t="inlineStr">
        <is>
          <t>2024-07-02</t>
        </is>
      </c>
      <c r="G95" t="inlineStr">
        <is>
          <t>2026-07-07</t>
        </is>
      </c>
      <c r="H95" t="inlineStr">
        <is>
          <t>Bekrefter trådløs CarPlay ankom via OTA-oppdatering (V1.8.0, 2. juli 2024) - før dette kun kablet CarPlay.</t>
        </is>
      </c>
      <c r="I95" t="inlineStr">
        <is>
          <t>EN</t>
        </is>
      </c>
    </row>
    <row r="96">
      <c r="A96" t="inlineStr">
        <is>
          <t>SRC_BYD_WARRANTY_NO</t>
        </is>
      </c>
      <c r="B96" t="inlineStr">
        <is>
          <t>MANUFACTURER</t>
        </is>
      </c>
      <c r="C96" t="inlineStr">
        <is>
          <t>Håndbok for begrenset garanti</t>
        </is>
      </c>
      <c r="D96" t="inlineStr">
        <is>
          <t>BYD</t>
        </is>
      </c>
      <c r="E96" t="inlineStr">
        <is>
          <t>https://www.byd.com/material/byd-site/eu/support/service/warranty/20251021/BYDH%C3%A5ndbok%20for%20begrenset%20garanti-NO.pdf</t>
        </is>
      </c>
      <c r="G96" t="inlineStr">
        <is>
          <t>2026-07-07</t>
        </is>
      </c>
      <c r="H96" t="inlineStr">
        <is>
          <t>Offisiell norsk garantihåndbok: 6 år/150 000 km generell, 8 år/250 000 km batteri (SOH&gt;=70%), 12 år rust, 8 år/150 000 km drivmotor.</t>
        </is>
      </c>
      <c r="I96" t="inlineStr">
        <is>
          <t>NB</t>
        </is>
      </c>
    </row>
  </sheetData>
  <autoFilter ref="A1:H1"/>
  <dataValidations count="2">
    <dataValidation sqref="B2:B1048576" showDropDown="0" showInputMessage="0" showErrorMessage="1" allowBlank="1" type="list">
      <formula1>Enum_SourceType</formula1>
    </dataValidation>
    <dataValidation sqref="I2:I1048576" showDropDown="0" showInputMessage="0" showErrorMessage="1" allowBlank="1" type="list">
      <formula1>Enum_Language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row r="102">
      <c r="A102" t="inlineStr">
        <is>
          <t>SCORE_000102</t>
        </is>
      </c>
      <c r="B102" t="inlineStr">
        <is>
          <t>BYD_ATTO3_DESIGN</t>
        </is>
      </c>
      <c r="C102" t="inlineStr">
        <is>
          <t>W001</t>
        </is>
      </c>
      <c r="D102" t="inlineStr">
        <is>
          <t>REV_000101</t>
        </is>
      </c>
      <c r="E102" t="inlineStr">
        <is>
          <t>1.8</t>
        </is>
      </c>
      <c r="F102">
        <f>ROUND(INDEX('07_Reviews'!$E:$E,MATCH(D102,'07_Reviews'!$A:$A,0))/5*100,2)</f>
        <v/>
      </c>
      <c r="G102">
        <f>ROUND(F102*INDEX('01_Criteria'!$F:$F,MATCH(C102,'01_Criteria'!$A:$A,0))/100,2)</f>
        <v/>
      </c>
      <c r="H102" t="inlineStr">
        <is>
          <t>Review score 3/5 (normalized RawScore = 60.0/100 on a documented 1-5 scale, since the framework does not prescribe a numeric scale). Traceable to REV_000101 -&gt; supporting Evidence -&gt; cited Source.</t>
        </is>
      </c>
    </row>
    <row r="103">
      <c r="A103" t="inlineStr">
        <is>
          <t>SCORE_000103</t>
        </is>
      </c>
      <c r="B103" t="inlineStr">
        <is>
          <t>BYD_ATTO3_DESIGN</t>
        </is>
      </c>
      <c r="C103" t="inlineStr">
        <is>
          <t>W002</t>
        </is>
      </c>
      <c r="D103" t="inlineStr">
        <is>
          <t>REV_000102</t>
        </is>
      </c>
      <c r="E103" t="inlineStr">
        <is>
          <t>1.8</t>
        </is>
      </c>
      <c r="F103">
        <f>ROUND(INDEX('07_Reviews'!$E:$E,MATCH(D103,'07_Reviews'!$A:$A,0))/5*100,2)</f>
        <v/>
      </c>
      <c r="G103">
        <f>ROUND(F103*INDEX('01_Criteria'!$F:$F,MATCH(C103,'01_Criteria'!$A:$A,0))/100,2)</f>
        <v/>
      </c>
      <c r="H103" t="inlineStr">
        <is>
          <t>Review score 4/5 (normalized RawScore = 80.0/100 on a documented 1-5 scale, since the framework does not prescribe a numeric scale). Traceable to REV_000102 -&gt; supporting Evidence -&gt; cited Source.</t>
        </is>
      </c>
    </row>
    <row r="104">
      <c r="A104" t="inlineStr">
        <is>
          <t>SCORE_000104</t>
        </is>
      </c>
      <c r="B104" t="inlineStr">
        <is>
          <t>BYD_ATTO3_DESIGN</t>
        </is>
      </c>
      <c r="C104" t="inlineStr">
        <is>
          <t>W003</t>
        </is>
      </c>
      <c r="D104" t="inlineStr">
        <is>
          <t>REV_000103</t>
        </is>
      </c>
      <c r="E104" t="inlineStr">
        <is>
          <t>1.8</t>
        </is>
      </c>
      <c r="F104">
        <f>ROUND(INDEX('07_Reviews'!$E:$E,MATCH(D104,'07_Reviews'!$A:$A,0))/5*100,2)</f>
        <v/>
      </c>
      <c r="G104">
        <f>ROUND(F104*INDEX('01_Criteria'!$F:$F,MATCH(C104,'01_Criteria'!$A:$A,0))/100,2)</f>
        <v/>
      </c>
      <c r="H104" t="inlineStr">
        <is>
          <t>Review score 4/5 (normalized RawScore = 80.0/100 on a documented 1-5 scale, since the framework does not prescribe a numeric scale). Traceable to REV_000103 -&gt; supporting Evidence -&gt; cited Source.</t>
        </is>
      </c>
    </row>
    <row r="105">
      <c r="A105" t="inlineStr">
        <is>
          <t>SCORE_000105</t>
        </is>
      </c>
      <c r="B105" t="inlineStr">
        <is>
          <t>BYD_ATTO3_DESIGN</t>
        </is>
      </c>
      <c r="C105" t="inlineStr">
        <is>
          <t>W004</t>
        </is>
      </c>
      <c r="D105" t="inlineStr">
        <is>
          <t>REV_000104</t>
        </is>
      </c>
      <c r="E105" t="inlineStr">
        <is>
          <t>1.8</t>
        </is>
      </c>
      <c r="F105">
        <f>ROUND(INDEX('07_Reviews'!$E:$E,MATCH(D105,'07_Reviews'!$A:$A,0))/5*100,2)</f>
        <v/>
      </c>
      <c r="G105">
        <f>ROUND(F105*INDEX('01_Criteria'!$F:$F,MATCH(C105,'01_Criteria'!$A:$A,0))/100,2)</f>
        <v/>
      </c>
      <c r="H105" t="inlineStr">
        <is>
          <t>Review score 3/5 (normalized RawScore = 60.0/100 on a documented 1-5 scale, since the framework does not prescribe a numeric scale). Traceable to REV_000104 -&gt; supporting Evidence -&gt; cited Source.</t>
        </is>
      </c>
    </row>
    <row r="106">
      <c r="A106" t="inlineStr">
        <is>
          <t>SCORE_000106</t>
        </is>
      </c>
      <c r="B106" t="inlineStr">
        <is>
          <t>BYD_ATTO3_DESIGN</t>
        </is>
      </c>
      <c r="C106" t="inlineStr">
        <is>
          <t>W005</t>
        </is>
      </c>
      <c r="D106" t="inlineStr">
        <is>
          <t>REV_000105</t>
        </is>
      </c>
      <c r="E106" t="inlineStr">
        <is>
          <t>1.8</t>
        </is>
      </c>
      <c r="F106">
        <f>ROUND(INDEX('07_Reviews'!$E:$E,MATCH(D106,'07_Reviews'!$A:$A,0))/5*100,2)</f>
        <v/>
      </c>
      <c r="G106">
        <f>ROUND(F106*INDEX('01_Criteria'!$F:$F,MATCH(C106,'01_Criteria'!$A:$A,0))/100,2)</f>
        <v/>
      </c>
      <c r="H106" t="inlineStr">
        <is>
          <t>Review score 3/5 (normalized RawScore = 60.0/100 on a documented 1-5 scale, since the framework does not prescribe a numeric scale). Traceable to REV_000105 -&gt; supporting Evidence -&gt; cited Source.</t>
        </is>
      </c>
    </row>
    <row r="107">
      <c r="A107" t="inlineStr">
        <is>
          <t>SCORE_000107</t>
        </is>
      </c>
      <c r="B107" t="inlineStr">
        <is>
          <t>BYD_ATTO3_DESIGN</t>
        </is>
      </c>
      <c r="C107" t="inlineStr">
        <is>
          <t>W006</t>
        </is>
      </c>
      <c r="D107" t="inlineStr">
        <is>
          <t>REV_000106</t>
        </is>
      </c>
      <c r="E107" t="inlineStr">
        <is>
          <t>1.8</t>
        </is>
      </c>
      <c r="F107">
        <f>ROUND(INDEX('07_Reviews'!$E:$E,MATCH(D107,'07_Reviews'!$A:$A,0))/5*100,2)</f>
        <v/>
      </c>
      <c r="G107">
        <f>ROUND(F107*INDEX('01_Criteria'!$F:$F,MATCH(C107,'01_Criteria'!$A:$A,0))/100,2)</f>
        <v/>
      </c>
      <c r="H107" t="inlineStr">
        <is>
          <t>Review score 4/5 (normalized RawScore = 80.0/100 on a documented 1-5 scale, since the framework does not prescribe a numeric scale). Traceable to REV_000106 -&gt; supporting Evidence -&gt; cited Source.</t>
        </is>
      </c>
    </row>
    <row r="108">
      <c r="A108" t="inlineStr">
        <is>
          <t>SCORE_000108</t>
        </is>
      </c>
      <c r="B108" t="inlineStr">
        <is>
          <t>BYD_ATTO3_DESIGN</t>
        </is>
      </c>
      <c r="C108" t="inlineStr">
        <is>
          <t>W007</t>
        </is>
      </c>
      <c r="D108" t="inlineStr">
        <is>
          <t>REV_000107</t>
        </is>
      </c>
      <c r="E108" t="inlineStr">
        <is>
          <t>1.8</t>
        </is>
      </c>
      <c r="F108">
        <f>ROUND(INDEX('07_Reviews'!$E:$E,MATCH(D108,'07_Reviews'!$A:$A,0))/5*100,2)</f>
        <v/>
      </c>
      <c r="G108">
        <f>ROUND(F108*INDEX('01_Criteria'!$F:$F,MATCH(C108,'01_Criteria'!$A:$A,0))/100,2)</f>
        <v/>
      </c>
      <c r="H108" t="inlineStr">
        <is>
          <t>Review score 3/5 (normalized RawScore = 60.0/100 on a documented 1-5 scale, since the framework does not prescribe a numeric scale). Traceable to REV_000107 -&gt; supporting Evidence -&gt; cited Source.</t>
        </is>
      </c>
    </row>
    <row r="109">
      <c r="A109" t="inlineStr">
        <is>
          <t>SCORE_000109</t>
        </is>
      </c>
      <c r="B109" t="inlineStr">
        <is>
          <t>BYD_ATTO3_DESIGN</t>
        </is>
      </c>
      <c r="C109" t="inlineStr">
        <is>
          <t>W008</t>
        </is>
      </c>
      <c r="D109" t="inlineStr">
        <is>
          <t>REV_000108</t>
        </is>
      </c>
      <c r="E109" t="inlineStr">
        <is>
          <t>1.8</t>
        </is>
      </c>
      <c r="F109">
        <f>ROUND(INDEX('07_Reviews'!$E:$E,MATCH(D109,'07_Reviews'!$A:$A,0))/5*100,2)</f>
        <v/>
      </c>
      <c r="G109">
        <f>ROUND(F109*INDEX('01_Criteria'!$F:$F,MATCH(C109,'01_Criteria'!$A:$A,0))/100,2)</f>
        <v/>
      </c>
      <c r="H109" t="inlineStr">
        <is>
          <t>Review score 2/5 (normalized RawScore = 40.0/100 on a documented 1-5 scale, since the framework does not prescribe a numeric scale). Traceable to REV_000108 -&gt; supporting Evidence -&gt; cited Source.</t>
        </is>
      </c>
    </row>
    <row r="110">
      <c r="A110" t="inlineStr">
        <is>
          <t>SCORE_000110</t>
        </is>
      </c>
      <c r="B110" t="inlineStr">
        <is>
          <t>BYD_ATTO3_DESIGN</t>
        </is>
      </c>
      <c r="C110" t="inlineStr">
        <is>
          <t>W009</t>
        </is>
      </c>
      <c r="D110" t="inlineStr">
        <is>
          <t>REV_000109</t>
        </is>
      </c>
      <c r="E110" t="inlineStr">
        <is>
          <t>1.8</t>
        </is>
      </c>
      <c r="F110">
        <f>ROUND(INDEX('07_Reviews'!$E:$E,MATCH(D110,'07_Reviews'!$A:$A,0))/5*100,2)</f>
        <v/>
      </c>
      <c r="G110">
        <f>ROUND(F110*INDEX('01_Criteria'!$F:$F,MATCH(C110,'01_Criteria'!$A:$A,0))/100,2)</f>
        <v/>
      </c>
      <c r="H110" t="inlineStr">
        <is>
          <t>Review score 5/5 (normalized RawScore = 100.0/100 on a documented 1-5 scale, since the framework does not prescribe a numeric scale). Traceable to REV_000109 -&gt; supporting Evidence -&gt; cited Source.</t>
        </is>
      </c>
    </row>
    <row r="111">
      <c r="A111" t="inlineStr">
        <is>
          <t>SCORE_000111</t>
        </is>
      </c>
      <c r="B111" t="inlineStr">
        <is>
          <t>BYD_ATTO3_DESIGN</t>
        </is>
      </c>
      <c r="C111" t="inlineStr">
        <is>
          <t>W010</t>
        </is>
      </c>
      <c r="D111" t="inlineStr">
        <is>
          <t>REV_000110</t>
        </is>
      </c>
      <c r="E111" t="inlineStr">
        <is>
          <t>1.8</t>
        </is>
      </c>
      <c r="F111">
        <f>ROUND(INDEX('07_Reviews'!$E:$E,MATCH(D111,'07_Reviews'!$A:$A,0))/5*100,2)</f>
        <v/>
      </c>
      <c r="G111">
        <f>ROUND(F111*INDEX('01_Criteria'!$F:$F,MATCH(C111,'01_Criteria'!$A:$A,0))/100,2)</f>
        <v/>
      </c>
      <c r="H111" t="inlineStr">
        <is>
          <t>Review score 4/5 (normalized RawScore = 80.0/100 on a documented 1-5 scale, since the framework does not prescribe a numeric scale). Traceable to REV_000110 -&gt; supporting Evidence -&gt; cited Source.</t>
        </is>
      </c>
    </row>
    <row r="112">
      <c r="A112" t="inlineStr">
        <is>
          <t>SCORE_000112</t>
        </is>
      </c>
      <c r="B112" t="inlineStr">
        <is>
          <t>BYD_ATTO3_DESIGN</t>
        </is>
      </c>
      <c r="C112" t="inlineStr">
        <is>
          <t>W011</t>
        </is>
      </c>
      <c r="D112" t="inlineStr">
        <is>
          <t>REV_000111</t>
        </is>
      </c>
      <c r="E112" t="inlineStr">
        <is>
          <t>1.8</t>
        </is>
      </c>
      <c r="F112">
        <f>ROUND(INDEX('07_Reviews'!$E:$E,MATCH(D112,'07_Reviews'!$A:$A,0))/5*100,2)</f>
        <v/>
      </c>
      <c r="G112">
        <f>ROUND(F112*INDEX('01_Criteria'!$F:$F,MATCH(C112,'01_Criteria'!$A:$A,0))/100,2)</f>
        <v/>
      </c>
      <c r="H112" t="inlineStr">
        <is>
          <t>Review score 4/5 (normalized RawScore = 80.0/100 on a documented 1-5 scale, since the framework does not prescribe a numeric scale). Traceable to REV_000111 -&gt; supporting Evidence -&gt; cited Source.</t>
        </is>
      </c>
    </row>
    <row r="113">
      <c r="A113" t="inlineStr">
        <is>
          <t>SCORE_000113</t>
        </is>
      </c>
      <c r="B113" t="inlineStr">
        <is>
          <t>BYD_ATTO3_DESIGN</t>
        </is>
      </c>
      <c r="C113" t="inlineStr">
        <is>
          <t>W012</t>
        </is>
      </c>
      <c r="D113" t="inlineStr">
        <is>
          <t>REV_000112</t>
        </is>
      </c>
      <c r="E113" t="inlineStr">
        <is>
          <t>1.8</t>
        </is>
      </c>
      <c r="F113">
        <f>ROUND(INDEX('07_Reviews'!$E:$E,MATCH(D113,'07_Reviews'!$A:$A,0))/5*100,2)</f>
        <v/>
      </c>
      <c r="G113">
        <f>ROUND(F113*INDEX('01_Criteria'!$F:$F,MATCH(C113,'01_Criteria'!$A:$A,0))/100,2)</f>
        <v/>
      </c>
      <c r="H113" t="inlineStr">
        <is>
          <t>Review score 3/5 (normalized RawScore = 60.0/100 on a documented 1-5 scale, since the framework does not prescribe a numeric scale). Traceable to REV_000112 -&gt; supporting Evidence -&gt; cited Source.</t>
        </is>
      </c>
    </row>
    <row r="114">
      <c r="A114" t="inlineStr">
        <is>
          <t>SCORE_000114</t>
        </is>
      </c>
      <c r="B114" t="inlineStr">
        <is>
          <t>BYD_ATTO3_DESIGN</t>
        </is>
      </c>
      <c r="C114" t="inlineStr">
        <is>
          <t>W013</t>
        </is>
      </c>
      <c r="D114" t="inlineStr">
        <is>
          <t>REV_000113</t>
        </is>
      </c>
      <c r="E114" t="inlineStr">
        <is>
          <t>1.8</t>
        </is>
      </c>
      <c r="F114">
        <f>ROUND(INDEX('07_Reviews'!$E:$E,MATCH(D114,'07_Reviews'!$A:$A,0))/5*100,2)</f>
        <v/>
      </c>
      <c r="G114">
        <f>ROUND(F114*INDEX('01_Criteria'!$F:$F,MATCH(C114,'01_Criteria'!$A:$A,0))/100,2)</f>
        <v/>
      </c>
      <c r="H114" t="inlineStr">
        <is>
          <t>Review score 3/5 (normalized RawScore = 60.0/100 on a documented 1-5 scale, since the framework does not prescribe a numeric scale). Traceable to REV_000113 -&gt; supporting Evidence -&gt; cited Source.</t>
        </is>
      </c>
    </row>
    <row r="115">
      <c r="A115" t="inlineStr">
        <is>
          <t>SCORE_000115</t>
        </is>
      </c>
      <c r="B115" t="inlineStr">
        <is>
          <t>BYD_ATTO3_DESIGN</t>
        </is>
      </c>
      <c r="C115" t="inlineStr">
        <is>
          <t>W014</t>
        </is>
      </c>
      <c r="D115" t="inlineStr">
        <is>
          <t>REV_000114</t>
        </is>
      </c>
      <c r="E115" t="inlineStr">
        <is>
          <t>1.8</t>
        </is>
      </c>
      <c r="F115">
        <f>ROUND(INDEX('07_Reviews'!$E:$E,MATCH(D115,'07_Reviews'!$A:$A,0))/5*100,2)</f>
        <v/>
      </c>
      <c r="G115">
        <f>ROUND(F115*INDEX('01_Criteria'!$F:$F,MATCH(C115,'01_Criteria'!$A:$A,0))/100,2)</f>
        <v/>
      </c>
      <c r="H115" t="inlineStr">
        <is>
          <t>Review score 4/5 (normalized RawScore = 80.0/100 on a documented 1-5 scale, since the framework does not prescribe a numeric scale). Traceable to REV_000114 -&gt; supporting Evidence -&gt; cited Source.</t>
        </is>
      </c>
    </row>
    <row r="116">
      <c r="A116" t="inlineStr">
        <is>
          <t>SCORE_000116</t>
        </is>
      </c>
      <c r="B116" t="inlineStr">
        <is>
          <t>BYD_ATTO3_DESIGN</t>
        </is>
      </c>
      <c r="C116" t="inlineStr">
        <is>
          <t>W015</t>
        </is>
      </c>
      <c r="D116" t="inlineStr">
        <is>
          <t>REV_000115</t>
        </is>
      </c>
      <c r="E116" t="inlineStr">
        <is>
          <t>1.8</t>
        </is>
      </c>
      <c r="F116">
        <f>ROUND(INDEX('07_Reviews'!$E:$E,MATCH(D116,'07_Reviews'!$A:$A,0))/5*100,2)</f>
        <v/>
      </c>
      <c r="G116">
        <f>ROUND(F116*INDEX('01_Criteria'!$F:$F,MATCH(C116,'01_Criteria'!$A:$A,0))/100,2)</f>
        <v/>
      </c>
      <c r="H116" t="inlineStr">
        <is>
          <t>Review score 5/5 (normalized RawScore = 100.0/100 on a documented 1-5 scale, since the framework does not prescribe a numeric scale). Traceable to REV_000115 -&gt; supporting Evidence -&gt; cited Source.</t>
        </is>
      </c>
    </row>
    <row r="117">
      <c r="A117" t="inlineStr">
        <is>
          <t>SCORE_000117</t>
        </is>
      </c>
      <c r="B117" t="inlineStr">
        <is>
          <t>BYD_ATTO3_DESIGN</t>
        </is>
      </c>
      <c r="C117" t="inlineStr">
        <is>
          <t>W016</t>
        </is>
      </c>
      <c r="D117" t="inlineStr">
        <is>
          <t>REV_000116</t>
        </is>
      </c>
      <c r="E117" t="inlineStr">
        <is>
          <t>1.8</t>
        </is>
      </c>
      <c r="F117">
        <f>ROUND(INDEX('07_Reviews'!$E:$E,MATCH(D117,'07_Reviews'!$A:$A,0))/5*100,2)</f>
        <v/>
      </c>
      <c r="G117">
        <f>ROUND(F117*INDEX('01_Criteria'!$F:$F,MATCH(C117,'01_Criteria'!$A:$A,0))/100,2)</f>
        <v/>
      </c>
      <c r="H117" t="inlineStr">
        <is>
          <t>Review score 3/5 (normalized RawScore = 60.0/100 on a documented 1-5 scale, since the framework does not prescribe a numeric scale). Traceable to REV_000116 -&gt; supporting Evidence -&gt; cited Source.</t>
        </is>
      </c>
    </row>
    <row r="118">
      <c r="A118" t="inlineStr">
        <is>
          <t>SCORE_000118</t>
        </is>
      </c>
      <c r="B118" t="inlineStr">
        <is>
          <t>BYD_ATTO3_DESIGN</t>
        </is>
      </c>
      <c r="C118" t="inlineStr">
        <is>
          <t>W017</t>
        </is>
      </c>
      <c r="D118" t="inlineStr">
        <is>
          <t>REV_000117</t>
        </is>
      </c>
      <c r="E118" t="inlineStr">
        <is>
          <t>1.8</t>
        </is>
      </c>
      <c r="F118">
        <f>ROUND(INDEX('07_Reviews'!$E:$E,MATCH(D118,'07_Reviews'!$A:$A,0))/5*100,2)</f>
        <v/>
      </c>
      <c r="G118">
        <f>ROUND(F118*INDEX('01_Criteria'!$F:$F,MATCH(C118,'01_Criteria'!$A:$A,0))/100,2)</f>
        <v/>
      </c>
      <c r="H118" t="inlineStr">
        <is>
          <t>Review score 3/5 (normalized RawScore = 60.0/100 on a documented 1-5 scale, since the framework does not prescribe a numeric scale). Traceable to REV_000117 -&gt; supporting Evidence -&gt; cited Source.</t>
        </is>
      </c>
    </row>
    <row r="119">
      <c r="A119" t="inlineStr">
        <is>
          <t>SCORE_000119</t>
        </is>
      </c>
      <c r="B119" t="inlineStr">
        <is>
          <t>BYD_ATTO3_DESIGN</t>
        </is>
      </c>
      <c r="C119" t="inlineStr">
        <is>
          <t>W018</t>
        </is>
      </c>
      <c r="D119" t="inlineStr">
        <is>
          <t>REV_000118</t>
        </is>
      </c>
      <c r="E119" t="inlineStr">
        <is>
          <t>1.8</t>
        </is>
      </c>
      <c r="F119">
        <f>ROUND(INDEX('07_Reviews'!$E:$E,MATCH(D119,'07_Reviews'!$A:$A,0))/5*100,2)</f>
        <v/>
      </c>
      <c r="G119">
        <f>ROUND(F119*INDEX('01_Criteria'!$F:$F,MATCH(C119,'01_Criteria'!$A:$A,0))/100,2)</f>
        <v/>
      </c>
      <c r="H119" t="inlineStr">
        <is>
          <t>Review score 4/5 (normalized RawScore = 80.0/100 on a documented 1-5 scale, since the framework does not prescribe a numeric scale). Traceable to REV_000118 -&gt; supporting Evidence -&gt; cited Source.</t>
        </is>
      </c>
    </row>
    <row r="120">
      <c r="A120" t="inlineStr">
        <is>
          <t>SCORE_000120</t>
        </is>
      </c>
      <c r="B120" t="inlineStr">
        <is>
          <t>BYD_ATTO3_DESIGN</t>
        </is>
      </c>
      <c r="C120" t="inlineStr">
        <is>
          <t>W019</t>
        </is>
      </c>
      <c r="D120" t="inlineStr">
        <is>
          <t>REV_000119</t>
        </is>
      </c>
      <c r="E120" t="inlineStr">
        <is>
          <t>1.8</t>
        </is>
      </c>
      <c r="F120">
        <f>ROUND(INDEX('07_Reviews'!$E:$E,MATCH(D120,'07_Reviews'!$A:$A,0))/5*100,2)</f>
        <v/>
      </c>
      <c r="G120">
        <f>ROUND(F120*INDEX('01_Criteria'!$F:$F,MATCH(C120,'01_Criteria'!$A:$A,0))/100,2)</f>
        <v/>
      </c>
      <c r="H120" t="inlineStr">
        <is>
          <t>Review score 3/5 (normalized RawScore = 60.0/100 on a documented 1-5 scale, since the framework does not prescribe a numeric scale). Traceable to REV_000119 -&gt; supporting Evidence -&gt; cited Source.</t>
        </is>
      </c>
    </row>
    <row r="121">
      <c r="A121" t="inlineStr">
        <is>
          <t>SCORE_000121</t>
        </is>
      </c>
      <c r="B121" t="inlineStr">
        <is>
          <t>BYD_ATTO3_DESIGN</t>
        </is>
      </c>
      <c r="C121" t="inlineStr">
        <is>
          <t>W020</t>
        </is>
      </c>
      <c r="D121" t="inlineStr">
        <is>
          <t>REV_000120</t>
        </is>
      </c>
      <c r="E121" t="inlineStr">
        <is>
          <t>1.8</t>
        </is>
      </c>
      <c r="F121">
        <f>ROUND(INDEX('07_Reviews'!$E:$E,MATCH(D121,'07_Reviews'!$A:$A,0))/5*100,2)</f>
        <v/>
      </c>
      <c r="G121">
        <f>ROUND(F121*INDEX('01_Criteria'!$F:$F,MATCH(C121,'01_Criteria'!$A:$A,0))/100,2)</f>
        <v/>
      </c>
      <c r="H121" t="inlineStr">
        <is>
          <t>Review score 2/5 (normalized RawScore = 40.0/100 on a documented 1-5 scale, since the framework does not prescribe a numeric scale). Traceable to REV_000120 -&gt; supporting Evidence -&gt; cited Source.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30"/>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row r="23">
      <c r="A23" t="inlineStr">
        <is>
          <t>DEC_ADR_012</t>
        </is>
      </c>
      <c r="B23" t="inlineStr">
        <is>
          <t>2026-07-07</t>
        </is>
      </c>
      <c r="C23" t="inlineStr">
        <is>
          <t>1.8</t>
        </is>
      </c>
      <c r="D23" t="inlineStr">
        <is>
          <t>Added 09_Sources.Language and documented Type-to-Tier mapping (ADR-012)</t>
        </is>
      </c>
      <c r="E23" t="inlineStr">
        <is>
          <t>ARCH-012 found PublishedDate/RetrievedDate already existed (RetrievedDate 100% populated, PublishedDate correctly sparse for manufacturer pages but under-captured for professional reviews); Language did not exist and the data showed a real 31/56 no-domain/other split.</t>
        </is>
      </c>
      <c r="F23" t="inlineStr">
        <is>
          <t>Claude</t>
        </is>
      </c>
      <c r="G23" t="inlineStr">
        <is>
          <t>Backfilled Language for all 87 existing Sources from each row's own URL/Publisher - no new research performed. Documented the existing Type enum's mapping onto the Evidence Policy's Tier A/B/C hierarchy in docs/02 instead of adding a redundant Tier column.</t>
        </is>
      </c>
      <c r="H23" t="inlineStr">
        <is>
          <t>SCHEMA</t>
        </is>
      </c>
    </row>
    <row r="24">
      <c r="A24" t="inlineStr">
        <is>
          <t>DEC_DIACRITICS_001</t>
        </is>
      </c>
      <c r="B24" t="inlineStr">
        <is>
          <t>2026-07-07</t>
        </is>
      </c>
      <c r="C24" t="inlineStr">
        <is>
          <t>1.8</t>
        </is>
      </c>
      <c r="D24" t="inlineStr">
        <is>
          <t>Corrected ASCII-substituted Norwegian diacritics across 07_Reviews, 08_Evidence and 09_Sources</t>
        </is>
      </c>
      <c r="E24" t="inlineStr">
        <is>
          <t>33 Review/Evidence rows and 6 Source Notes rows had ASCII substitutes for Norwegian aa/ae/oe (e.g. plain a instead of å, ae instead of æ, oe instead of ø) predating the project's diacritics rule. Pure spelling correction - no wording, meaning, Score, Confidence, or ID changed.</t>
        </is>
      </c>
      <c r="F24" t="inlineStr">
        <is>
          <t>Claude</t>
        </is>
      </c>
      <c r="G24" t="inlineStr">
        <is>
          <t>24 07_Reviews.Summary rows, 9 08_Evidence.Observation rows, 6 09_Sources.Notes rows corrected. URLs (containing 'no' as part of domain/path substrings) deliberately left untouched - they are real addresses, not prose.</t>
        </is>
      </c>
      <c r="H24" t="inlineStr">
        <is>
          <t>NONE</t>
        </is>
      </c>
    </row>
    <row r="25">
      <c r="A25" t="inlineStr">
        <is>
          <t>DEC_DATA_009</t>
        </is>
      </c>
      <c r="B25" t="inlineStr">
        <is>
          <t>2026-07-07</t>
        </is>
      </c>
      <c r="C25" t="inlineStr">
        <is>
          <t>1.8</t>
        </is>
      </c>
      <c r="D25" t="inlineStr">
        <is>
          <t>Added sixth Vehicle (BYD Atto 3) - Vehicle, Configurations, Technical, Equipment and HardRequirementResults</t>
        </is>
      </c>
      <c r="E25" t="inlineStr">
        <is>
          <t>First vehicle onboarded since the P1-P6 architecture review closed (FrameworkVersion 1.8) - first real test of 13_TechnicalFieldDefinitions/14_HardRequirementResults/Source.Language being used from day one instead of retrofitted. User confirmed via direct question that «BYD Atto 3» means the standard Atto 3 (FWD, 60 kWh), not the separately marketed BYD EVO 4x4 (AWD, 74.8 kWh, 443hk) - BYD Norge's own site treats these as two distinct model pages, not trims of one car.</t>
        </is>
      </c>
      <c r="F25" t="inlineStr">
        <is>
          <t>Claude</t>
        </is>
      </c>
      <c r="G25" t="inlineStr">
        <is>
          <t>Added both real Norwegian trims (Comfort 365920kr, Design 389920kr) as Configurations; Technical facts recorded once at Vehicle level since both trims share the same battery/dimensions/powertrain per byd.no. All 5 Hard Requirements resolved for both configs: M001/M002/M004/M005 PASS, M003 UNKNOWN (a search-engine-summarized 311km NAF winter-test figure could not be confirmed via direct fetch of NAF's own page, which only shows summer 2023 test data - left genuinely unresolved rather than assumed). DC fast-charging shows a genuine source disagreement (BYD states 80kW, NAF measured 90kW peak) - both recorded via Qualifier rather than picking one. No Evidence/Review/Score/OverallScore added yet - which trim to take through the full 20-criterion weighted scoring pipeline is still to be decided.</t>
        </is>
      </c>
      <c r="H25" t="inlineStr">
        <is>
          <t>NONE</t>
        </is>
      </c>
    </row>
    <row r="26">
      <c r="A26" t="inlineStr">
        <is>
          <t>DEC_DATA_010</t>
        </is>
      </c>
      <c r="B26" t="inlineStr">
        <is>
          <t>2026-07-07</t>
        </is>
      </c>
      <c r="C26" t="inlineStr">
        <is>
          <t>1.8</t>
        </is>
      </c>
      <c r="D26" t="inlineStr">
        <is>
          <t>Added BYD Atto 3 Design Evidence/Review/Score - now 6th vehicle in the full comparison, all 20 weighted criteria</t>
        </is>
      </c>
      <c r="E26" t="inlineStr">
        <is>
          <t>Completed the full weighted-scoring pipeline for BYD_ATTO3_DESIGN (chosen over Comfort per user's explicit choice - Design is closer in equipment tier to the other 5 vehicles' chosen configurations). All 5 Hard Requirements already resolved (DEC_DATA_009): M001/M002/M004/M005 PASS, M003 UNKNOWN.</t>
        </is>
      </c>
      <c r="F26" t="inlineStr">
        <is>
          <t>Claude</t>
        </is>
      </c>
      <c r="G26" t="inlineStr">
        <is>
          <t>5 real sources used (Bil24 and Formel E professional tests, BYD's own warranty PDF, an owner-reported-problems compilation, and a dedicated CarPlay-update news article), 20 Evidence rows, 20 Reviews, 20 Scores. Two genuine findings documented rather than resolved: (1) infotainment quality source disagreement (Formel E praises the Design screen; Bil24 finds menu logic inconsistent), (2) a real, multi-source-confirmed ADAS quality weakness (jerky lane-keep, phantom collision warnings) scored low (W008=2/5) despite the underlying hardware being present and passing M004. Bil24's own reviewer was personally ambivalent about price/value, reflected honestly in W017 rather than inflated. No FrameworkVersion bump - pure data addition, same precedent as DEC_DATA_003/004/006/008.</t>
        </is>
      </c>
      <c r="H26" t="inlineStr">
        <is>
          <t>NONE</t>
        </is>
      </c>
    </row>
    <row r="27">
      <c r="A27" t="inlineStr">
        <is>
          <t>DEC_ADR_013</t>
        </is>
      </c>
      <c r="B27" t="inlineStr">
        <is>
          <t>2026-07-07</t>
        </is>
      </c>
      <c r="C27" t="inlineStr">
        <is>
          <t>1.8</t>
        </is>
      </c>
      <c r="D27" t="inlineStr">
        <is>
          <t>Formalized Confidence defaults, ID-prefix conventions, and flagship-Configuration scope; added a sourcing-verification rule; added an onboarding checklist template and read-only dry-run/ID-helper scripts (ADR-013)</t>
        </is>
      </c>
      <c r="E27" t="inlineStr">
        <is>
          <t>Onboarding BYD Atto 3 as the sixth vehicle surfaced five conventions followed only as undocumented, memorized practice - Confidence defaults (98%/85%/72%/49% MEDIUM across 04_Technical/05_Equipment/07_Reviews/14_HardRequirementResults), ID-prefix zero-padding, and "one flagship Configuration per Vehicle gets scored" (confirmed 6/6 Vehicles) had never been written down; a web-search AI summary was also found to confidently misstate a source's actual content (BYD/NAF winter-range claim), caught only by direct verification.</t>
        </is>
      </c>
      <c r="F27" t="inlineStr">
        <is>
          <t>Claude</t>
        </is>
      </c>
      <c r="G27" t="inlineStr">
        <is>
          <t>No workbook column added. scripts/onboarding_helpers.py and framework/templates/vehicle-onboarding-checklist.md added as new, non-workbook repository artifacts. Forward-looking only - no existing Vehicle, Configuration, or record was audited or modified for convention conformance.</t>
        </is>
      </c>
      <c r="H27" t="inlineStr">
        <is>
          <t>NONE</t>
        </is>
      </c>
    </row>
    <row r="28">
      <c r="A28" t="inlineStr">
        <is>
          <t>DEC_DASHBOARD_001</t>
        </is>
      </c>
      <c r="B28" t="inlineStr">
        <is>
          <t>2026-07-07</t>
        </is>
      </c>
      <c r="C28" t="inlineStr">
        <is>
          <t>1.8</t>
        </is>
      </c>
      <c r="D28" t="inlineStr">
        <is>
          <t>Added 15_Dashboard worksheet - Decision Summary, Category Breakdown, and Coverage Grid</t>
        </is>
      </c>
      <c r="E28" t="inlineStr">
        <is>
          <t>Comparing the 6 scored cars required opening 3-4 sheets and cross-referencing IDs by hand; 12_OverallScores is a data table, not a presentation layer. Converged two reviewed dashboard proposals into one v1 scope: a ranked Decision Summary (with Hard Requirement status correctly distinguishing PASS/UNKNOWN/FAIL-overridden/FAIL-excluded, not a bare PASS/FAIL), a Category Breakdown chart, and a Coverage Grid heatmap - the latter surfaces gaps like M003 winter-range being Unknown for 5 of 6 flagships in one glance, instead of only being visible by remembering it across separate sessions.</t>
        </is>
      </c>
      <c r="F28" t="inlineStr">
        <is>
          <t>Claude</t>
        </is>
      </c>
      <c r="G28" t="inlineStr">
        <is>
          <t>Scoped to the 6 already-scored flagship Configurations only. Every cell is a formula reading from 10_Scoring/12_OverallScores/01_Criteria/03_Configurations/14_HardRequirementResults - no new information introduced, nothing recomputed that 12_OverallScores already computes. Confirmed via scripts/onboarding_helpers.py coverage that the Coverage Grid formulas correctly union VehicleID- and ConfigurationID-level records (BYD has 14 Technical facts at Vehicle level, zero at Configuration level - a naive Configuration-only COUNTIF would have shown zero). Charts/heatmap colors could not be visually verified in this environment (no LibreOffice/GUI) - confirm visually in Excel. Not tied to a full ADR - presentational/tooling only, no methodology or weight change.</t>
        </is>
      </c>
      <c r="H28" t="inlineStr">
        <is>
          <t>NONE</t>
        </is>
      </c>
    </row>
    <row r="29">
      <c r="A29" t="inlineStr">
        <is>
          <t>DEC_DASHBOARD_002</t>
        </is>
      </c>
      <c r="B29" t="inlineStr">
        <is>
          <t>2026-07-07</t>
        </is>
      </c>
      <c r="C29" t="inlineStr">
        <is>
          <t>1.8</t>
        </is>
      </c>
      <c r="D29" t="inlineStr">
        <is>
          <t>Fixed 01_Criteria.Weight stored as text, causing 12_OverallScores.CoveragePercent #DIV/0!</t>
        </is>
      </c>
      <c r="E29" t="inlineStr">
        <is>
          <t>Opening the workbook in real Excel (apparently for the first time since these formulas were written under ADR-005) surfaced a pre-existing data-type bug: all 29 01_Criteria.Weight cells were stored as text strings (e.g. the text "8", not the number 8). SUMIFS/SUM ignore text values in a sum range even when they look numeric - only arithmetic operators like * and / auto-coerce text - so 12_OverallScores.CoveragePercent's denominator (a SUMIFS summing Weight directly) evaluated to 0, producing #DIV/0! for every Configuration. 12_OverallScores.OverallScore was unaffected, since it sums 10_Scoring.WeightedScore, a formula column whose own multiplication against Weight already auto-coerced the text correctly. This predates this session entirely - 01_Criteria was never touched while building the Dashboard - and was only caught now because no earlier session had ever actually opened this file in a real calculation engine; the Python dry-run script (scripts/onboarding_helpers.py) reimplements the same arithmetic independently in Python, which coerces the text values fine and so never exercised the live Excel SUMIFS behaviour that exposed this bug.</t>
        </is>
      </c>
      <c r="F29" t="inlineStr">
        <is>
          <t>Claude</t>
        </is>
      </c>
      <c r="G29" t="inlineStr">
        <is>
          <t>Converted all 29 01_Criteria.F (Weight) cells from text to numeric, same displayed values, no Weight actually changed. Re-verified via scripts/onboarding_helpers.py coverage that OverallScore rankings are unaffected (already independent of this bug). No FrameworkVersion change - the weights themselves are identical, only their Excel data type was corrected.</t>
        </is>
      </c>
      <c r="H29" t="inlineStr">
        <is>
          <t>NONE</t>
        </is>
      </c>
    </row>
    <row r="30">
      <c r="A30" t="inlineStr">
        <is>
          <t>DEC_DASHBOARD_003</t>
        </is>
      </c>
      <c r="B30" t="inlineStr">
        <is>
          <t>2026-07-07</t>
        </is>
      </c>
      <c r="C30" t="inlineStr">
        <is>
          <t>1.8</t>
        </is>
      </c>
      <c r="D30" t="inlineStr">
        <is>
          <t>Fixed 15_Dashboard Category Breakdown circular reference (column H collision)</t>
        </is>
      </c>
      <c r="E30" t="inlineStr">
        <is>
          <t>The 8 weighted Categories occupy columns B-I in the Category Breakdown block, but the ConfigurationID helper-anchor column was also hardcoded to column H (following the same pattern used safely in Decision Summary and Coverage Grid, which only use 6 visible columns each and never reach H). Column H is the 7th category (Garasje), so the category-formula loop overwrote the literal ConfigurationID anchor with a formula that reads {row} as its own ConfigurationID key - a genuine self-reference. This broke every cell in the block (all keyed off the now-circular H) and surfaced as Numbers refusing to calculate H29 and Excel Online reporting the workbook as unreadable.</t>
        </is>
      </c>
      <c r="F30" t="inlineStr">
        <is>
          <t>Claude</t>
        </is>
      </c>
      <c r="G30" t="inlineStr">
        <is>
          <t>Moved the ConfigurationID anchor to column J (clear of all 8 category columns), restored the Garasje header at H28, and rewrote all 20 buffered data rows (29-48) to key off  instead of . Re-verified independently in Python: BYD Teknologi=14.2 and Garasje=1.8 both match this sessions own recorded per-criterion scores exactly. Chart and conditional formatting untouched (both were already correctly scoped to columns B-I / B53:F72, unaffected by the anchor column).</t>
        </is>
      </c>
      <c r="H30" t="inlineStr">
        <is>
          <t>NONE</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row r="7">
      <c r="A7" t="inlineStr">
        <is>
          <t>OVSC_000006</t>
        </is>
      </c>
      <c r="B7" t="inlineStr">
        <is>
          <t>BYD_ATTO3_DESIGN</t>
        </is>
      </c>
      <c r="C7" t="inlineStr">
        <is>
          <t>1.8</t>
        </is>
      </c>
      <c r="D7">
        <f>SUMIFS('10_Scoring'!$G$2:$G$1000,'10_Scoring'!$B$2:$B$1000,B7,'10_Scoring'!$E$2:$E$1000,C7)</f>
        <v/>
      </c>
      <c r="E7">
        <f>ROUND(SUMPRODUCT(('10_Scoring'!$B$2:$B$1000=B7)*('10_Scoring'!$E$2:$E$1000=C7)*IFERROR(INDEX('01_Criteria'!$F$2:$F$1000,MATCH('10_Scoring'!$C$2:$C$1000,'01_Criteria'!$A$2:$A$1000,0)),0))/SUMIFS('01_Criteria'!$F$2:$F$1000,'01_Criteria'!$E$2:$E$1000,"WEIGHTED",'01_Criteria'!$H$2:$H$1000,"TRUE")*100,2)</f>
        <v/>
      </c>
      <c r="F7">
        <f>COUNTIFS('10_Scoring'!$B$2:$B$1000,B7,'10_Scoring'!$E$2:$E$1000,C7)</f>
        <v/>
      </c>
      <c r="G7">
        <f>COUNTIFS('01_Criteria'!$E$2:$E$1000,"WEIGHTED",'01_Criteria'!$H$2:$H$1000,"TRUE")</f>
        <v/>
      </c>
      <c r="H7">
        <f>IF(E7&lt;100,"Partial evaluation - "&amp;F7&amp;" of "&amp;G7&amp;" WEIGHTED+Active criteria scored ("&amp;E7&amp;"%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UNKNOWN</t>
        </is>
      </c>
      <c r="E38" t="inlineStr">
        <is>
          <t>MEDIUM</t>
        </is>
      </c>
      <c r="F38" t="inlineStr">
        <is>
          <t>To vintertester funnet, men begge er upålitelige treff: en 2022-test brukte en utgått pre-facelift-generasjon, og en NAF-vintertest 2025 rapporterer 702km WLTP som ikke matcher noen av de fire registrerte Model 3-konfigurasjonene. Forblir reelt ukjent.</t>
        </is>
      </c>
      <c r="H38" t="inlineStr">
        <is>
          <t>1.6</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UNKNOWN</t>
        </is>
      </c>
      <c r="E44" t="inlineStr">
        <is>
          <t>LOW</t>
        </is>
      </c>
      <c r="F44" t="inlineStr">
        <is>
          <t>Eneste tilgjengelige datapunkt (elbil.no, Iconic-trim - samme drivverk, men annet utstyrsnivå) målte 287 km ved konstant 100 km/t i mildvær (5-7°C), ikke reell vinterkulde. Et bekymringsfullt signal, men ikke et bekreftet fall, siden testen verken matcher trim eller forhold.</t>
        </is>
      </c>
      <c r="G44" t="inlineStr">
        <is>
          <t>SRC_ELBIL_RENAULT4_TEST</t>
        </is>
      </c>
      <c r="H44" t="inlineStr">
        <is>
          <t>1.6</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UNKNOWN</t>
        </is>
      </c>
      <c r="E49" t="inlineStr">
        <is>
          <t>LOW</t>
        </is>
      </c>
      <c r="F49" t="inlineStr">
        <is>
          <t>Ingen uavhengig vintertest funnet for denne konfigurasjonen.</t>
        </is>
      </c>
      <c r="H49" t="inlineStr">
        <is>
          <t>1.6</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UNKNOWN</t>
        </is>
      </c>
      <c r="E53" t="inlineStr">
        <is>
          <t>LOW</t>
        </is>
      </c>
      <c r="F53" t="inlineStr">
        <is>
          <t>Ingen vintertest vurdert for denne konfigurasjonen.</t>
        </is>
      </c>
      <c r="H53" t="inlineStr">
        <is>
          <t>1.6</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UNKNOWN</t>
        </is>
      </c>
      <c r="E55" t="inlineStr">
        <is>
          <t>LOW</t>
        </is>
      </c>
      <c r="F55" t="inlineStr">
        <is>
          <t>Ingen uavhengig vintertest funnet - sannsynligvis fordi modellen er for ny til det norske markedet.</t>
        </is>
      </c>
      <c r="H55" t="inlineStr">
        <is>
          <t>1.6</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row r="92">
      <c r="A92" t="inlineStr">
        <is>
          <t>HRR_000091</t>
        </is>
      </c>
      <c r="B92" t="inlineStr">
        <is>
          <t>BYD_ATTO3_COMFORT</t>
        </is>
      </c>
      <c r="C92" t="inlineStr">
        <is>
          <t>M001</t>
        </is>
      </c>
      <c r="D92" t="inlineStr">
        <is>
          <t>PASS</t>
        </is>
      </c>
      <c r="E92" t="inlineStr">
        <is>
          <t>HIGH</t>
        </is>
      </c>
      <c r="F92" t="inlineStr">
        <is>
          <t>Kun helelektriske biler inkluderes i denne sammenligningen; alle vurderte konfigurasjoner er BEV.</t>
        </is>
      </c>
      <c r="H92" t="inlineStr">
        <is>
          <t>1.8</t>
        </is>
      </c>
    </row>
    <row r="93">
      <c r="A93" t="inlineStr">
        <is>
          <t>HRR_000092</t>
        </is>
      </c>
      <c r="B93" t="inlineStr">
        <is>
          <t>BYD_ATTO3_COMFORT</t>
        </is>
      </c>
      <c r="C93" t="inlineStr">
        <is>
          <t>M002</t>
        </is>
      </c>
      <c r="D93" t="inlineStr">
        <is>
          <t>PASS</t>
        </is>
      </c>
      <c r="E93" t="inlineStr">
        <is>
          <t>MEDIUM</t>
        </is>
      </c>
      <c r="F93" t="inlineStr">
        <is>
          <t>Offisiell lengde 4455mm er innenfor 4500mm-grensen med 45mm margin - en reell, men moderat margin.</t>
        </is>
      </c>
      <c r="G93" t="inlineStr">
        <is>
          <t>SRC_EVDATABASE_ATTO3</t>
        </is>
      </c>
      <c r="H93" t="inlineStr">
        <is>
          <t>1.8</t>
        </is>
      </c>
    </row>
    <row r="94">
      <c r="A94" t="inlineStr">
        <is>
          <t>HRR_000093</t>
        </is>
      </c>
      <c r="B94" t="inlineStr">
        <is>
          <t>BYD_ATTO3_COMFORT</t>
        </is>
      </c>
      <c r="C94" t="inlineStr">
        <is>
          <t>M003</t>
        </is>
      </c>
      <c r="D94" t="inlineStr">
        <is>
          <t>UNKNOWN</t>
        </is>
      </c>
      <c r="E94" t="inlineStr">
        <is>
          <t>LOW</t>
        </is>
      </c>
      <c r="F94"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4" t="inlineStr">
        <is>
          <t>1.8</t>
        </is>
      </c>
    </row>
    <row r="95">
      <c r="A95" t="inlineStr">
        <is>
          <t>HRR_000094</t>
        </is>
      </c>
      <c r="B95" t="inlineStr">
        <is>
          <t>BYD_ATTO3_COMFORT</t>
        </is>
      </c>
      <c r="C95" t="inlineStr">
        <is>
          <t>M004</t>
        </is>
      </c>
      <c r="D95" t="inlineStr">
        <is>
          <t>PASS</t>
        </is>
      </c>
      <c r="E95" t="inlineStr">
        <is>
          <t>MEDIUM</t>
        </is>
      </c>
      <c r="F95" t="inlineStr">
        <is>
          <t>Adaptiv cruisekontroll bekreftet standard på offisiell BYD Norge-side (ikke brutt ned per utstyrsnivå, men listet som generell modellfunksjon).</t>
        </is>
      </c>
      <c r="G95" t="inlineStr">
        <is>
          <t>SRC_BYD_NO_ATTO3</t>
        </is>
      </c>
      <c r="H95" t="inlineStr">
        <is>
          <t>1.8</t>
        </is>
      </c>
    </row>
    <row r="96">
      <c r="A96" t="inlineStr">
        <is>
          <t>HRR_000095</t>
        </is>
      </c>
      <c r="B96" t="inlineStr">
        <is>
          <t>BYD_ATTO3_COMFORT</t>
        </is>
      </c>
      <c r="C96" t="inlineStr">
        <is>
          <t>M005</t>
        </is>
      </c>
      <c r="D96" t="inlineStr">
        <is>
          <t>PASS</t>
        </is>
      </c>
      <c r="E96" t="inlineStr">
        <is>
          <t>MEDIUM</t>
        </is>
      </c>
      <c r="F96" t="inlineStr">
        <is>
          <t>Ryggekamera/360-graders kamera bekreftet standard på offisiell BYD Norge-side (ikke brutt ned per utstyrsnivå, men listet som generell modellfunksjon).</t>
        </is>
      </c>
      <c r="G96" t="inlineStr">
        <is>
          <t>SRC_BYD_NO_ATTO3</t>
        </is>
      </c>
      <c r="H96" t="inlineStr">
        <is>
          <t>1.8</t>
        </is>
      </c>
    </row>
    <row r="97">
      <c r="A97" t="inlineStr">
        <is>
          <t>HRR_000096</t>
        </is>
      </c>
      <c r="B97" t="inlineStr">
        <is>
          <t>BYD_ATTO3_DESIGN</t>
        </is>
      </c>
      <c r="C97" t="inlineStr">
        <is>
          <t>M001</t>
        </is>
      </c>
      <c r="D97" t="inlineStr">
        <is>
          <t>PASS</t>
        </is>
      </c>
      <c r="E97" t="inlineStr">
        <is>
          <t>HIGH</t>
        </is>
      </c>
      <c r="F97" t="inlineStr">
        <is>
          <t>Kun helelektriske biler inkluderes i denne sammenligningen; alle vurderte konfigurasjoner er BEV.</t>
        </is>
      </c>
      <c r="H97" t="inlineStr">
        <is>
          <t>1.8</t>
        </is>
      </c>
    </row>
    <row r="98">
      <c r="A98" t="inlineStr">
        <is>
          <t>HRR_000097</t>
        </is>
      </c>
      <c r="B98" t="inlineStr">
        <is>
          <t>BYD_ATTO3_DESIGN</t>
        </is>
      </c>
      <c r="C98" t="inlineStr">
        <is>
          <t>M002</t>
        </is>
      </c>
      <c r="D98" t="inlineStr">
        <is>
          <t>PASS</t>
        </is>
      </c>
      <c r="E98" t="inlineStr">
        <is>
          <t>MEDIUM</t>
        </is>
      </c>
      <c r="F98" t="inlineStr">
        <is>
          <t>Offisiell lengde 4455mm er innenfor 4500mm-grensen med 45mm margin - en reell, men moderat margin.</t>
        </is>
      </c>
      <c r="G98" t="inlineStr">
        <is>
          <t>SRC_EVDATABASE_ATTO3</t>
        </is>
      </c>
      <c r="H98" t="inlineStr">
        <is>
          <t>1.8</t>
        </is>
      </c>
    </row>
    <row r="99">
      <c r="A99" t="inlineStr">
        <is>
          <t>HRR_000098</t>
        </is>
      </c>
      <c r="B99" t="inlineStr">
        <is>
          <t>BYD_ATTO3_DESIGN</t>
        </is>
      </c>
      <c r="C99" t="inlineStr">
        <is>
          <t>M003</t>
        </is>
      </c>
      <c r="D99" t="inlineStr">
        <is>
          <t>UNKNOWN</t>
        </is>
      </c>
      <c r="E99" t="inlineStr">
        <is>
          <t>LOW</t>
        </is>
      </c>
      <c r="F99"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9" t="inlineStr">
        <is>
          <t>1.8</t>
        </is>
      </c>
    </row>
    <row r="100">
      <c r="A100" t="inlineStr">
        <is>
          <t>HRR_000099</t>
        </is>
      </c>
      <c r="B100" t="inlineStr">
        <is>
          <t>BYD_ATTO3_DESIGN</t>
        </is>
      </c>
      <c r="C100" t="inlineStr">
        <is>
          <t>M004</t>
        </is>
      </c>
      <c r="D100" t="inlineStr">
        <is>
          <t>PASS</t>
        </is>
      </c>
      <c r="E100" t="inlineStr">
        <is>
          <t>MEDIUM</t>
        </is>
      </c>
      <c r="F100" t="inlineStr">
        <is>
          <t>Adaptiv cruisekontroll bekreftet standard på offisiell BYD Norge-side (ikke brutt ned per utstyrsnivå, men listet som generell modellfunksjon).</t>
        </is>
      </c>
      <c r="G100" t="inlineStr">
        <is>
          <t>SRC_BYD_NO_ATTO3</t>
        </is>
      </c>
      <c r="H100" t="inlineStr">
        <is>
          <t>1.8</t>
        </is>
      </c>
    </row>
    <row r="101">
      <c r="A101" t="inlineStr">
        <is>
          <t>HRR_000100</t>
        </is>
      </c>
      <c r="B101" t="inlineStr">
        <is>
          <t>BYD_ATTO3_DESIGN</t>
        </is>
      </c>
      <c r="C101" t="inlineStr">
        <is>
          <t>M005</t>
        </is>
      </c>
      <c r="D101" t="inlineStr">
        <is>
          <t>PASS</t>
        </is>
      </c>
      <c r="E101" t="inlineStr">
        <is>
          <t>MEDIUM</t>
        </is>
      </c>
      <c r="F101" t="inlineStr">
        <is>
          <t>Ryggekamera/360-graders kamera bekreftet standard på offisiell BYD Norge-side (ikke brutt ned per utstyrsnivå, men listet som generell modellfunksjon).</t>
        </is>
      </c>
      <c r="G101" t="inlineStr">
        <is>
          <t>SRC_BYD_NO_ATTO3</t>
        </is>
      </c>
      <c r="H101" t="inlineStr">
        <is>
          <t>1.8</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2"/>
  <sheetViews>
    <sheetView showGridLines="0" workbookViewId="0">
      <pane ySplit="5" topLeftCell="A6" activePane="bottomLeft" state="frozen"/>
      <selection pane="bottomLeft" activeCell="A1" sqref="A1"/>
    </sheetView>
  </sheetViews>
  <sheetFormatPr baseColWidth="8" defaultRowHeight="15"/>
  <cols>
    <col width="8" customWidth="1" min="1" max="1"/>
    <col width="32" customWidth="1" min="2" max="2"/>
    <col width="16" customWidth="1" min="3" max="3"/>
    <col width="13" customWidth="1" min="4" max="4"/>
    <col width="15" customWidth="1" min="5" max="5"/>
    <col width="30" customWidth="1" min="6" max="6"/>
    <col width="3" customWidth="1" min="7" max="7"/>
    <col width="32" customWidth="1" min="8" max="8"/>
    <col width="22" customWidth="1" min="9" max="9"/>
    <col width="32" customWidth="1" min="10" max="10"/>
    <col width="20" customWidth="1" min="11" max="11"/>
    <col width="9" customWidth="1" min="12" max="12"/>
    <col width="12" customWidth="1" min="13" max="13"/>
    <col width="14" customWidth="1" min="14" max="14"/>
  </cols>
  <sheetData>
    <row r="1">
      <c r="A1" s="2" t="inlineStr">
        <is>
          <t>EV Decision Framework - Dashboard</t>
        </is>
      </c>
    </row>
    <row r="2">
      <c r="A2" s="3" t="inlineStr">
        <is>
          <t>Flagship Configurations only - see 03_Configurations for the full 20-Configuration set.</t>
        </is>
      </c>
    </row>
    <row r="4">
      <c r="A4" s="4" t="inlineStr">
        <is>
          <t>1. Decision Summary</t>
        </is>
      </c>
    </row>
    <row r="5">
      <c r="A5" s="1" t="inlineStr">
        <is>
          <t>Rank</t>
        </is>
      </c>
      <c r="B5" s="1" t="inlineStr">
        <is>
          <t>Vehicle / Trim</t>
        </is>
      </c>
      <c r="C5" s="1" t="inlineStr">
        <is>
          <t>ConfiguredPrice</t>
        </is>
      </c>
      <c r="D5" s="1" t="inlineStr">
        <is>
          <t>OverallScore</t>
        </is>
      </c>
      <c r="E5" s="1" t="inlineStr">
        <is>
          <t>CoveragePercent</t>
        </is>
      </c>
      <c r="F5" s="1" t="inlineStr">
        <is>
          <t>Hard Requirement Status</t>
        </is>
      </c>
      <c r="H5" s="5" t="inlineStr">
        <is>
          <t>ConfigurationID</t>
        </is>
      </c>
      <c r="I5" s="5" t="inlineStr">
        <is>
          <t>Manufacturer</t>
        </is>
      </c>
      <c r="J5" s="5" t="inlineStr">
        <is>
          <t>Model</t>
        </is>
      </c>
      <c r="K5" s="5" t="inlineStr">
        <is>
          <t>Trim</t>
        </is>
      </c>
      <c r="L5" s="5" t="inlineStr">
        <is>
          <t>HasFail</t>
        </is>
      </c>
      <c r="M5" s="5" t="inlineStr">
        <is>
          <t>HasUnknown</t>
        </is>
      </c>
      <c r="N5" s="5" t="inlineStr">
        <is>
          <t>FailCriterion</t>
        </is>
      </c>
    </row>
    <row r="6">
      <c r="A6" s="6">
        <f>IF($H6="","",RANK($D6,$D$6:$D$25,0))</f>
        <v/>
      </c>
      <c r="B6" s="6">
        <f>IF($H6="","",$I6&amp;" "&amp;$J6&amp;" ("&amp;$K6&amp;")")</f>
        <v/>
      </c>
      <c r="C6" s="6">
        <f>IFERROR(INDEX('03_Configurations'!$G$2:$G$1000,MATCH($H6,'03_Configurations'!$A$2:$A$1000,0)),"")</f>
        <v/>
      </c>
      <c r="D6" s="6">
        <f>IFERROR(INDEX('12_OverallScores'!$D$2:$D$1000,MATCH($H6,'12_OverallScores'!$B$2:$B$1000,0)),"")</f>
        <v/>
      </c>
      <c r="E6" s="6">
        <f>IFERROR(INDEX('12_OverallScores'!$E$2:$E$1000,MATCH($H6,'12_OverallScores'!$B$2:$B$1000,0)),"")</f>
        <v/>
      </c>
      <c r="F6" s="6">
        <f>IF($H6="","",IF($L6&gt;0,IF(IFERROR(INDEX('03_Configurations'!$I$2:$I$1000,MATCH($H6,'03_Configurations'!$A$2:$A$1000,0)),"FALSE")="TRUE","FAIL ("&amp;$N6&amp;") - kept, overridden","FAIL ("&amp;$N6&amp;") - excluded"),IF($M6&gt;0,"UNKNOWN","PASS")))</f>
        <v/>
      </c>
      <c r="G6" s="6" t="n"/>
      <c r="H6" s="6" t="inlineStr">
        <is>
          <t>TESLA_MODEL_3_LONG_RANGE_RWD</t>
        </is>
      </c>
      <c r="I6" s="6">
        <f>IFERROR(INDEX('02_Vehicles'!$B$2:$B$1000,MATCH(INDEX('03_Configurations'!$B$2:$B$1000,MATCH($H6,'03_Configurations'!$A$2:$A$1000,0)),'02_Vehicles'!$A$2:$A$1000,0)),"")</f>
        <v/>
      </c>
      <c r="J6" s="6">
        <f>IFERROR(INDEX('02_Vehicles'!$C$2:$C$1000,MATCH(INDEX('03_Configurations'!$B$2:$B$1000,MATCH($H6,'03_Configurations'!$A$2:$A$1000,0)),'02_Vehicles'!$A$2:$A$1000,0)),"")</f>
        <v/>
      </c>
      <c r="K6" s="6">
        <f>IFERROR(INDEX('03_Configurations'!$E$2:$E$1000,MATCH($H6,'03_Configurations'!$A$2:$A$1000,0)),"")</f>
        <v/>
      </c>
      <c r="L6" s="6">
        <f>IF($H6="","",COUNTIFS('14_HardRequirementResults'!$B$2:$B$1000,$H6,'14_HardRequirementResults'!$D$2:$D$1000,"FAIL"))</f>
        <v/>
      </c>
      <c r="M6" s="6">
        <f>IF($H6="","",COUNTIFS('14_HardRequirementResults'!$B$2:$B$1000,$H6,'14_HardRequirementResults'!$D$2:$D$1000,"UNKNOWN"))</f>
        <v/>
      </c>
      <c r="N6" s="6">
        <f>IF($L6="","",IF($L6&gt;0,IFERROR(INDEX('14_HardRequirementResults'!$C$2:$C$1000,MATCH(1,INDEX(('14_HardRequirementResults'!$B$2:$B$1000=$H6)*('14_HardRequirementResults'!$D$2:$D$1000="FAIL"),0),0)),""),""))</f>
        <v/>
      </c>
    </row>
    <row r="7">
      <c r="A7" s="6">
        <f>IF($H7="","",RANK($D7,$D$6:$D$25,0))</f>
        <v/>
      </c>
      <c r="B7" s="6">
        <f>IF($H7="","",$I7&amp;" "&amp;$J7&amp;" ("&amp;$K7&amp;")")</f>
        <v/>
      </c>
      <c r="C7" s="6">
        <f>IFERROR(INDEX('03_Configurations'!$G$2:$G$1000,MATCH($H7,'03_Configurations'!$A$2:$A$1000,0)),"")</f>
        <v/>
      </c>
      <c r="D7" s="6">
        <f>IFERROR(INDEX('12_OverallScores'!$D$2:$D$1000,MATCH($H7,'12_OverallScores'!$B$2:$B$1000,0)),"")</f>
        <v/>
      </c>
      <c r="E7" s="6">
        <f>IFERROR(INDEX('12_OverallScores'!$E$2:$E$1000,MATCH($H7,'12_OverallScores'!$B$2:$B$1000,0)),"")</f>
        <v/>
      </c>
      <c r="F7" s="6">
        <f>IF($H7="","",IF($L7&gt;0,IF(IFERROR(INDEX('03_Configurations'!$I$2:$I$1000,MATCH($H7,'03_Configurations'!$A$2:$A$1000,0)),"FALSE")="TRUE","FAIL ("&amp;$N7&amp;") - kept, overridden","FAIL ("&amp;$N7&amp;") - excluded"),IF($M7&gt;0,"UNKNOWN","PASS")))</f>
        <v/>
      </c>
      <c r="G7" s="6" t="n"/>
      <c r="H7" s="6" t="inlineStr">
        <is>
          <t>RENAULT_4_TECHNO</t>
        </is>
      </c>
      <c r="I7" s="6">
        <f>IFERROR(INDEX('02_Vehicles'!$B$2:$B$1000,MATCH(INDEX('03_Configurations'!$B$2:$B$1000,MATCH($H7,'03_Configurations'!$A$2:$A$1000,0)),'02_Vehicles'!$A$2:$A$1000,0)),"")</f>
        <v/>
      </c>
      <c r="J7" s="6">
        <f>IFERROR(INDEX('02_Vehicles'!$C$2:$C$1000,MATCH(INDEX('03_Configurations'!$B$2:$B$1000,MATCH($H7,'03_Configurations'!$A$2:$A$1000,0)),'02_Vehicles'!$A$2:$A$1000,0)),"")</f>
        <v/>
      </c>
      <c r="K7" s="6">
        <f>IFERROR(INDEX('03_Configurations'!$E$2:$E$1000,MATCH($H7,'03_Configurations'!$A$2:$A$1000,0)),"")</f>
        <v/>
      </c>
      <c r="L7" s="6">
        <f>IF($H7="","",COUNTIFS('14_HardRequirementResults'!$B$2:$B$1000,$H7,'14_HardRequirementResults'!$D$2:$D$1000,"FAIL"))</f>
        <v/>
      </c>
      <c r="M7" s="6">
        <f>IF($H7="","",COUNTIFS('14_HardRequirementResults'!$B$2:$B$1000,$H7,'14_HardRequirementResults'!$D$2:$D$1000,"UNKNOWN"))</f>
        <v/>
      </c>
      <c r="N7" s="6">
        <f>IF($L7="","",IF($L7&gt;0,IFERROR(INDEX('14_HardRequirementResults'!$C$2:$C$1000,MATCH(1,INDEX(('14_HardRequirementResults'!$B$2:$B$1000=$H7)*('14_HardRequirementResults'!$D$2:$D$1000="FAIL"),0),0)),""),""))</f>
        <v/>
      </c>
    </row>
    <row r="8">
      <c r="A8" s="6">
        <f>IF($H8="","",RANK($D8,$D$6:$D$25,0))</f>
        <v/>
      </c>
      <c r="B8" s="6">
        <f>IF($H8="","",$I8&amp;" "&amp;$J8&amp;" ("&amp;$K8&amp;")")</f>
        <v/>
      </c>
      <c r="C8" s="6">
        <f>IFERROR(INDEX('03_Configurations'!$G$2:$G$1000,MATCH($H8,'03_Configurations'!$A$2:$A$1000,0)),"")</f>
        <v/>
      </c>
      <c r="D8" s="6">
        <f>IFERROR(INDEX('12_OverallScores'!$D$2:$D$1000,MATCH($H8,'12_OverallScores'!$B$2:$B$1000,0)),"")</f>
        <v/>
      </c>
      <c r="E8" s="6">
        <f>IFERROR(INDEX('12_OverallScores'!$E$2:$E$1000,MATCH($H8,'12_OverallScores'!$B$2:$B$1000,0)),"")</f>
        <v/>
      </c>
      <c r="F8" s="6">
        <f>IF($H8="","",IF($L8&gt;0,IF(IFERROR(INDEX('03_Configurations'!$I$2:$I$1000,MATCH($H8,'03_Configurations'!$A$2:$A$1000,0)),"FALSE")="TRUE","FAIL ("&amp;$N8&amp;") - kept, overridden","FAIL ("&amp;$N8&amp;") - excluded"),IF($M8&gt;0,"UNKNOWN","PASS")))</f>
        <v/>
      </c>
      <c r="G8" s="6" t="n"/>
      <c r="H8" s="6" t="inlineStr">
        <is>
          <t>SKODA_ELROQ_SELECTION_60</t>
        </is>
      </c>
      <c r="I8" s="6">
        <f>IFERROR(INDEX('02_Vehicles'!$B$2:$B$1000,MATCH(INDEX('03_Configurations'!$B$2:$B$1000,MATCH($H8,'03_Configurations'!$A$2:$A$1000,0)),'02_Vehicles'!$A$2:$A$1000,0)),"")</f>
        <v/>
      </c>
      <c r="J8" s="6">
        <f>IFERROR(INDEX('02_Vehicles'!$C$2:$C$1000,MATCH(INDEX('03_Configurations'!$B$2:$B$1000,MATCH($H8,'03_Configurations'!$A$2:$A$1000,0)),'02_Vehicles'!$A$2:$A$1000,0)),"")</f>
        <v/>
      </c>
      <c r="K8" s="6">
        <f>IFERROR(INDEX('03_Configurations'!$E$2:$E$1000,MATCH($H8,'03_Configurations'!$A$2:$A$1000,0)),"")</f>
        <v/>
      </c>
      <c r="L8" s="6">
        <f>IF($H8="","",COUNTIFS('14_HardRequirementResults'!$B$2:$B$1000,$H8,'14_HardRequirementResults'!$D$2:$D$1000,"FAIL"))</f>
        <v/>
      </c>
      <c r="M8" s="6">
        <f>IF($H8="","",COUNTIFS('14_HardRequirementResults'!$B$2:$B$1000,$H8,'14_HardRequirementResults'!$D$2:$D$1000,"UNKNOWN"))</f>
        <v/>
      </c>
      <c r="N8" s="6">
        <f>IF($L8="","",IF($L8&gt;0,IFERROR(INDEX('14_HardRequirementResults'!$C$2:$C$1000,MATCH(1,INDEX(('14_HardRequirementResults'!$B$2:$B$1000=$H8)*('14_HardRequirementResults'!$D$2:$D$1000="FAIL"),0),0)),""),""))</f>
        <v/>
      </c>
    </row>
    <row r="9">
      <c r="A9" s="6">
        <f>IF($H9="","",RANK($D9,$D$6:$D$25,0))</f>
        <v/>
      </c>
      <c r="B9" s="6">
        <f>IF($H9="","",$I9&amp;" "&amp;$J9&amp;" ("&amp;$K9&amp;")")</f>
        <v/>
      </c>
      <c r="C9" s="6">
        <f>IFERROR(INDEX('03_Configurations'!$G$2:$G$1000,MATCH($H9,'03_Configurations'!$A$2:$A$1000,0)),"")</f>
        <v/>
      </c>
      <c r="D9" s="6">
        <f>IFERROR(INDEX('12_OverallScores'!$D$2:$D$1000,MATCH($H9,'12_OverallScores'!$B$2:$B$1000,0)),"")</f>
        <v/>
      </c>
      <c r="E9" s="6">
        <f>IFERROR(INDEX('12_OverallScores'!$E$2:$E$1000,MATCH($H9,'12_OverallScores'!$B$2:$B$1000,0)),"")</f>
        <v/>
      </c>
      <c r="F9" s="6">
        <f>IF($H9="","",IF($L9&gt;0,IF(IFERROR(INDEX('03_Configurations'!$I$2:$I$1000,MATCH($H9,'03_Configurations'!$A$2:$A$1000,0)),"FALSE")="TRUE","FAIL ("&amp;$N9&amp;") - kept, overridden","FAIL ("&amp;$N9&amp;") - excluded"),IF($M9&gt;0,"UNKNOWN","PASS")))</f>
        <v/>
      </c>
      <c r="G9" s="6" t="n"/>
      <c r="H9" s="6" t="inlineStr">
        <is>
          <t>VOLVO_EX30_P8_AWD</t>
        </is>
      </c>
      <c r="I9" s="6">
        <f>IFERROR(INDEX('02_Vehicles'!$B$2:$B$1000,MATCH(INDEX('03_Configurations'!$B$2:$B$1000,MATCH($H9,'03_Configurations'!$A$2:$A$1000,0)),'02_Vehicles'!$A$2:$A$1000,0)),"")</f>
        <v/>
      </c>
      <c r="J9" s="6">
        <f>IFERROR(INDEX('02_Vehicles'!$C$2:$C$1000,MATCH(INDEX('03_Configurations'!$B$2:$B$1000,MATCH($H9,'03_Configurations'!$A$2:$A$1000,0)),'02_Vehicles'!$A$2:$A$1000,0)),"")</f>
        <v/>
      </c>
      <c r="K9" s="6">
        <f>IFERROR(INDEX('03_Configurations'!$E$2:$E$1000,MATCH($H9,'03_Configurations'!$A$2:$A$1000,0)),"")</f>
        <v/>
      </c>
      <c r="L9" s="6">
        <f>IF($H9="","",COUNTIFS('14_HardRequirementResults'!$B$2:$B$1000,$H9,'14_HardRequirementResults'!$D$2:$D$1000,"FAIL"))</f>
        <v/>
      </c>
      <c r="M9" s="6">
        <f>IF($H9="","",COUNTIFS('14_HardRequirementResults'!$B$2:$B$1000,$H9,'14_HardRequirementResults'!$D$2:$D$1000,"UNKNOWN"))</f>
        <v/>
      </c>
      <c r="N9" s="6">
        <f>IF($L9="","",IF($L9&gt;0,IFERROR(INDEX('14_HardRequirementResults'!$C$2:$C$1000,MATCH(1,INDEX(('14_HardRequirementResults'!$B$2:$B$1000=$H9)*('14_HardRequirementResults'!$D$2:$D$1000="FAIL"),0),0)),""),""))</f>
        <v/>
      </c>
    </row>
    <row r="10">
      <c r="A10" s="6">
        <f>IF($H10="","",RANK($D10,$D$6:$D$25,0))</f>
        <v/>
      </c>
      <c r="B10" s="6">
        <f>IF($H10="","",$I10&amp;" "&amp;$J10&amp;" ("&amp;$K10&amp;")")</f>
        <v/>
      </c>
      <c r="C10" s="6">
        <f>IFERROR(INDEX('03_Configurations'!$G$2:$G$1000,MATCH($H10,'03_Configurations'!$A$2:$A$1000,0)),"")</f>
        <v/>
      </c>
      <c r="D10" s="6">
        <f>IFERROR(INDEX('12_OverallScores'!$D$2:$D$1000,MATCH($H10,'12_OverallScores'!$B$2:$B$1000,0)),"")</f>
        <v/>
      </c>
      <c r="E10" s="6">
        <f>IFERROR(INDEX('12_OverallScores'!$E$2:$E$1000,MATCH($H10,'12_OverallScores'!$B$2:$B$1000,0)),"")</f>
        <v/>
      </c>
      <c r="F10" s="6">
        <f>IF($H10="","",IF($L10&gt;0,IF(IFERROR(INDEX('03_Configurations'!$I$2:$I$1000,MATCH($H10,'03_Configurations'!$A$2:$A$1000,0)),"FALSE")="TRUE","FAIL ("&amp;$N10&amp;") - kept, overridden","FAIL ("&amp;$N10&amp;") - excluded"),IF($M10&gt;0,"UNKNOWN","PASS")))</f>
        <v/>
      </c>
      <c r="G10" s="6" t="n"/>
      <c r="H10" s="6" t="inlineStr">
        <is>
          <t>KIA_EV2_FWD_LONG_RANGE_GT_LINE</t>
        </is>
      </c>
      <c r="I10" s="6">
        <f>IFERROR(INDEX('02_Vehicles'!$B$2:$B$1000,MATCH(INDEX('03_Configurations'!$B$2:$B$1000,MATCH($H10,'03_Configurations'!$A$2:$A$1000,0)),'02_Vehicles'!$A$2:$A$1000,0)),"")</f>
        <v/>
      </c>
      <c r="J10" s="6">
        <f>IFERROR(INDEX('02_Vehicles'!$C$2:$C$1000,MATCH(INDEX('03_Configurations'!$B$2:$B$1000,MATCH($H10,'03_Configurations'!$A$2:$A$1000,0)),'02_Vehicles'!$A$2:$A$1000,0)),"")</f>
        <v/>
      </c>
      <c r="K10" s="6">
        <f>IFERROR(INDEX('03_Configurations'!$E$2:$E$1000,MATCH($H10,'03_Configurations'!$A$2:$A$1000,0)),"")</f>
        <v/>
      </c>
      <c r="L10" s="6">
        <f>IF($H10="","",COUNTIFS('14_HardRequirementResults'!$B$2:$B$1000,$H10,'14_HardRequirementResults'!$D$2:$D$1000,"FAIL"))</f>
        <v/>
      </c>
      <c r="M10" s="6">
        <f>IF($H10="","",COUNTIFS('14_HardRequirementResults'!$B$2:$B$1000,$H10,'14_HardRequirementResults'!$D$2:$D$1000,"UNKNOWN"))</f>
        <v/>
      </c>
      <c r="N10" s="6">
        <f>IF($L10="","",IF($L10&gt;0,IFERROR(INDEX('14_HardRequirementResults'!$C$2:$C$1000,MATCH(1,INDEX(('14_HardRequirementResults'!$B$2:$B$1000=$H10)*('14_HardRequirementResults'!$D$2:$D$1000="FAIL"),0),0)),""),""))</f>
        <v/>
      </c>
    </row>
    <row r="11">
      <c r="A11" s="6">
        <f>IF($H11="","",RANK($D11,$D$6:$D$25,0))</f>
        <v/>
      </c>
      <c r="B11" s="6">
        <f>IF($H11="","",$I11&amp;" "&amp;$J11&amp;" ("&amp;$K11&amp;")")</f>
        <v/>
      </c>
      <c r="C11" s="6">
        <f>IFERROR(INDEX('03_Configurations'!$G$2:$G$1000,MATCH($H11,'03_Configurations'!$A$2:$A$1000,0)),"")</f>
        <v/>
      </c>
      <c r="D11" s="6">
        <f>IFERROR(INDEX('12_OverallScores'!$D$2:$D$1000,MATCH($H11,'12_OverallScores'!$B$2:$B$1000,0)),"")</f>
        <v/>
      </c>
      <c r="E11" s="6">
        <f>IFERROR(INDEX('12_OverallScores'!$E$2:$E$1000,MATCH($H11,'12_OverallScores'!$B$2:$B$1000,0)),"")</f>
        <v/>
      </c>
      <c r="F11" s="6">
        <f>IF($H11="","",IF($L11&gt;0,IF(IFERROR(INDEX('03_Configurations'!$I$2:$I$1000,MATCH($H11,'03_Configurations'!$A$2:$A$1000,0)),"FALSE")="TRUE","FAIL ("&amp;$N11&amp;") - kept, overridden","FAIL ("&amp;$N11&amp;") - excluded"),IF($M11&gt;0,"UNKNOWN","PASS")))</f>
        <v/>
      </c>
      <c r="G11" s="6" t="n"/>
      <c r="H11" s="6" t="inlineStr">
        <is>
          <t>BYD_ATTO3_DESIGN</t>
        </is>
      </c>
      <c r="I11" s="6">
        <f>IFERROR(INDEX('02_Vehicles'!$B$2:$B$1000,MATCH(INDEX('03_Configurations'!$B$2:$B$1000,MATCH($H11,'03_Configurations'!$A$2:$A$1000,0)),'02_Vehicles'!$A$2:$A$1000,0)),"")</f>
        <v/>
      </c>
      <c r="J11" s="6">
        <f>IFERROR(INDEX('02_Vehicles'!$C$2:$C$1000,MATCH(INDEX('03_Configurations'!$B$2:$B$1000,MATCH($H11,'03_Configurations'!$A$2:$A$1000,0)),'02_Vehicles'!$A$2:$A$1000,0)),"")</f>
        <v/>
      </c>
      <c r="K11" s="6">
        <f>IFERROR(INDEX('03_Configurations'!$E$2:$E$1000,MATCH($H11,'03_Configurations'!$A$2:$A$1000,0)),"")</f>
        <v/>
      </c>
      <c r="L11" s="6">
        <f>IF($H11="","",COUNTIFS('14_HardRequirementResults'!$B$2:$B$1000,$H11,'14_HardRequirementResults'!$D$2:$D$1000,"FAIL"))</f>
        <v/>
      </c>
      <c r="M11" s="6">
        <f>IF($H11="","",COUNTIFS('14_HardRequirementResults'!$B$2:$B$1000,$H11,'14_HardRequirementResults'!$D$2:$D$1000,"UNKNOWN"))</f>
        <v/>
      </c>
      <c r="N11" s="6">
        <f>IF($L11="","",IF($L11&gt;0,IFERROR(INDEX('14_HardRequirementResults'!$C$2:$C$1000,MATCH(1,INDEX(('14_HardRequirementResults'!$B$2:$B$1000=$H11)*('14_HardRequirementResults'!$D$2:$D$1000="FAIL"),0),0)),""),""))</f>
        <v/>
      </c>
    </row>
    <row r="12">
      <c r="A12" s="6">
        <f>IF($H12="","",RANK($D12,$D$6:$D$25,0))</f>
        <v/>
      </c>
      <c r="B12" s="6">
        <f>IF($H12="","",$I12&amp;" "&amp;$J12&amp;" ("&amp;$K12&amp;")")</f>
        <v/>
      </c>
      <c r="C12" s="6">
        <f>IFERROR(INDEX('03_Configurations'!$G$2:$G$1000,MATCH($H12,'03_Configurations'!$A$2:$A$1000,0)),"")</f>
        <v/>
      </c>
      <c r="D12" s="6">
        <f>IFERROR(INDEX('12_OverallScores'!$D$2:$D$1000,MATCH($H12,'12_OverallScores'!$B$2:$B$1000,0)),"")</f>
        <v/>
      </c>
      <c r="E12" s="6">
        <f>IFERROR(INDEX('12_OverallScores'!$E$2:$E$1000,MATCH($H12,'12_OverallScores'!$B$2:$B$1000,0)),"")</f>
        <v/>
      </c>
      <c r="F12" s="6">
        <f>IF($H12="","",IF($L12&gt;0,IF(IFERROR(INDEX('03_Configurations'!$I$2:$I$1000,MATCH($H12,'03_Configurations'!$A$2:$A$1000,0)),"FALSE")="TRUE","FAIL ("&amp;$N12&amp;") - kept, overridden","FAIL ("&amp;$N12&amp;") - excluded"),IF($M12&gt;0,"UNKNOWN","PASS")))</f>
        <v/>
      </c>
      <c r="G12" s="6" t="n"/>
      <c r="H12" s="6" t="n"/>
      <c r="I12" s="6">
        <f>IFERROR(INDEX('02_Vehicles'!$B$2:$B$1000,MATCH(INDEX('03_Configurations'!$B$2:$B$1000,MATCH($H12,'03_Configurations'!$A$2:$A$1000,0)),'02_Vehicles'!$A$2:$A$1000,0)),"")</f>
        <v/>
      </c>
      <c r="J12" s="6">
        <f>IFERROR(INDEX('02_Vehicles'!$C$2:$C$1000,MATCH(INDEX('03_Configurations'!$B$2:$B$1000,MATCH($H12,'03_Configurations'!$A$2:$A$1000,0)),'02_Vehicles'!$A$2:$A$1000,0)),"")</f>
        <v/>
      </c>
      <c r="K12" s="6">
        <f>IFERROR(INDEX('03_Configurations'!$E$2:$E$1000,MATCH($H12,'03_Configurations'!$A$2:$A$1000,0)),"")</f>
        <v/>
      </c>
      <c r="L12" s="6">
        <f>IF($H12="","",COUNTIFS('14_HardRequirementResults'!$B$2:$B$1000,$H12,'14_HardRequirementResults'!$D$2:$D$1000,"FAIL"))</f>
        <v/>
      </c>
      <c r="M12" s="6">
        <f>IF($H12="","",COUNTIFS('14_HardRequirementResults'!$B$2:$B$1000,$H12,'14_HardRequirementResults'!$D$2:$D$1000,"UNKNOWN"))</f>
        <v/>
      </c>
      <c r="N12" s="6">
        <f>IF($L12="","",IF($L12&gt;0,IFERROR(INDEX('14_HardRequirementResults'!$C$2:$C$1000,MATCH(1,INDEX(('14_HardRequirementResults'!$B$2:$B$1000=$H12)*('14_HardRequirementResults'!$D$2:$D$1000="FAIL"),0),0)),""),""))</f>
        <v/>
      </c>
    </row>
    <row r="13">
      <c r="A13" s="6">
        <f>IF($H13="","",RANK($D13,$D$6:$D$25,0))</f>
        <v/>
      </c>
      <c r="B13" s="6">
        <f>IF($H13="","",$I13&amp;" "&amp;$J13&amp;" ("&amp;$K13&amp;")")</f>
        <v/>
      </c>
      <c r="C13" s="6">
        <f>IFERROR(INDEX('03_Configurations'!$G$2:$G$1000,MATCH($H13,'03_Configurations'!$A$2:$A$1000,0)),"")</f>
        <v/>
      </c>
      <c r="D13" s="6">
        <f>IFERROR(INDEX('12_OverallScores'!$D$2:$D$1000,MATCH($H13,'12_OverallScores'!$B$2:$B$1000,0)),"")</f>
        <v/>
      </c>
      <c r="E13" s="6">
        <f>IFERROR(INDEX('12_OverallScores'!$E$2:$E$1000,MATCH($H13,'12_OverallScores'!$B$2:$B$1000,0)),"")</f>
        <v/>
      </c>
      <c r="F13" s="6">
        <f>IF($H13="","",IF($L13&gt;0,IF(IFERROR(INDEX('03_Configurations'!$I$2:$I$1000,MATCH($H13,'03_Configurations'!$A$2:$A$1000,0)),"FALSE")="TRUE","FAIL ("&amp;$N13&amp;") - kept, overridden","FAIL ("&amp;$N13&amp;") - excluded"),IF($M13&gt;0,"UNKNOWN","PASS")))</f>
        <v/>
      </c>
      <c r="G13" s="6" t="n"/>
      <c r="H13" s="6" t="n"/>
      <c r="I13" s="6">
        <f>IFERROR(INDEX('02_Vehicles'!$B$2:$B$1000,MATCH(INDEX('03_Configurations'!$B$2:$B$1000,MATCH($H13,'03_Configurations'!$A$2:$A$1000,0)),'02_Vehicles'!$A$2:$A$1000,0)),"")</f>
        <v/>
      </c>
      <c r="J13" s="6">
        <f>IFERROR(INDEX('02_Vehicles'!$C$2:$C$1000,MATCH(INDEX('03_Configurations'!$B$2:$B$1000,MATCH($H13,'03_Configurations'!$A$2:$A$1000,0)),'02_Vehicles'!$A$2:$A$1000,0)),"")</f>
        <v/>
      </c>
      <c r="K13" s="6">
        <f>IFERROR(INDEX('03_Configurations'!$E$2:$E$1000,MATCH($H13,'03_Configurations'!$A$2:$A$1000,0)),"")</f>
        <v/>
      </c>
      <c r="L13" s="6">
        <f>IF($H13="","",COUNTIFS('14_HardRequirementResults'!$B$2:$B$1000,$H13,'14_HardRequirementResults'!$D$2:$D$1000,"FAIL"))</f>
        <v/>
      </c>
      <c r="M13" s="6">
        <f>IF($H13="","",COUNTIFS('14_HardRequirementResults'!$B$2:$B$1000,$H13,'14_HardRequirementResults'!$D$2:$D$1000,"UNKNOWN"))</f>
        <v/>
      </c>
      <c r="N13" s="6">
        <f>IF($L13="","",IF($L13&gt;0,IFERROR(INDEX('14_HardRequirementResults'!$C$2:$C$1000,MATCH(1,INDEX(('14_HardRequirementResults'!$B$2:$B$1000=$H13)*('14_HardRequirementResults'!$D$2:$D$1000="FAIL"),0),0)),""),""))</f>
        <v/>
      </c>
    </row>
    <row r="14">
      <c r="A14" s="6">
        <f>IF($H14="","",RANK($D14,$D$6:$D$25,0))</f>
        <v/>
      </c>
      <c r="B14" s="6">
        <f>IF($H14="","",$I14&amp;" "&amp;$J14&amp;" ("&amp;$K14&amp;")")</f>
        <v/>
      </c>
      <c r="C14" s="6">
        <f>IFERROR(INDEX('03_Configurations'!$G$2:$G$1000,MATCH($H14,'03_Configurations'!$A$2:$A$1000,0)),"")</f>
        <v/>
      </c>
      <c r="D14" s="6">
        <f>IFERROR(INDEX('12_OverallScores'!$D$2:$D$1000,MATCH($H14,'12_OverallScores'!$B$2:$B$1000,0)),"")</f>
        <v/>
      </c>
      <c r="E14" s="6">
        <f>IFERROR(INDEX('12_OverallScores'!$E$2:$E$1000,MATCH($H14,'12_OverallScores'!$B$2:$B$1000,0)),"")</f>
        <v/>
      </c>
      <c r="F14" s="6">
        <f>IF($H14="","",IF($L14&gt;0,IF(IFERROR(INDEX('03_Configurations'!$I$2:$I$1000,MATCH($H14,'03_Configurations'!$A$2:$A$1000,0)),"FALSE")="TRUE","FAIL ("&amp;$N14&amp;") - kept, overridden","FAIL ("&amp;$N14&amp;") - excluded"),IF($M14&gt;0,"UNKNOWN","PASS")))</f>
        <v/>
      </c>
      <c r="G14" s="6" t="n"/>
      <c r="H14" s="6" t="n"/>
      <c r="I14" s="6">
        <f>IFERROR(INDEX('02_Vehicles'!$B$2:$B$1000,MATCH(INDEX('03_Configurations'!$B$2:$B$1000,MATCH($H14,'03_Configurations'!$A$2:$A$1000,0)),'02_Vehicles'!$A$2:$A$1000,0)),"")</f>
        <v/>
      </c>
      <c r="J14" s="6">
        <f>IFERROR(INDEX('02_Vehicles'!$C$2:$C$1000,MATCH(INDEX('03_Configurations'!$B$2:$B$1000,MATCH($H14,'03_Configurations'!$A$2:$A$1000,0)),'02_Vehicles'!$A$2:$A$1000,0)),"")</f>
        <v/>
      </c>
      <c r="K14" s="6">
        <f>IFERROR(INDEX('03_Configurations'!$E$2:$E$1000,MATCH($H14,'03_Configurations'!$A$2:$A$1000,0)),"")</f>
        <v/>
      </c>
      <c r="L14" s="6">
        <f>IF($H14="","",COUNTIFS('14_HardRequirementResults'!$B$2:$B$1000,$H14,'14_HardRequirementResults'!$D$2:$D$1000,"FAIL"))</f>
        <v/>
      </c>
      <c r="M14" s="6">
        <f>IF($H14="","",COUNTIFS('14_HardRequirementResults'!$B$2:$B$1000,$H14,'14_HardRequirementResults'!$D$2:$D$1000,"UNKNOWN"))</f>
        <v/>
      </c>
      <c r="N14" s="6">
        <f>IF($L14="","",IF($L14&gt;0,IFERROR(INDEX('14_HardRequirementResults'!$C$2:$C$1000,MATCH(1,INDEX(('14_HardRequirementResults'!$B$2:$B$1000=$H14)*('14_HardRequirementResults'!$D$2:$D$1000="FAIL"),0),0)),""),""))</f>
        <v/>
      </c>
    </row>
    <row r="15">
      <c r="A15" s="6">
        <f>IF($H15="","",RANK($D15,$D$6:$D$25,0))</f>
        <v/>
      </c>
      <c r="B15" s="6">
        <f>IF($H15="","",$I15&amp;" "&amp;$J15&amp;" ("&amp;$K15&amp;")")</f>
        <v/>
      </c>
      <c r="C15" s="6">
        <f>IFERROR(INDEX('03_Configurations'!$G$2:$G$1000,MATCH($H15,'03_Configurations'!$A$2:$A$1000,0)),"")</f>
        <v/>
      </c>
      <c r="D15" s="6">
        <f>IFERROR(INDEX('12_OverallScores'!$D$2:$D$1000,MATCH($H15,'12_OverallScores'!$B$2:$B$1000,0)),"")</f>
        <v/>
      </c>
      <c r="E15" s="6">
        <f>IFERROR(INDEX('12_OverallScores'!$E$2:$E$1000,MATCH($H15,'12_OverallScores'!$B$2:$B$1000,0)),"")</f>
        <v/>
      </c>
      <c r="F15" s="6">
        <f>IF($H15="","",IF($L15&gt;0,IF(IFERROR(INDEX('03_Configurations'!$I$2:$I$1000,MATCH($H15,'03_Configurations'!$A$2:$A$1000,0)),"FALSE")="TRUE","FAIL ("&amp;$N15&amp;") - kept, overridden","FAIL ("&amp;$N15&amp;") - excluded"),IF($M15&gt;0,"UNKNOWN","PASS")))</f>
        <v/>
      </c>
      <c r="G15" s="6" t="n"/>
      <c r="H15" s="6" t="n"/>
      <c r="I15" s="6">
        <f>IFERROR(INDEX('02_Vehicles'!$B$2:$B$1000,MATCH(INDEX('03_Configurations'!$B$2:$B$1000,MATCH($H15,'03_Configurations'!$A$2:$A$1000,0)),'02_Vehicles'!$A$2:$A$1000,0)),"")</f>
        <v/>
      </c>
      <c r="J15" s="6">
        <f>IFERROR(INDEX('02_Vehicles'!$C$2:$C$1000,MATCH(INDEX('03_Configurations'!$B$2:$B$1000,MATCH($H15,'03_Configurations'!$A$2:$A$1000,0)),'02_Vehicles'!$A$2:$A$1000,0)),"")</f>
        <v/>
      </c>
      <c r="K15" s="6">
        <f>IFERROR(INDEX('03_Configurations'!$E$2:$E$1000,MATCH($H15,'03_Configurations'!$A$2:$A$1000,0)),"")</f>
        <v/>
      </c>
      <c r="L15" s="6">
        <f>IF($H15="","",COUNTIFS('14_HardRequirementResults'!$B$2:$B$1000,$H15,'14_HardRequirementResults'!$D$2:$D$1000,"FAIL"))</f>
        <v/>
      </c>
      <c r="M15" s="6">
        <f>IF($H15="","",COUNTIFS('14_HardRequirementResults'!$B$2:$B$1000,$H15,'14_HardRequirementResults'!$D$2:$D$1000,"UNKNOWN"))</f>
        <v/>
      </c>
      <c r="N15" s="6">
        <f>IF($L15="","",IF($L15&gt;0,IFERROR(INDEX('14_HardRequirementResults'!$C$2:$C$1000,MATCH(1,INDEX(('14_HardRequirementResults'!$B$2:$B$1000=$H15)*('14_HardRequirementResults'!$D$2:$D$1000="FAIL"),0),0)),""),""))</f>
        <v/>
      </c>
    </row>
    <row r="16">
      <c r="A16" s="6">
        <f>IF($H16="","",RANK($D16,$D$6:$D$25,0))</f>
        <v/>
      </c>
      <c r="B16" s="6">
        <f>IF($H16="","",$I16&amp;" "&amp;$J16&amp;" ("&amp;$K16&amp;")")</f>
        <v/>
      </c>
      <c r="C16" s="6">
        <f>IFERROR(INDEX('03_Configurations'!$G$2:$G$1000,MATCH($H16,'03_Configurations'!$A$2:$A$1000,0)),"")</f>
        <v/>
      </c>
      <c r="D16" s="6">
        <f>IFERROR(INDEX('12_OverallScores'!$D$2:$D$1000,MATCH($H16,'12_OverallScores'!$B$2:$B$1000,0)),"")</f>
        <v/>
      </c>
      <c r="E16" s="6">
        <f>IFERROR(INDEX('12_OverallScores'!$E$2:$E$1000,MATCH($H16,'12_OverallScores'!$B$2:$B$1000,0)),"")</f>
        <v/>
      </c>
      <c r="F16" s="6">
        <f>IF($H16="","",IF($L16&gt;0,IF(IFERROR(INDEX('03_Configurations'!$I$2:$I$1000,MATCH($H16,'03_Configurations'!$A$2:$A$1000,0)),"FALSE")="TRUE","FAIL ("&amp;$N16&amp;") - kept, overridden","FAIL ("&amp;$N16&amp;") - excluded"),IF($M16&gt;0,"UNKNOWN","PASS")))</f>
        <v/>
      </c>
      <c r="G16" s="6" t="n"/>
      <c r="H16" s="6" t="n"/>
      <c r="I16" s="6">
        <f>IFERROR(INDEX('02_Vehicles'!$B$2:$B$1000,MATCH(INDEX('03_Configurations'!$B$2:$B$1000,MATCH($H16,'03_Configurations'!$A$2:$A$1000,0)),'02_Vehicles'!$A$2:$A$1000,0)),"")</f>
        <v/>
      </c>
      <c r="J16" s="6">
        <f>IFERROR(INDEX('02_Vehicles'!$C$2:$C$1000,MATCH(INDEX('03_Configurations'!$B$2:$B$1000,MATCH($H16,'03_Configurations'!$A$2:$A$1000,0)),'02_Vehicles'!$A$2:$A$1000,0)),"")</f>
        <v/>
      </c>
      <c r="K16" s="6">
        <f>IFERROR(INDEX('03_Configurations'!$E$2:$E$1000,MATCH($H16,'03_Configurations'!$A$2:$A$1000,0)),"")</f>
        <v/>
      </c>
      <c r="L16" s="6">
        <f>IF($H16="","",COUNTIFS('14_HardRequirementResults'!$B$2:$B$1000,$H16,'14_HardRequirementResults'!$D$2:$D$1000,"FAIL"))</f>
        <v/>
      </c>
      <c r="M16" s="6">
        <f>IF($H16="","",COUNTIFS('14_HardRequirementResults'!$B$2:$B$1000,$H16,'14_HardRequirementResults'!$D$2:$D$1000,"UNKNOWN"))</f>
        <v/>
      </c>
      <c r="N16" s="6">
        <f>IF($L16="","",IF($L16&gt;0,IFERROR(INDEX('14_HardRequirementResults'!$C$2:$C$1000,MATCH(1,INDEX(('14_HardRequirementResults'!$B$2:$B$1000=$H16)*('14_HardRequirementResults'!$D$2:$D$1000="FAIL"),0),0)),""),""))</f>
        <v/>
      </c>
    </row>
    <row r="17">
      <c r="A17" s="6">
        <f>IF($H17="","",RANK($D17,$D$6:$D$25,0))</f>
        <v/>
      </c>
      <c r="B17" s="6">
        <f>IF($H17="","",$I17&amp;" "&amp;$J17&amp;" ("&amp;$K17&amp;")")</f>
        <v/>
      </c>
      <c r="C17" s="6">
        <f>IFERROR(INDEX('03_Configurations'!$G$2:$G$1000,MATCH($H17,'03_Configurations'!$A$2:$A$1000,0)),"")</f>
        <v/>
      </c>
      <c r="D17" s="6">
        <f>IFERROR(INDEX('12_OverallScores'!$D$2:$D$1000,MATCH($H17,'12_OverallScores'!$B$2:$B$1000,0)),"")</f>
        <v/>
      </c>
      <c r="E17" s="6">
        <f>IFERROR(INDEX('12_OverallScores'!$E$2:$E$1000,MATCH($H17,'12_OverallScores'!$B$2:$B$1000,0)),"")</f>
        <v/>
      </c>
      <c r="F17" s="6">
        <f>IF($H17="","",IF($L17&gt;0,IF(IFERROR(INDEX('03_Configurations'!$I$2:$I$1000,MATCH($H17,'03_Configurations'!$A$2:$A$1000,0)),"FALSE")="TRUE","FAIL ("&amp;$N17&amp;") - kept, overridden","FAIL ("&amp;$N17&amp;") - excluded"),IF($M17&gt;0,"UNKNOWN","PASS")))</f>
        <v/>
      </c>
      <c r="G17" s="6" t="n"/>
      <c r="H17" s="6" t="n"/>
      <c r="I17" s="6">
        <f>IFERROR(INDEX('02_Vehicles'!$B$2:$B$1000,MATCH(INDEX('03_Configurations'!$B$2:$B$1000,MATCH($H17,'03_Configurations'!$A$2:$A$1000,0)),'02_Vehicles'!$A$2:$A$1000,0)),"")</f>
        <v/>
      </c>
      <c r="J17" s="6">
        <f>IFERROR(INDEX('02_Vehicles'!$C$2:$C$1000,MATCH(INDEX('03_Configurations'!$B$2:$B$1000,MATCH($H17,'03_Configurations'!$A$2:$A$1000,0)),'02_Vehicles'!$A$2:$A$1000,0)),"")</f>
        <v/>
      </c>
      <c r="K17" s="6">
        <f>IFERROR(INDEX('03_Configurations'!$E$2:$E$1000,MATCH($H17,'03_Configurations'!$A$2:$A$1000,0)),"")</f>
        <v/>
      </c>
      <c r="L17" s="6">
        <f>IF($H17="","",COUNTIFS('14_HardRequirementResults'!$B$2:$B$1000,$H17,'14_HardRequirementResults'!$D$2:$D$1000,"FAIL"))</f>
        <v/>
      </c>
      <c r="M17" s="6">
        <f>IF($H17="","",COUNTIFS('14_HardRequirementResults'!$B$2:$B$1000,$H17,'14_HardRequirementResults'!$D$2:$D$1000,"UNKNOWN"))</f>
        <v/>
      </c>
      <c r="N17" s="6">
        <f>IF($L17="","",IF($L17&gt;0,IFERROR(INDEX('14_HardRequirementResults'!$C$2:$C$1000,MATCH(1,INDEX(('14_HardRequirementResults'!$B$2:$B$1000=$H17)*('14_HardRequirementResults'!$D$2:$D$1000="FAIL"),0),0)),""),""))</f>
        <v/>
      </c>
    </row>
    <row r="18">
      <c r="A18" s="6">
        <f>IF($H18="","",RANK($D18,$D$6:$D$25,0))</f>
        <v/>
      </c>
      <c r="B18" s="6">
        <f>IF($H18="","",$I18&amp;" "&amp;$J18&amp;" ("&amp;$K18&amp;")")</f>
        <v/>
      </c>
      <c r="C18" s="6">
        <f>IFERROR(INDEX('03_Configurations'!$G$2:$G$1000,MATCH($H18,'03_Configurations'!$A$2:$A$1000,0)),"")</f>
        <v/>
      </c>
      <c r="D18" s="6">
        <f>IFERROR(INDEX('12_OverallScores'!$D$2:$D$1000,MATCH($H18,'12_OverallScores'!$B$2:$B$1000,0)),"")</f>
        <v/>
      </c>
      <c r="E18" s="6">
        <f>IFERROR(INDEX('12_OverallScores'!$E$2:$E$1000,MATCH($H18,'12_OverallScores'!$B$2:$B$1000,0)),"")</f>
        <v/>
      </c>
      <c r="F18" s="6">
        <f>IF($H18="","",IF($L18&gt;0,IF(IFERROR(INDEX('03_Configurations'!$I$2:$I$1000,MATCH($H18,'03_Configurations'!$A$2:$A$1000,0)),"FALSE")="TRUE","FAIL ("&amp;$N18&amp;") - kept, overridden","FAIL ("&amp;$N18&amp;") - excluded"),IF($M18&gt;0,"UNKNOWN","PASS")))</f>
        <v/>
      </c>
      <c r="G18" s="6" t="n"/>
      <c r="H18" s="6" t="n"/>
      <c r="I18" s="6">
        <f>IFERROR(INDEX('02_Vehicles'!$B$2:$B$1000,MATCH(INDEX('03_Configurations'!$B$2:$B$1000,MATCH($H18,'03_Configurations'!$A$2:$A$1000,0)),'02_Vehicles'!$A$2:$A$1000,0)),"")</f>
        <v/>
      </c>
      <c r="J18" s="6">
        <f>IFERROR(INDEX('02_Vehicles'!$C$2:$C$1000,MATCH(INDEX('03_Configurations'!$B$2:$B$1000,MATCH($H18,'03_Configurations'!$A$2:$A$1000,0)),'02_Vehicles'!$A$2:$A$1000,0)),"")</f>
        <v/>
      </c>
      <c r="K18" s="6">
        <f>IFERROR(INDEX('03_Configurations'!$E$2:$E$1000,MATCH($H18,'03_Configurations'!$A$2:$A$1000,0)),"")</f>
        <v/>
      </c>
      <c r="L18" s="6">
        <f>IF($H18="","",COUNTIFS('14_HardRequirementResults'!$B$2:$B$1000,$H18,'14_HardRequirementResults'!$D$2:$D$1000,"FAIL"))</f>
        <v/>
      </c>
      <c r="M18" s="6">
        <f>IF($H18="","",COUNTIFS('14_HardRequirementResults'!$B$2:$B$1000,$H18,'14_HardRequirementResults'!$D$2:$D$1000,"UNKNOWN"))</f>
        <v/>
      </c>
      <c r="N18" s="6">
        <f>IF($L18="","",IF($L18&gt;0,IFERROR(INDEX('14_HardRequirementResults'!$C$2:$C$1000,MATCH(1,INDEX(('14_HardRequirementResults'!$B$2:$B$1000=$H18)*('14_HardRequirementResults'!$D$2:$D$1000="FAIL"),0),0)),""),""))</f>
        <v/>
      </c>
    </row>
    <row r="19">
      <c r="A19" s="6">
        <f>IF($H19="","",RANK($D19,$D$6:$D$25,0))</f>
        <v/>
      </c>
      <c r="B19" s="6">
        <f>IF($H19="","",$I19&amp;" "&amp;$J19&amp;" ("&amp;$K19&amp;")")</f>
        <v/>
      </c>
      <c r="C19" s="6">
        <f>IFERROR(INDEX('03_Configurations'!$G$2:$G$1000,MATCH($H19,'03_Configurations'!$A$2:$A$1000,0)),"")</f>
        <v/>
      </c>
      <c r="D19" s="6">
        <f>IFERROR(INDEX('12_OverallScores'!$D$2:$D$1000,MATCH($H19,'12_OverallScores'!$B$2:$B$1000,0)),"")</f>
        <v/>
      </c>
      <c r="E19" s="6">
        <f>IFERROR(INDEX('12_OverallScores'!$E$2:$E$1000,MATCH($H19,'12_OverallScores'!$B$2:$B$1000,0)),"")</f>
        <v/>
      </c>
      <c r="F19" s="6">
        <f>IF($H19="","",IF($L19&gt;0,IF(IFERROR(INDEX('03_Configurations'!$I$2:$I$1000,MATCH($H19,'03_Configurations'!$A$2:$A$1000,0)),"FALSE")="TRUE","FAIL ("&amp;$N19&amp;") - kept, overridden","FAIL ("&amp;$N19&amp;") - excluded"),IF($M19&gt;0,"UNKNOWN","PASS")))</f>
        <v/>
      </c>
      <c r="G19" s="6" t="n"/>
      <c r="H19" s="6" t="n"/>
      <c r="I19" s="6">
        <f>IFERROR(INDEX('02_Vehicles'!$B$2:$B$1000,MATCH(INDEX('03_Configurations'!$B$2:$B$1000,MATCH($H19,'03_Configurations'!$A$2:$A$1000,0)),'02_Vehicles'!$A$2:$A$1000,0)),"")</f>
        <v/>
      </c>
      <c r="J19" s="6">
        <f>IFERROR(INDEX('02_Vehicles'!$C$2:$C$1000,MATCH(INDEX('03_Configurations'!$B$2:$B$1000,MATCH($H19,'03_Configurations'!$A$2:$A$1000,0)),'02_Vehicles'!$A$2:$A$1000,0)),"")</f>
        <v/>
      </c>
      <c r="K19" s="6">
        <f>IFERROR(INDEX('03_Configurations'!$E$2:$E$1000,MATCH($H19,'03_Configurations'!$A$2:$A$1000,0)),"")</f>
        <v/>
      </c>
      <c r="L19" s="6">
        <f>IF($H19="","",COUNTIFS('14_HardRequirementResults'!$B$2:$B$1000,$H19,'14_HardRequirementResults'!$D$2:$D$1000,"FAIL"))</f>
        <v/>
      </c>
      <c r="M19" s="6">
        <f>IF($H19="","",COUNTIFS('14_HardRequirementResults'!$B$2:$B$1000,$H19,'14_HardRequirementResults'!$D$2:$D$1000,"UNKNOWN"))</f>
        <v/>
      </c>
      <c r="N19" s="6">
        <f>IF($L19="","",IF($L19&gt;0,IFERROR(INDEX('14_HardRequirementResults'!$C$2:$C$1000,MATCH(1,INDEX(('14_HardRequirementResults'!$B$2:$B$1000=$H19)*('14_HardRequirementResults'!$D$2:$D$1000="FAIL"),0),0)),""),""))</f>
        <v/>
      </c>
    </row>
    <row r="20">
      <c r="A20" s="6">
        <f>IF($H20="","",RANK($D20,$D$6:$D$25,0))</f>
        <v/>
      </c>
      <c r="B20" s="6">
        <f>IF($H20="","",$I20&amp;" "&amp;$J20&amp;" ("&amp;$K20&amp;")")</f>
        <v/>
      </c>
      <c r="C20" s="6">
        <f>IFERROR(INDEX('03_Configurations'!$G$2:$G$1000,MATCH($H20,'03_Configurations'!$A$2:$A$1000,0)),"")</f>
        <v/>
      </c>
      <c r="D20" s="6">
        <f>IFERROR(INDEX('12_OverallScores'!$D$2:$D$1000,MATCH($H20,'12_OverallScores'!$B$2:$B$1000,0)),"")</f>
        <v/>
      </c>
      <c r="E20" s="6">
        <f>IFERROR(INDEX('12_OverallScores'!$E$2:$E$1000,MATCH($H20,'12_OverallScores'!$B$2:$B$1000,0)),"")</f>
        <v/>
      </c>
      <c r="F20" s="6">
        <f>IF($H20="","",IF($L20&gt;0,IF(IFERROR(INDEX('03_Configurations'!$I$2:$I$1000,MATCH($H20,'03_Configurations'!$A$2:$A$1000,0)),"FALSE")="TRUE","FAIL ("&amp;$N20&amp;") - kept, overridden","FAIL ("&amp;$N20&amp;") - excluded"),IF($M20&gt;0,"UNKNOWN","PASS")))</f>
        <v/>
      </c>
      <c r="G20" s="6" t="n"/>
      <c r="H20" s="6" t="n"/>
      <c r="I20" s="6">
        <f>IFERROR(INDEX('02_Vehicles'!$B$2:$B$1000,MATCH(INDEX('03_Configurations'!$B$2:$B$1000,MATCH($H20,'03_Configurations'!$A$2:$A$1000,0)),'02_Vehicles'!$A$2:$A$1000,0)),"")</f>
        <v/>
      </c>
      <c r="J20" s="6">
        <f>IFERROR(INDEX('02_Vehicles'!$C$2:$C$1000,MATCH(INDEX('03_Configurations'!$B$2:$B$1000,MATCH($H20,'03_Configurations'!$A$2:$A$1000,0)),'02_Vehicles'!$A$2:$A$1000,0)),"")</f>
        <v/>
      </c>
      <c r="K20" s="6">
        <f>IFERROR(INDEX('03_Configurations'!$E$2:$E$1000,MATCH($H20,'03_Configurations'!$A$2:$A$1000,0)),"")</f>
        <v/>
      </c>
      <c r="L20" s="6">
        <f>IF($H20="","",COUNTIFS('14_HardRequirementResults'!$B$2:$B$1000,$H20,'14_HardRequirementResults'!$D$2:$D$1000,"FAIL"))</f>
        <v/>
      </c>
      <c r="M20" s="6">
        <f>IF($H20="","",COUNTIFS('14_HardRequirementResults'!$B$2:$B$1000,$H20,'14_HardRequirementResults'!$D$2:$D$1000,"UNKNOWN"))</f>
        <v/>
      </c>
      <c r="N20" s="6">
        <f>IF($L20="","",IF($L20&gt;0,IFERROR(INDEX('14_HardRequirementResults'!$C$2:$C$1000,MATCH(1,INDEX(('14_HardRequirementResults'!$B$2:$B$1000=$H20)*('14_HardRequirementResults'!$D$2:$D$1000="FAIL"),0),0)),""),""))</f>
        <v/>
      </c>
    </row>
    <row r="21">
      <c r="A21" s="6">
        <f>IF($H21="","",RANK($D21,$D$6:$D$25,0))</f>
        <v/>
      </c>
      <c r="B21" s="6">
        <f>IF($H21="","",$I21&amp;" "&amp;$J21&amp;" ("&amp;$K21&amp;")")</f>
        <v/>
      </c>
      <c r="C21" s="6">
        <f>IFERROR(INDEX('03_Configurations'!$G$2:$G$1000,MATCH($H21,'03_Configurations'!$A$2:$A$1000,0)),"")</f>
        <v/>
      </c>
      <c r="D21" s="6">
        <f>IFERROR(INDEX('12_OverallScores'!$D$2:$D$1000,MATCH($H21,'12_OverallScores'!$B$2:$B$1000,0)),"")</f>
        <v/>
      </c>
      <c r="E21" s="6">
        <f>IFERROR(INDEX('12_OverallScores'!$E$2:$E$1000,MATCH($H21,'12_OverallScores'!$B$2:$B$1000,0)),"")</f>
        <v/>
      </c>
      <c r="F21" s="6">
        <f>IF($H21="","",IF($L21&gt;0,IF(IFERROR(INDEX('03_Configurations'!$I$2:$I$1000,MATCH($H21,'03_Configurations'!$A$2:$A$1000,0)),"FALSE")="TRUE","FAIL ("&amp;$N21&amp;") - kept, overridden","FAIL ("&amp;$N21&amp;") - excluded"),IF($M21&gt;0,"UNKNOWN","PASS")))</f>
        <v/>
      </c>
      <c r="G21" s="6" t="n"/>
      <c r="H21" s="6" t="n"/>
      <c r="I21" s="6">
        <f>IFERROR(INDEX('02_Vehicles'!$B$2:$B$1000,MATCH(INDEX('03_Configurations'!$B$2:$B$1000,MATCH($H21,'03_Configurations'!$A$2:$A$1000,0)),'02_Vehicles'!$A$2:$A$1000,0)),"")</f>
        <v/>
      </c>
      <c r="J21" s="6">
        <f>IFERROR(INDEX('02_Vehicles'!$C$2:$C$1000,MATCH(INDEX('03_Configurations'!$B$2:$B$1000,MATCH($H21,'03_Configurations'!$A$2:$A$1000,0)),'02_Vehicles'!$A$2:$A$1000,0)),"")</f>
        <v/>
      </c>
      <c r="K21" s="6">
        <f>IFERROR(INDEX('03_Configurations'!$E$2:$E$1000,MATCH($H21,'03_Configurations'!$A$2:$A$1000,0)),"")</f>
        <v/>
      </c>
      <c r="L21" s="6">
        <f>IF($H21="","",COUNTIFS('14_HardRequirementResults'!$B$2:$B$1000,$H21,'14_HardRequirementResults'!$D$2:$D$1000,"FAIL"))</f>
        <v/>
      </c>
      <c r="M21" s="6">
        <f>IF($H21="","",COUNTIFS('14_HardRequirementResults'!$B$2:$B$1000,$H21,'14_HardRequirementResults'!$D$2:$D$1000,"UNKNOWN"))</f>
        <v/>
      </c>
      <c r="N21" s="6">
        <f>IF($L21="","",IF($L21&gt;0,IFERROR(INDEX('14_HardRequirementResults'!$C$2:$C$1000,MATCH(1,INDEX(('14_HardRequirementResults'!$B$2:$B$1000=$H21)*('14_HardRequirementResults'!$D$2:$D$1000="FAIL"),0),0)),""),""))</f>
        <v/>
      </c>
    </row>
    <row r="22">
      <c r="A22" s="6">
        <f>IF($H22="","",RANK($D22,$D$6:$D$25,0))</f>
        <v/>
      </c>
      <c r="B22" s="6">
        <f>IF($H22="","",$I22&amp;" "&amp;$J22&amp;" ("&amp;$K22&amp;")")</f>
        <v/>
      </c>
      <c r="C22" s="6">
        <f>IFERROR(INDEX('03_Configurations'!$G$2:$G$1000,MATCH($H22,'03_Configurations'!$A$2:$A$1000,0)),"")</f>
        <v/>
      </c>
      <c r="D22" s="6">
        <f>IFERROR(INDEX('12_OverallScores'!$D$2:$D$1000,MATCH($H22,'12_OverallScores'!$B$2:$B$1000,0)),"")</f>
        <v/>
      </c>
      <c r="E22" s="6">
        <f>IFERROR(INDEX('12_OverallScores'!$E$2:$E$1000,MATCH($H22,'12_OverallScores'!$B$2:$B$1000,0)),"")</f>
        <v/>
      </c>
      <c r="F22" s="6">
        <f>IF($H22="","",IF($L22&gt;0,IF(IFERROR(INDEX('03_Configurations'!$I$2:$I$1000,MATCH($H22,'03_Configurations'!$A$2:$A$1000,0)),"FALSE")="TRUE","FAIL ("&amp;$N22&amp;") - kept, overridden","FAIL ("&amp;$N22&amp;") - excluded"),IF($M22&gt;0,"UNKNOWN","PASS")))</f>
        <v/>
      </c>
      <c r="G22" s="6" t="n"/>
      <c r="H22" s="6" t="n"/>
      <c r="I22" s="6">
        <f>IFERROR(INDEX('02_Vehicles'!$B$2:$B$1000,MATCH(INDEX('03_Configurations'!$B$2:$B$1000,MATCH($H22,'03_Configurations'!$A$2:$A$1000,0)),'02_Vehicles'!$A$2:$A$1000,0)),"")</f>
        <v/>
      </c>
      <c r="J22" s="6">
        <f>IFERROR(INDEX('02_Vehicles'!$C$2:$C$1000,MATCH(INDEX('03_Configurations'!$B$2:$B$1000,MATCH($H22,'03_Configurations'!$A$2:$A$1000,0)),'02_Vehicles'!$A$2:$A$1000,0)),"")</f>
        <v/>
      </c>
      <c r="K22" s="6">
        <f>IFERROR(INDEX('03_Configurations'!$E$2:$E$1000,MATCH($H22,'03_Configurations'!$A$2:$A$1000,0)),"")</f>
        <v/>
      </c>
      <c r="L22" s="6">
        <f>IF($H22="","",COUNTIFS('14_HardRequirementResults'!$B$2:$B$1000,$H22,'14_HardRequirementResults'!$D$2:$D$1000,"FAIL"))</f>
        <v/>
      </c>
      <c r="M22" s="6">
        <f>IF($H22="","",COUNTIFS('14_HardRequirementResults'!$B$2:$B$1000,$H22,'14_HardRequirementResults'!$D$2:$D$1000,"UNKNOWN"))</f>
        <v/>
      </c>
      <c r="N22" s="6">
        <f>IF($L22="","",IF($L22&gt;0,IFERROR(INDEX('14_HardRequirementResults'!$C$2:$C$1000,MATCH(1,INDEX(('14_HardRequirementResults'!$B$2:$B$1000=$H22)*('14_HardRequirementResults'!$D$2:$D$1000="FAIL"),0),0)),""),""))</f>
        <v/>
      </c>
    </row>
    <row r="23">
      <c r="A23" s="6">
        <f>IF($H23="","",RANK($D23,$D$6:$D$25,0))</f>
        <v/>
      </c>
      <c r="B23" s="6">
        <f>IF($H23="","",$I23&amp;" "&amp;$J23&amp;" ("&amp;$K23&amp;")")</f>
        <v/>
      </c>
      <c r="C23" s="6">
        <f>IFERROR(INDEX('03_Configurations'!$G$2:$G$1000,MATCH($H23,'03_Configurations'!$A$2:$A$1000,0)),"")</f>
        <v/>
      </c>
      <c r="D23" s="6">
        <f>IFERROR(INDEX('12_OverallScores'!$D$2:$D$1000,MATCH($H23,'12_OverallScores'!$B$2:$B$1000,0)),"")</f>
        <v/>
      </c>
      <c r="E23" s="6">
        <f>IFERROR(INDEX('12_OverallScores'!$E$2:$E$1000,MATCH($H23,'12_OverallScores'!$B$2:$B$1000,0)),"")</f>
        <v/>
      </c>
      <c r="F23" s="6">
        <f>IF($H23="","",IF($L23&gt;0,IF(IFERROR(INDEX('03_Configurations'!$I$2:$I$1000,MATCH($H23,'03_Configurations'!$A$2:$A$1000,0)),"FALSE")="TRUE","FAIL ("&amp;$N23&amp;") - kept, overridden","FAIL ("&amp;$N23&amp;") - excluded"),IF($M23&gt;0,"UNKNOWN","PASS")))</f>
        <v/>
      </c>
      <c r="G23" s="6" t="n"/>
      <c r="H23" s="6" t="n"/>
      <c r="I23" s="6">
        <f>IFERROR(INDEX('02_Vehicles'!$B$2:$B$1000,MATCH(INDEX('03_Configurations'!$B$2:$B$1000,MATCH($H23,'03_Configurations'!$A$2:$A$1000,0)),'02_Vehicles'!$A$2:$A$1000,0)),"")</f>
        <v/>
      </c>
      <c r="J23" s="6">
        <f>IFERROR(INDEX('02_Vehicles'!$C$2:$C$1000,MATCH(INDEX('03_Configurations'!$B$2:$B$1000,MATCH($H23,'03_Configurations'!$A$2:$A$1000,0)),'02_Vehicles'!$A$2:$A$1000,0)),"")</f>
        <v/>
      </c>
      <c r="K23" s="6">
        <f>IFERROR(INDEX('03_Configurations'!$E$2:$E$1000,MATCH($H23,'03_Configurations'!$A$2:$A$1000,0)),"")</f>
        <v/>
      </c>
      <c r="L23" s="6">
        <f>IF($H23="","",COUNTIFS('14_HardRequirementResults'!$B$2:$B$1000,$H23,'14_HardRequirementResults'!$D$2:$D$1000,"FAIL"))</f>
        <v/>
      </c>
      <c r="M23" s="6">
        <f>IF($H23="","",COUNTIFS('14_HardRequirementResults'!$B$2:$B$1000,$H23,'14_HardRequirementResults'!$D$2:$D$1000,"UNKNOWN"))</f>
        <v/>
      </c>
      <c r="N23" s="6">
        <f>IF($L23="","",IF($L23&gt;0,IFERROR(INDEX('14_HardRequirementResults'!$C$2:$C$1000,MATCH(1,INDEX(('14_HardRequirementResults'!$B$2:$B$1000=$H23)*('14_HardRequirementResults'!$D$2:$D$1000="FAIL"),0),0)),""),""))</f>
        <v/>
      </c>
    </row>
    <row r="24">
      <c r="A24" s="6">
        <f>IF($H24="","",RANK($D24,$D$6:$D$25,0))</f>
        <v/>
      </c>
      <c r="B24" s="6">
        <f>IF($H24="","",$I24&amp;" "&amp;$J24&amp;" ("&amp;$K24&amp;")")</f>
        <v/>
      </c>
      <c r="C24" s="6">
        <f>IFERROR(INDEX('03_Configurations'!$G$2:$G$1000,MATCH($H24,'03_Configurations'!$A$2:$A$1000,0)),"")</f>
        <v/>
      </c>
      <c r="D24" s="6">
        <f>IFERROR(INDEX('12_OverallScores'!$D$2:$D$1000,MATCH($H24,'12_OverallScores'!$B$2:$B$1000,0)),"")</f>
        <v/>
      </c>
      <c r="E24" s="6">
        <f>IFERROR(INDEX('12_OverallScores'!$E$2:$E$1000,MATCH($H24,'12_OverallScores'!$B$2:$B$1000,0)),"")</f>
        <v/>
      </c>
      <c r="F24" s="6">
        <f>IF($H24="","",IF($L24&gt;0,IF(IFERROR(INDEX('03_Configurations'!$I$2:$I$1000,MATCH($H24,'03_Configurations'!$A$2:$A$1000,0)),"FALSE")="TRUE","FAIL ("&amp;$N24&amp;") - kept, overridden","FAIL ("&amp;$N24&amp;") - excluded"),IF($M24&gt;0,"UNKNOWN","PASS")))</f>
        <v/>
      </c>
      <c r="G24" s="6" t="n"/>
      <c r="H24" s="6" t="n"/>
      <c r="I24" s="6">
        <f>IFERROR(INDEX('02_Vehicles'!$B$2:$B$1000,MATCH(INDEX('03_Configurations'!$B$2:$B$1000,MATCH($H24,'03_Configurations'!$A$2:$A$1000,0)),'02_Vehicles'!$A$2:$A$1000,0)),"")</f>
        <v/>
      </c>
      <c r="J24" s="6">
        <f>IFERROR(INDEX('02_Vehicles'!$C$2:$C$1000,MATCH(INDEX('03_Configurations'!$B$2:$B$1000,MATCH($H24,'03_Configurations'!$A$2:$A$1000,0)),'02_Vehicles'!$A$2:$A$1000,0)),"")</f>
        <v/>
      </c>
      <c r="K24" s="6">
        <f>IFERROR(INDEX('03_Configurations'!$E$2:$E$1000,MATCH($H24,'03_Configurations'!$A$2:$A$1000,0)),"")</f>
        <v/>
      </c>
      <c r="L24" s="6">
        <f>IF($H24="","",COUNTIFS('14_HardRequirementResults'!$B$2:$B$1000,$H24,'14_HardRequirementResults'!$D$2:$D$1000,"FAIL"))</f>
        <v/>
      </c>
      <c r="M24" s="6">
        <f>IF($H24="","",COUNTIFS('14_HardRequirementResults'!$B$2:$B$1000,$H24,'14_HardRequirementResults'!$D$2:$D$1000,"UNKNOWN"))</f>
        <v/>
      </c>
      <c r="N24" s="6">
        <f>IF($L24="","",IF($L24&gt;0,IFERROR(INDEX('14_HardRequirementResults'!$C$2:$C$1000,MATCH(1,INDEX(('14_HardRequirementResults'!$B$2:$B$1000=$H24)*('14_HardRequirementResults'!$D$2:$D$1000="FAIL"),0),0)),""),""))</f>
        <v/>
      </c>
    </row>
    <row r="25">
      <c r="A25" s="6">
        <f>IF($H25="","",RANK($D25,$D$6:$D$25,0))</f>
        <v/>
      </c>
      <c r="B25" s="6">
        <f>IF($H25="","",$I25&amp;" "&amp;$J25&amp;" ("&amp;$K25&amp;")")</f>
        <v/>
      </c>
      <c r="C25" s="6">
        <f>IFERROR(INDEX('03_Configurations'!$G$2:$G$1000,MATCH($H25,'03_Configurations'!$A$2:$A$1000,0)),"")</f>
        <v/>
      </c>
      <c r="D25" s="6">
        <f>IFERROR(INDEX('12_OverallScores'!$D$2:$D$1000,MATCH($H25,'12_OverallScores'!$B$2:$B$1000,0)),"")</f>
        <v/>
      </c>
      <c r="E25" s="6">
        <f>IFERROR(INDEX('12_OverallScores'!$E$2:$E$1000,MATCH($H25,'12_OverallScores'!$B$2:$B$1000,0)),"")</f>
        <v/>
      </c>
      <c r="F25" s="6">
        <f>IF($H25="","",IF($L25&gt;0,IF(IFERROR(INDEX('03_Configurations'!$I$2:$I$1000,MATCH($H25,'03_Configurations'!$A$2:$A$1000,0)),"FALSE")="TRUE","FAIL ("&amp;$N25&amp;") - kept, overridden","FAIL ("&amp;$N25&amp;") - excluded"),IF($M25&gt;0,"UNKNOWN","PASS")))</f>
        <v/>
      </c>
      <c r="G25" s="6" t="n"/>
      <c r="H25" s="6" t="n"/>
      <c r="I25" s="6">
        <f>IFERROR(INDEX('02_Vehicles'!$B$2:$B$1000,MATCH(INDEX('03_Configurations'!$B$2:$B$1000,MATCH($H25,'03_Configurations'!$A$2:$A$1000,0)),'02_Vehicles'!$A$2:$A$1000,0)),"")</f>
        <v/>
      </c>
      <c r="J25" s="6">
        <f>IFERROR(INDEX('02_Vehicles'!$C$2:$C$1000,MATCH(INDEX('03_Configurations'!$B$2:$B$1000,MATCH($H25,'03_Configurations'!$A$2:$A$1000,0)),'02_Vehicles'!$A$2:$A$1000,0)),"")</f>
        <v/>
      </c>
      <c r="K25" s="6">
        <f>IFERROR(INDEX('03_Configurations'!$E$2:$E$1000,MATCH($H25,'03_Configurations'!$A$2:$A$1000,0)),"")</f>
        <v/>
      </c>
      <c r="L25" s="6">
        <f>IF($H25="","",COUNTIFS('14_HardRequirementResults'!$B$2:$B$1000,$H25,'14_HardRequirementResults'!$D$2:$D$1000,"FAIL"))</f>
        <v/>
      </c>
      <c r="M25" s="6">
        <f>IF($H25="","",COUNTIFS('14_HardRequirementResults'!$B$2:$B$1000,$H25,'14_HardRequirementResults'!$D$2:$D$1000,"UNKNOWN"))</f>
        <v/>
      </c>
      <c r="N25" s="6">
        <f>IF($L25="","",IF($L25&gt;0,IFERROR(INDEX('14_HardRequirementResults'!$C$2:$C$1000,MATCH(1,INDEX(('14_HardRequirementResults'!$B$2:$B$1000=$H25)*('14_HardRequirementResults'!$D$2:$D$1000="FAIL"),0),0)),""),""))</f>
        <v/>
      </c>
    </row>
    <row r="27">
      <c r="A27" s="4" t="inlineStr">
        <is>
          <t>2. Category Breakdown (WeightedScore sum per Category)</t>
        </is>
      </c>
    </row>
    <row r="28">
      <c r="A28" s="1" t="inlineStr">
        <is>
          <t>Configuration</t>
        </is>
      </c>
      <c r="B28" s="1" t="inlineStr">
        <is>
          <t>Kjøreopplevelse</t>
        </is>
      </c>
      <c r="C28" s="1" t="inlineStr">
        <is>
          <t>Teknologi</t>
        </is>
      </c>
      <c r="D28" s="1" t="inlineStr">
        <is>
          <t>Opplevd kvalitet</t>
        </is>
      </c>
      <c r="E28" s="1" t="inlineStr">
        <is>
          <t>Langtidseierskap</t>
        </is>
      </c>
      <c r="F28" s="1" t="inlineStr">
        <is>
          <t>Økonomi</t>
        </is>
      </c>
      <c r="G28" s="1" t="inlineStr">
        <is>
          <t>Praktisk bruk</t>
        </is>
      </c>
      <c r="H28" s="1" t="inlineStr">
        <is>
          <t>Garasje</t>
        </is>
      </c>
      <c r="I28" s="1" t="inlineStr">
        <is>
          <t>Rekkevidde/lading</t>
        </is>
      </c>
      <c r="J28" s="5" t="inlineStr">
        <is>
          <t>ConfigurationID</t>
        </is>
      </c>
    </row>
    <row r="29">
      <c r="A29" s="6">
        <f>IF($J29="","",$J29)</f>
        <v/>
      </c>
      <c r="B29" s="6">
        <f>IF($J29="","",IFERROR(SUMPRODUCT(('10_Scoring'!$B$2:$B$1000=$J29)*('10_Scoring'!$E$2:$E$1000=INDEX('12_OverallScores'!$C$2:$C$1000,MATCH($J29,'12_OverallScores'!$B$2:$B$1000,0)))*(IFERROR(INDEX('01_Criteria'!$B$2:$B$1000,MATCH('10_Scoring'!$C$2:$C$1000,'01_Criteria'!$A$2:$A$1000,0)),"")=B$28)*'10_Scoring'!$G$2:$G$1000),0))</f>
        <v/>
      </c>
      <c r="C29" s="6">
        <f>IF($J29="","",IFERROR(SUMPRODUCT(('10_Scoring'!$B$2:$B$1000=$J29)*('10_Scoring'!$E$2:$E$1000=INDEX('12_OverallScores'!$C$2:$C$1000,MATCH($J29,'12_OverallScores'!$B$2:$B$1000,0)))*(IFERROR(INDEX('01_Criteria'!$B$2:$B$1000,MATCH('10_Scoring'!$C$2:$C$1000,'01_Criteria'!$A$2:$A$1000,0)),"")=C$28)*'10_Scoring'!$G$2:$G$1000),0))</f>
        <v/>
      </c>
      <c r="D29" s="6">
        <f>IF($J29="","",IFERROR(SUMPRODUCT(('10_Scoring'!$B$2:$B$1000=$J29)*('10_Scoring'!$E$2:$E$1000=INDEX('12_OverallScores'!$C$2:$C$1000,MATCH($J29,'12_OverallScores'!$B$2:$B$1000,0)))*(IFERROR(INDEX('01_Criteria'!$B$2:$B$1000,MATCH('10_Scoring'!$C$2:$C$1000,'01_Criteria'!$A$2:$A$1000,0)),"")=D$28)*'10_Scoring'!$G$2:$G$1000),0))</f>
        <v/>
      </c>
      <c r="E29" s="6">
        <f>IF($J29="","",IFERROR(SUMPRODUCT(('10_Scoring'!$B$2:$B$1000=$J29)*('10_Scoring'!$E$2:$E$1000=INDEX('12_OverallScores'!$C$2:$C$1000,MATCH($J29,'12_OverallScores'!$B$2:$B$1000,0)))*(IFERROR(INDEX('01_Criteria'!$B$2:$B$1000,MATCH('10_Scoring'!$C$2:$C$1000,'01_Criteria'!$A$2:$A$1000,0)),"")=E$28)*'10_Scoring'!$G$2:$G$1000),0))</f>
        <v/>
      </c>
      <c r="F29" s="6">
        <f>IF($J29="","",IFERROR(SUMPRODUCT(('10_Scoring'!$B$2:$B$1000=$J29)*('10_Scoring'!$E$2:$E$1000=INDEX('12_OverallScores'!$C$2:$C$1000,MATCH($J29,'12_OverallScores'!$B$2:$B$1000,0)))*(IFERROR(INDEX('01_Criteria'!$B$2:$B$1000,MATCH('10_Scoring'!$C$2:$C$1000,'01_Criteria'!$A$2:$A$1000,0)),"")=F$28)*'10_Scoring'!$G$2:$G$1000),0))</f>
        <v/>
      </c>
      <c r="G29" s="6">
        <f>IF($J29="","",IFERROR(SUMPRODUCT(('10_Scoring'!$B$2:$B$1000=$J29)*('10_Scoring'!$E$2:$E$1000=INDEX('12_OverallScores'!$C$2:$C$1000,MATCH($J29,'12_OverallScores'!$B$2:$B$1000,0)))*(IFERROR(INDEX('01_Criteria'!$B$2:$B$1000,MATCH('10_Scoring'!$C$2:$C$1000,'01_Criteria'!$A$2:$A$1000,0)),"")=G$28)*'10_Scoring'!$G$2:$G$1000),0))</f>
        <v/>
      </c>
      <c r="H29" s="6">
        <f>IF($J29="","",IFERROR(SUMPRODUCT(('10_Scoring'!$B$2:$B$1000=$J29)*('10_Scoring'!$E$2:$E$1000=INDEX('12_OverallScores'!$C$2:$C$1000,MATCH($J29,'12_OverallScores'!$B$2:$B$1000,0)))*(IFERROR(INDEX('01_Criteria'!$B$2:$B$1000,MATCH('10_Scoring'!$C$2:$C$1000,'01_Criteria'!$A$2:$A$1000,0)),"")=H$28)*'10_Scoring'!$G$2:$G$1000),0))</f>
        <v/>
      </c>
      <c r="I29" s="6">
        <f>IF($J29="","",IFERROR(SUMPRODUCT(('10_Scoring'!$B$2:$B$1000=$J29)*('10_Scoring'!$E$2:$E$1000=INDEX('12_OverallScores'!$C$2:$C$1000,MATCH($J29,'12_OverallScores'!$B$2:$B$1000,0)))*(IFERROR(INDEX('01_Criteria'!$B$2:$B$1000,MATCH('10_Scoring'!$C$2:$C$1000,'01_Criteria'!$A$2:$A$1000,0)),"")=I$28)*'10_Scoring'!$G$2:$G$1000),0))</f>
        <v/>
      </c>
      <c r="J29" s="6" t="inlineStr">
        <is>
          <t>TESLA_MODEL_3_LONG_RANGE_RWD</t>
        </is>
      </c>
    </row>
    <row r="30">
      <c r="A30" s="6">
        <f>IF($J30="","",$J30)</f>
        <v/>
      </c>
      <c r="B30" s="6">
        <f>IF($J30="","",IFERROR(SUMPRODUCT(('10_Scoring'!$B$2:$B$1000=$J30)*('10_Scoring'!$E$2:$E$1000=INDEX('12_OverallScores'!$C$2:$C$1000,MATCH($J30,'12_OverallScores'!$B$2:$B$1000,0)))*(IFERROR(INDEX('01_Criteria'!$B$2:$B$1000,MATCH('10_Scoring'!$C$2:$C$1000,'01_Criteria'!$A$2:$A$1000,0)),"")=B$28)*'10_Scoring'!$G$2:$G$1000),0))</f>
        <v/>
      </c>
      <c r="C30" s="6">
        <f>IF($J30="","",IFERROR(SUMPRODUCT(('10_Scoring'!$B$2:$B$1000=$J30)*('10_Scoring'!$E$2:$E$1000=INDEX('12_OverallScores'!$C$2:$C$1000,MATCH($J30,'12_OverallScores'!$B$2:$B$1000,0)))*(IFERROR(INDEX('01_Criteria'!$B$2:$B$1000,MATCH('10_Scoring'!$C$2:$C$1000,'01_Criteria'!$A$2:$A$1000,0)),"")=C$28)*'10_Scoring'!$G$2:$G$1000),0))</f>
        <v/>
      </c>
      <c r="D30" s="6">
        <f>IF($J30="","",IFERROR(SUMPRODUCT(('10_Scoring'!$B$2:$B$1000=$J30)*('10_Scoring'!$E$2:$E$1000=INDEX('12_OverallScores'!$C$2:$C$1000,MATCH($J30,'12_OverallScores'!$B$2:$B$1000,0)))*(IFERROR(INDEX('01_Criteria'!$B$2:$B$1000,MATCH('10_Scoring'!$C$2:$C$1000,'01_Criteria'!$A$2:$A$1000,0)),"")=D$28)*'10_Scoring'!$G$2:$G$1000),0))</f>
        <v/>
      </c>
      <c r="E30" s="6">
        <f>IF($J30="","",IFERROR(SUMPRODUCT(('10_Scoring'!$B$2:$B$1000=$J30)*('10_Scoring'!$E$2:$E$1000=INDEX('12_OverallScores'!$C$2:$C$1000,MATCH($J30,'12_OverallScores'!$B$2:$B$1000,0)))*(IFERROR(INDEX('01_Criteria'!$B$2:$B$1000,MATCH('10_Scoring'!$C$2:$C$1000,'01_Criteria'!$A$2:$A$1000,0)),"")=E$28)*'10_Scoring'!$G$2:$G$1000),0))</f>
        <v/>
      </c>
      <c r="F30" s="6">
        <f>IF($J30="","",IFERROR(SUMPRODUCT(('10_Scoring'!$B$2:$B$1000=$J30)*('10_Scoring'!$E$2:$E$1000=INDEX('12_OverallScores'!$C$2:$C$1000,MATCH($J30,'12_OverallScores'!$B$2:$B$1000,0)))*(IFERROR(INDEX('01_Criteria'!$B$2:$B$1000,MATCH('10_Scoring'!$C$2:$C$1000,'01_Criteria'!$A$2:$A$1000,0)),"")=F$28)*'10_Scoring'!$G$2:$G$1000),0))</f>
        <v/>
      </c>
      <c r="G30" s="6">
        <f>IF($J30="","",IFERROR(SUMPRODUCT(('10_Scoring'!$B$2:$B$1000=$J30)*('10_Scoring'!$E$2:$E$1000=INDEX('12_OverallScores'!$C$2:$C$1000,MATCH($J30,'12_OverallScores'!$B$2:$B$1000,0)))*(IFERROR(INDEX('01_Criteria'!$B$2:$B$1000,MATCH('10_Scoring'!$C$2:$C$1000,'01_Criteria'!$A$2:$A$1000,0)),"")=G$28)*'10_Scoring'!$G$2:$G$1000),0))</f>
        <v/>
      </c>
      <c r="H30" s="6">
        <f>IF($J30="","",IFERROR(SUMPRODUCT(('10_Scoring'!$B$2:$B$1000=$J30)*('10_Scoring'!$E$2:$E$1000=INDEX('12_OverallScores'!$C$2:$C$1000,MATCH($J30,'12_OverallScores'!$B$2:$B$1000,0)))*(IFERROR(INDEX('01_Criteria'!$B$2:$B$1000,MATCH('10_Scoring'!$C$2:$C$1000,'01_Criteria'!$A$2:$A$1000,0)),"")=H$28)*'10_Scoring'!$G$2:$G$1000),0))</f>
        <v/>
      </c>
      <c r="I30" s="6">
        <f>IF($J30="","",IFERROR(SUMPRODUCT(('10_Scoring'!$B$2:$B$1000=$J30)*('10_Scoring'!$E$2:$E$1000=INDEX('12_OverallScores'!$C$2:$C$1000,MATCH($J30,'12_OverallScores'!$B$2:$B$1000,0)))*(IFERROR(INDEX('01_Criteria'!$B$2:$B$1000,MATCH('10_Scoring'!$C$2:$C$1000,'01_Criteria'!$A$2:$A$1000,0)),"")=I$28)*'10_Scoring'!$G$2:$G$1000),0))</f>
        <v/>
      </c>
      <c r="J30" s="6" t="inlineStr">
        <is>
          <t>RENAULT_4_TECHNO</t>
        </is>
      </c>
    </row>
    <row r="31">
      <c r="A31" s="6">
        <f>IF($J31="","",$J31)</f>
        <v/>
      </c>
      <c r="B31" s="6">
        <f>IF($J31="","",IFERROR(SUMPRODUCT(('10_Scoring'!$B$2:$B$1000=$J31)*('10_Scoring'!$E$2:$E$1000=INDEX('12_OverallScores'!$C$2:$C$1000,MATCH($J31,'12_OverallScores'!$B$2:$B$1000,0)))*(IFERROR(INDEX('01_Criteria'!$B$2:$B$1000,MATCH('10_Scoring'!$C$2:$C$1000,'01_Criteria'!$A$2:$A$1000,0)),"")=B$28)*'10_Scoring'!$G$2:$G$1000),0))</f>
        <v/>
      </c>
      <c r="C31" s="6">
        <f>IF($J31="","",IFERROR(SUMPRODUCT(('10_Scoring'!$B$2:$B$1000=$J31)*('10_Scoring'!$E$2:$E$1000=INDEX('12_OverallScores'!$C$2:$C$1000,MATCH($J31,'12_OverallScores'!$B$2:$B$1000,0)))*(IFERROR(INDEX('01_Criteria'!$B$2:$B$1000,MATCH('10_Scoring'!$C$2:$C$1000,'01_Criteria'!$A$2:$A$1000,0)),"")=C$28)*'10_Scoring'!$G$2:$G$1000),0))</f>
        <v/>
      </c>
      <c r="D31" s="6">
        <f>IF($J31="","",IFERROR(SUMPRODUCT(('10_Scoring'!$B$2:$B$1000=$J31)*('10_Scoring'!$E$2:$E$1000=INDEX('12_OverallScores'!$C$2:$C$1000,MATCH($J31,'12_OverallScores'!$B$2:$B$1000,0)))*(IFERROR(INDEX('01_Criteria'!$B$2:$B$1000,MATCH('10_Scoring'!$C$2:$C$1000,'01_Criteria'!$A$2:$A$1000,0)),"")=D$28)*'10_Scoring'!$G$2:$G$1000),0))</f>
        <v/>
      </c>
      <c r="E31" s="6">
        <f>IF($J31="","",IFERROR(SUMPRODUCT(('10_Scoring'!$B$2:$B$1000=$J31)*('10_Scoring'!$E$2:$E$1000=INDEX('12_OverallScores'!$C$2:$C$1000,MATCH($J31,'12_OverallScores'!$B$2:$B$1000,0)))*(IFERROR(INDEX('01_Criteria'!$B$2:$B$1000,MATCH('10_Scoring'!$C$2:$C$1000,'01_Criteria'!$A$2:$A$1000,0)),"")=E$28)*'10_Scoring'!$G$2:$G$1000),0))</f>
        <v/>
      </c>
      <c r="F31" s="6">
        <f>IF($J31="","",IFERROR(SUMPRODUCT(('10_Scoring'!$B$2:$B$1000=$J31)*('10_Scoring'!$E$2:$E$1000=INDEX('12_OverallScores'!$C$2:$C$1000,MATCH($J31,'12_OverallScores'!$B$2:$B$1000,0)))*(IFERROR(INDEX('01_Criteria'!$B$2:$B$1000,MATCH('10_Scoring'!$C$2:$C$1000,'01_Criteria'!$A$2:$A$1000,0)),"")=F$28)*'10_Scoring'!$G$2:$G$1000),0))</f>
        <v/>
      </c>
      <c r="G31" s="6">
        <f>IF($J31="","",IFERROR(SUMPRODUCT(('10_Scoring'!$B$2:$B$1000=$J31)*('10_Scoring'!$E$2:$E$1000=INDEX('12_OverallScores'!$C$2:$C$1000,MATCH($J31,'12_OverallScores'!$B$2:$B$1000,0)))*(IFERROR(INDEX('01_Criteria'!$B$2:$B$1000,MATCH('10_Scoring'!$C$2:$C$1000,'01_Criteria'!$A$2:$A$1000,0)),"")=G$28)*'10_Scoring'!$G$2:$G$1000),0))</f>
        <v/>
      </c>
      <c r="H31" s="6">
        <f>IF($J31="","",IFERROR(SUMPRODUCT(('10_Scoring'!$B$2:$B$1000=$J31)*('10_Scoring'!$E$2:$E$1000=INDEX('12_OverallScores'!$C$2:$C$1000,MATCH($J31,'12_OverallScores'!$B$2:$B$1000,0)))*(IFERROR(INDEX('01_Criteria'!$B$2:$B$1000,MATCH('10_Scoring'!$C$2:$C$1000,'01_Criteria'!$A$2:$A$1000,0)),"")=H$28)*'10_Scoring'!$G$2:$G$1000),0))</f>
        <v/>
      </c>
      <c r="I31" s="6">
        <f>IF($J31="","",IFERROR(SUMPRODUCT(('10_Scoring'!$B$2:$B$1000=$J31)*('10_Scoring'!$E$2:$E$1000=INDEX('12_OverallScores'!$C$2:$C$1000,MATCH($J31,'12_OverallScores'!$B$2:$B$1000,0)))*(IFERROR(INDEX('01_Criteria'!$B$2:$B$1000,MATCH('10_Scoring'!$C$2:$C$1000,'01_Criteria'!$A$2:$A$1000,0)),"")=I$28)*'10_Scoring'!$G$2:$G$1000),0))</f>
        <v/>
      </c>
      <c r="J31" s="6" t="inlineStr">
        <is>
          <t>SKODA_ELROQ_SELECTION_60</t>
        </is>
      </c>
    </row>
    <row r="32">
      <c r="A32" s="6">
        <f>IF($J32="","",$J32)</f>
        <v/>
      </c>
      <c r="B32" s="6">
        <f>IF($J32="","",IFERROR(SUMPRODUCT(('10_Scoring'!$B$2:$B$1000=$J32)*('10_Scoring'!$E$2:$E$1000=INDEX('12_OverallScores'!$C$2:$C$1000,MATCH($J32,'12_OverallScores'!$B$2:$B$1000,0)))*(IFERROR(INDEX('01_Criteria'!$B$2:$B$1000,MATCH('10_Scoring'!$C$2:$C$1000,'01_Criteria'!$A$2:$A$1000,0)),"")=B$28)*'10_Scoring'!$G$2:$G$1000),0))</f>
        <v/>
      </c>
      <c r="C32" s="6">
        <f>IF($J32="","",IFERROR(SUMPRODUCT(('10_Scoring'!$B$2:$B$1000=$J32)*('10_Scoring'!$E$2:$E$1000=INDEX('12_OverallScores'!$C$2:$C$1000,MATCH($J32,'12_OverallScores'!$B$2:$B$1000,0)))*(IFERROR(INDEX('01_Criteria'!$B$2:$B$1000,MATCH('10_Scoring'!$C$2:$C$1000,'01_Criteria'!$A$2:$A$1000,0)),"")=C$28)*'10_Scoring'!$G$2:$G$1000),0))</f>
        <v/>
      </c>
      <c r="D32" s="6">
        <f>IF($J32="","",IFERROR(SUMPRODUCT(('10_Scoring'!$B$2:$B$1000=$J32)*('10_Scoring'!$E$2:$E$1000=INDEX('12_OverallScores'!$C$2:$C$1000,MATCH($J32,'12_OverallScores'!$B$2:$B$1000,0)))*(IFERROR(INDEX('01_Criteria'!$B$2:$B$1000,MATCH('10_Scoring'!$C$2:$C$1000,'01_Criteria'!$A$2:$A$1000,0)),"")=D$28)*'10_Scoring'!$G$2:$G$1000),0))</f>
        <v/>
      </c>
      <c r="E32" s="6">
        <f>IF($J32="","",IFERROR(SUMPRODUCT(('10_Scoring'!$B$2:$B$1000=$J32)*('10_Scoring'!$E$2:$E$1000=INDEX('12_OverallScores'!$C$2:$C$1000,MATCH($J32,'12_OverallScores'!$B$2:$B$1000,0)))*(IFERROR(INDEX('01_Criteria'!$B$2:$B$1000,MATCH('10_Scoring'!$C$2:$C$1000,'01_Criteria'!$A$2:$A$1000,0)),"")=E$28)*'10_Scoring'!$G$2:$G$1000),0))</f>
        <v/>
      </c>
      <c r="F32" s="6">
        <f>IF($J32="","",IFERROR(SUMPRODUCT(('10_Scoring'!$B$2:$B$1000=$J32)*('10_Scoring'!$E$2:$E$1000=INDEX('12_OverallScores'!$C$2:$C$1000,MATCH($J32,'12_OverallScores'!$B$2:$B$1000,0)))*(IFERROR(INDEX('01_Criteria'!$B$2:$B$1000,MATCH('10_Scoring'!$C$2:$C$1000,'01_Criteria'!$A$2:$A$1000,0)),"")=F$28)*'10_Scoring'!$G$2:$G$1000),0))</f>
        <v/>
      </c>
      <c r="G32" s="6">
        <f>IF($J32="","",IFERROR(SUMPRODUCT(('10_Scoring'!$B$2:$B$1000=$J32)*('10_Scoring'!$E$2:$E$1000=INDEX('12_OverallScores'!$C$2:$C$1000,MATCH($J32,'12_OverallScores'!$B$2:$B$1000,0)))*(IFERROR(INDEX('01_Criteria'!$B$2:$B$1000,MATCH('10_Scoring'!$C$2:$C$1000,'01_Criteria'!$A$2:$A$1000,0)),"")=G$28)*'10_Scoring'!$G$2:$G$1000),0))</f>
        <v/>
      </c>
      <c r="H32" s="6">
        <f>IF($J32="","",IFERROR(SUMPRODUCT(('10_Scoring'!$B$2:$B$1000=$J32)*('10_Scoring'!$E$2:$E$1000=INDEX('12_OverallScores'!$C$2:$C$1000,MATCH($J32,'12_OverallScores'!$B$2:$B$1000,0)))*(IFERROR(INDEX('01_Criteria'!$B$2:$B$1000,MATCH('10_Scoring'!$C$2:$C$1000,'01_Criteria'!$A$2:$A$1000,0)),"")=H$28)*'10_Scoring'!$G$2:$G$1000),0))</f>
        <v/>
      </c>
      <c r="I32" s="6">
        <f>IF($J32="","",IFERROR(SUMPRODUCT(('10_Scoring'!$B$2:$B$1000=$J32)*('10_Scoring'!$E$2:$E$1000=INDEX('12_OverallScores'!$C$2:$C$1000,MATCH($J32,'12_OverallScores'!$B$2:$B$1000,0)))*(IFERROR(INDEX('01_Criteria'!$B$2:$B$1000,MATCH('10_Scoring'!$C$2:$C$1000,'01_Criteria'!$A$2:$A$1000,0)),"")=I$28)*'10_Scoring'!$G$2:$G$1000),0))</f>
        <v/>
      </c>
      <c r="J32" s="6" t="inlineStr">
        <is>
          <t>VOLVO_EX30_P8_AWD</t>
        </is>
      </c>
    </row>
    <row r="33">
      <c r="A33" s="6">
        <f>IF($J33="","",$J33)</f>
        <v/>
      </c>
      <c r="B33" s="6">
        <f>IF($J33="","",IFERROR(SUMPRODUCT(('10_Scoring'!$B$2:$B$1000=$J33)*('10_Scoring'!$E$2:$E$1000=INDEX('12_OverallScores'!$C$2:$C$1000,MATCH($J33,'12_OverallScores'!$B$2:$B$1000,0)))*(IFERROR(INDEX('01_Criteria'!$B$2:$B$1000,MATCH('10_Scoring'!$C$2:$C$1000,'01_Criteria'!$A$2:$A$1000,0)),"")=B$28)*'10_Scoring'!$G$2:$G$1000),0))</f>
        <v/>
      </c>
      <c r="C33" s="6">
        <f>IF($J33="","",IFERROR(SUMPRODUCT(('10_Scoring'!$B$2:$B$1000=$J33)*('10_Scoring'!$E$2:$E$1000=INDEX('12_OverallScores'!$C$2:$C$1000,MATCH($J33,'12_OverallScores'!$B$2:$B$1000,0)))*(IFERROR(INDEX('01_Criteria'!$B$2:$B$1000,MATCH('10_Scoring'!$C$2:$C$1000,'01_Criteria'!$A$2:$A$1000,0)),"")=C$28)*'10_Scoring'!$G$2:$G$1000),0))</f>
        <v/>
      </c>
      <c r="D33" s="6">
        <f>IF($J33="","",IFERROR(SUMPRODUCT(('10_Scoring'!$B$2:$B$1000=$J33)*('10_Scoring'!$E$2:$E$1000=INDEX('12_OverallScores'!$C$2:$C$1000,MATCH($J33,'12_OverallScores'!$B$2:$B$1000,0)))*(IFERROR(INDEX('01_Criteria'!$B$2:$B$1000,MATCH('10_Scoring'!$C$2:$C$1000,'01_Criteria'!$A$2:$A$1000,0)),"")=D$28)*'10_Scoring'!$G$2:$G$1000),0))</f>
        <v/>
      </c>
      <c r="E33" s="6">
        <f>IF($J33="","",IFERROR(SUMPRODUCT(('10_Scoring'!$B$2:$B$1000=$J33)*('10_Scoring'!$E$2:$E$1000=INDEX('12_OverallScores'!$C$2:$C$1000,MATCH($J33,'12_OverallScores'!$B$2:$B$1000,0)))*(IFERROR(INDEX('01_Criteria'!$B$2:$B$1000,MATCH('10_Scoring'!$C$2:$C$1000,'01_Criteria'!$A$2:$A$1000,0)),"")=E$28)*'10_Scoring'!$G$2:$G$1000),0))</f>
        <v/>
      </c>
      <c r="F33" s="6">
        <f>IF($J33="","",IFERROR(SUMPRODUCT(('10_Scoring'!$B$2:$B$1000=$J33)*('10_Scoring'!$E$2:$E$1000=INDEX('12_OverallScores'!$C$2:$C$1000,MATCH($J33,'12_OverallScores'!$B$2:$B$1000,0)))*(IFERROR(INDEX('01_Criteria'!$B$2:$B$1000,MATCH('10_Scoring'!$C$2:$C$1000,'01_Criteria'!$A$2:$A$1000,0)),"")=F$28)*'10_Scoring'!$G$2:$G$1000),0))</f>
        <v/>
      </c>
      <c r="G33" s="6">
        <f>IF($J33="","",IFERROR(SUMPRODUCT(('10_Scoring'!$B$2:$B$1000=$J33)*('10_Scoring'!$E$2:$E$1000=INDEX('12_OverallScores'!$C$2:$C$1000,MATCH($J33,'12_OverallScores'!$B$2:$B$1000,0)))*(IFERROR(INDEX('01_Criteria'!$B$2:$B$1000,MATCH('10_Scoring'!$C$2:$C$1000,'01_Criteria'!$A$2:$A$1000,0)),"")=G$28)*'10_Scoring'!$G$2:$G$1000),0))</f>
        <v/>
      </c>
      <c r="H33" s="6">
        <f>IF($J33="","",IFERROR(SUMPRODUCT(('10_Scoring'!$B$2:$B$1000=$J33)*('10_Scoring'!$E$2:$E$1000=INDEX('12_OverallScores'!$C$2:$C$1000,MATCH($J33,'12_OverallScores'!$B$2:$B$1000,0)))*(IFERROR(INDEX('01_Criteria'!$B$2:$B$1000,MATCH('10_Scoring'!$C$2:$C$1000,'01_Criteria'!$A$2:$A$1000,0)),"")=H$28)*'10_Scoring'!$G$2:$G$1000),0))</f>
        <v/>
      </c>
      <c r="I33" s="6">
        <f>IF($J33="","",IFERROR(SUMPRODUCT(('10_Scoring'!$B$2:$B$1000=$J33)*('10_Scoring'!$E$2:$E$1000=INDEX('12_OverallScores'!$C$2:$C$1000,MATCH($J33,'12_OverallScores'!$B$2:$B$1000,0)))*(IFERROR(INDEX('01_Criteria'!$B$2:$B$1000,MATCH('10_Scoring'!$C$2:$C$1000,'01_Criteria'!$A$2:$A$1000,0)),"")=I$28)*'10_Scoring'!$G$2:$G$1000),0))</f>
        <v/>
      </c>
      <c r="J33" s="6" t="inlineStr">
        <is>
          <t>KIA_EV2_FWD_LONG_RANGE_GT_LINE</t>
        </is>
      </c>
    </row>
    <row r="34">
      <c r="A34" s="6">
        <f>IF($J34="","",$J34)</f>
        <v/>
      </c>
      <c r="B34" s="6">
        <f>IF($J34="","",IFERROR(SUMPRODUCT(('10_Scoring'!$B$2:$B$1000=$J34)*('10_Scoring'!$E$2:$E$1000=INDEX('12_OverallScores'!$C$2:$C$1000,MATCH($J34,'12_OverallScores'!$B$2:$B$1000,0)))*(IFERROR(INDEX('01_Criteria'!$B$2:$B$1000,MATCH('10_Scoring'!$C$2:$C$1000,'01_Criteria'!$A$2:$A$1000,0)),"")=B$28)*'10_Scoring'!$G$2:$G$1000),0))</f>
        <v/>
      </c>
      <c r="C34" s="6">
        <f>IF($J34="","",IFERROR(SUMPRODUCT(('10_Scoring'!$B$2:$B$1000=$J34)*('10_Scoring'!$E$2:$E$1000=INDEX('12_OverallScores'!$C$2:$C$1000,MATCH($J34,'12_OverallScores'!$B$2:$B$1000,0)))*(IFERROR(INDEX('01_Criteria'!$B$2:$B$1000,MATCH('10_Scoring'!$C$2:$C$1000,'01_Criteria'!$A$2:$A$1000,0)),"")=C$28)*'10_Scoring'!$G$2:$G$1000),0))</f>
        <v/>
      </c>
      <c r="D34" s="6">
        <f>IF($J34="","",IFERROR(SUMPRODUCT(('10_Scoring'!$B$2:$B$1000=$J34)*('10_Scoring'!$E$2:$E$1000=INDEX('12_OverallScores'!$C$2:$C$1000,MATCH($J34,'12_OverallScores'!$B$2:$B$1000,0)))*(IFERROR(INDEX('01_Criteria'!$B$2:$B$1000,MATCH('10_Scoring'!$C$2:$C$1000,'01_Criteria'!$A$2:$A$1000,0)),"")=D$28)*'10_Scoring'!$G$2:$G$1000),0))</f>
        <v/>
      </c>
      <c r="E34" s="6">
        <f>IF($J34="","",IFERROR(SUMPRODUCT(('10_Scoring'!$B$2:$B$1000=$J34)*('10_Scoring'!$E$2:$E$1000=INDEX('12_OverallScores'!$C$2:$C$1000,MATCH($J34,'12_OverallScores'!$B$2:$B$1000,0)))*(IFERROR(INDEX('01_Criteria'!$B$2:$B$1000,MATCH('10_Scoring'!$C$2:$C$1000,'01_Criteria'!$A$2:$A$1000,0)),"")=E$28)*'10_Scoring'!$G$2:$G$1000),0))</f>
        <v/>
      </c>
      <c r="F34" s="6">
        <f>IF($J34="","",IFERROR(SUMPRODUCT(('10_Scoring'!$B$2:$B$1000=$J34)*('10_Scoring'!$E$2:$E$1000=INDEX('12_OverallScores'!$C$2:$C$1000,MATCH($J34,'12_OverallScores'!$B$2:$B$1000,0)))*(IFERROR(INDEX('01_Criteria'!$B$2:$B$1000,MATCH('10_Scoring'!$C$2:$C$1000,'01_Criteria'!$A$2:$A$1000,0)),"")=F$28)*'10_Scoring'!$G$2:$G$1000),0))</f>
        <v/>
      </c>
      <c r="G34" s="6">
        <f>IF($J34="","",IFERROR(SUMPRODUCT(('10_Scoring'!$B$2:$B$1000=$J34)*('10_Scoring'!$E$2:$E$1000=INDEX('12_OverallScores'!$C$2:$C$1000,MATCH($J34,'12_OverallScores'!$B$2:$B$1000,0)))*(IFERROR(INDEX('01_Criteria'!$B$2:$B$1000,MATCH('10_Scoring'!$C$2:$C$1000,'01_Criteria'!$A$2:$A$1000,0)),"")=G$28)*'10_Scoring'!$G$2:$G$1000),0))</f>
        <v/>
      </c>
      <c r="H34" s="6">
        <f>IF($J34="","",IFERROR(SUMPRODUCT(('10_Scoring'!$B$2:$B$1000=$J34)*('10_Scoring'!$E$2:$E$1000=INDEX('12_OverallScores'!$C$2:$C$1000,MATCH($J34,'12_OverallScores'!$B$2:$B$1000,0)))*(IFERROR(INDEX('01_Criteria'!$B$2:$B$1000,MATCH('10_Scoring'!$C$2:$C$1000,'01_Criteria'!$A$2:$A$1000,0)),"")=H$28)*'10_Scoring'!$G$2:$G$1000),0))</f>
        <v/>
      </c>
      <c r="I34" s="6">
        <f>IF($J34="","",IFERROR(SUMPRODUCT(('10_Scoring'!$B$2:$B$1000=$J34)*('10_Scoring'!$E$2:$E$1000=INDEX('12_OverallScores'!$C$2:$C$1000,MATCH($J34,'12_OverallScores'!$B$2:$B$1000,0)))*(IFERROR(INDEX('01_Criteria'!$B$2:$B$1000,MATCH('10_Scoring'!$C$2:$C$1000,'01_Criteria'!$A$2:$A$1000,0)),"")=I$28)*'10_Scoring'!$G$2:$G$1000),0))</f>
        <v/>
      </c>
      <c r="J34" s="6" t="inlineStr">
        <is>
          <t>BYD_ATTO3_DESIGN</t>
        </is>
      </c>
    </row>
    <row r="35">
      <c r="A35" s="6">
        <f>IF($J35="","",$J35)</f>
        <v/>
      </c>
      <c r="B35" s="6">
        <f>IF($J35="","",IFERROR(SUMPRODUCT(('10_Scoring'!$B$2:$B$1000=$J35)*('10_Scoring'!$E$2:$E$1000=INDEX('12_OverallScores'!$C$2:$C$1000,MATCH($J35,'12_OverallScores'!$B$2:$B$1000,0)))*(IFERROR(INDEX('01_Criteria'!$B$2:$B$1000,MATCH('10_Scoring'!$C$2:$C$1000,'01_Criteria'!$A$2:$A$1000,0)),"")=B$28)*'10_Scoring'!$G$2:$G$1000),0))</f>
        <v/>
      </c>
      <c r="C35" s="6">
        <f>IF($J35="","",IFERROR(SUMPRODUCT(('10_Scoring'!$B$2:$B$1000=$J35)*('10_Scoring'!$E$2:$E$1000=INDEX('12_OverallScores'!$C$2:$C$1000,MATCH($J35,'12_OverallScores'!$B$2:$B$1000,0)))*(IFERROR(INDEX('01_Criteria'!$B$2:$B$1000,MATCH('10_Scoring'!$C$2:$C$1000,'01_Criteria'!$A$2:$A$1000,0)),"")=C$28)*'10_Scoring'!$G$2:$G$1000),0))</f>
        <v/>
      </c>
      <c r="D35" s="6">
        <f>IF($J35="","",IFERROR(SUMPRODUCT(('10_Scoring'!$B$2:$B$1000=$J35)*('10_Scoring'!$E$2:$E$1000=INDEX('12_OverallScores'!$C$2:$C$1000,MATCH($J35,'12_OverallScores'!$B$2:$B$1000,0)))*(IFERROR(INDEX('01_Criteria'!$B$2:$B$1000,MATCH('10_Scoring'!$C$2:$C$1000,'01_Criteria'!$A$2:$A$1000,0)),"")=D$28)*'10_Scoring'!$G$2:$G$1000),0))</f>
        <v/>
      </c>
      <c r="E35" s="6">
        <f>IF($J35="","",IFERROR(SUMPRODUCT(('10_Scoring'!$B$2:$B$1000=$J35)*('10_Scoring'!$E$2:$E$1000=INDEX('12_OverallScores'!$C$2:$C$1000,MATCH($J35,'12_OverallScores'!$B$2:$B$1000,0)))*(IFERROR(INDEX('01_Criteria'!$B$2:$B$1000,MATCH('10_Scoring'!$C$2:$C$1000,'01_Criteria'!$A$2:$A$1000,0)),"")=E$28)*'10_Scoring'!$G$2:$G$1000),0))</f>
        <v/>
      </c>
      <c r="F35" s="6">
        <f>IF($J35="","",IFERROR(SUMPRODUCT(('10_Scoring'!$B$2:$B$1000=$J35)*('10_Scoring'!$E$2:$E$1000=INDEX('12_OverallScores'!$C$2:$C$1000,MATCH($J35,'12_OverallScores'!$B$2:$B$1000,0)))*(IFERROR(INDEX('01_Criteria'!$B$2:$B$1000,MATCH('10_Scoring'!$C$2:$C$1000,'01_Criteria'!$A$2:$A$1000,0)),"")=F$28)*'10_Scoring'!$G$2:$G$1000),0))</f>
        <v/>
      </c>
      <c r="G35" s="6">
        <f>IF($J35="","",IFERROR(SUMPRODUCT(('10_Scoring'!$B$2:$B$1000=$J35)*('10_Scoring'!$E$2:$E$1000=INDEX('12_OverallScores'!$C$2:$C$1000,MATCH($J35,'12_OverallScores'!$B$2:$B$1000,0)))*(IFERROR(INDEX('01_Criteria'!$B$2:$B$1000,MATCH('10_Scoring'!$C$2:$C$1000,'01_Criteria'!$A$2:$A$1000,0)),"")=G$28)*'10_Scoring'!$G$2:$G$1000),0))</f>
        <v/>
      </c>
      <c r="H35" s="6">
        <f>IF($J35="","",IFERROR(SUMPRODUCT(('10_Scoring'!$B$2:$B$1000=$J35)*('10_Scoring'!$E$2:$E$1000=INDEX('12_OverallScores'!$C$2:$C$1000,MATCH($J35,'12_OverallScores'!$B$2:$B$1000,0)))*(IFERROR(INDEX('01_Criteria'!$B$2:$B$1000,MATCH('10_Scoring'!$C$2:$C$1000,'01_Criteria'!$A$2:$A$1000,0)),"")=H$28)*'10_Scoring'!$G$2:$G$1000),0))</f>
        <v/>
      </c>
      <c r="I35" s="6">
        <f>IF($J35="","",IFERROR(SUMPRODUCT(('10_Scoring'!$B$2:$B$1000=$J35)*('10_Scoring'!$E$2:$E$1000=INDEX('12_OverallScores'!$C$2:$C$1000,MATCH($J35,'12_OverallScores'!$B$2:$B$1000,0)))*(IFERROR(INDEX('01_Criteria'!$B$2:$B$1000,MATCH('10_Scoring'!$C$2:$C$1000,'01_Criteria'!$A$2:$A$1000,0)),"")=I$28)*'10_Scoring'!$G$2:$G$1000),0))</f>
        <v/>
      </c>
      <c r="J35" s="6" t="n"/>
    </row>
    <row r="36">
      <c r="A36" s="6">
        <f>IF($J36="","",$J36)</f>
        <v/>
      </c>
      <c r="B36" s="6">
        <f>IF($J36="","",IFERROR(SUMPRODUCT(('10_Scoring'!$B$2:$B$1000=$J36)*('10_Scoring'!$E$2:$E$1000=INDEX('12_OverallScores'!$C$2:$C$1000,MATCH($J36,'12_OverallScores'!$B$2:$B$1000,0)))*(IFERROR(INDEX('01_Criteria'!$B$2:$B$1000,MATCH('10_Scoring'!$C$2:$C$1000,'01_Criteria'!$A$2:$A$1000,0)),"")=B$28)*'10_Scoring'!$G$2:$G$1000),0))</f>
        <v/>
      </c>
      <c r="C36" s="6">
        <f>IF($J36="","",IFERROR(SUMPRODUCT(('10_Scoring'!$B$2:$B$1000=$J36)*('10_Scoring'!$E$2:$E$1000=INDEX('12_OverallScores'!$C$2:$C$1000,MATCH($J36,'12_OverallScores'!$B$2:$B$1000,0)))*(IFERROR(INDEX('01_Criteria'!$B$2:$B$1000,MATCH('10_Scoring'!$C$2:$C$1000,'01_Criteria'!$A$2:$A$1000,0)),"")=C$28)*'10_Scoring'!$G$2:$G$1000),0))</f>
        <v/>
      </c>
      <c r="D36" s="6">
        <f>IF($J36="","",IFERROR(SUMPRODUCT(('10_Scoring'!$B$2:$B$1000=$J36)*('10_Scoring'!$E$2:$E$1000=INDEX('12_OverallScores'!$C$2:$C$1000,MATCH($J36,'12_OverallScores'!$B$2:$B$1000,0)))*(IFERROR(INDEX('01_Criteria'!$B$2:$B$1000,MATCH('10_Scoring'!$C$2:$C$1000,'01_Criteria'!$A$2:$A$1000,0)),"")=D$28)*'10_Scoring'!$G$2:$G$1000),0))</f>
        <v/>
      </c>
      <c r="E36" s="6">
        <f>IF($J36="","",IFERROR(SUMPRODUCT(('10_Scoring'!$B$2:$B$1000=$J36)*('10_Scoring'!$E$2:$E$1000=INDEX('12_OverallScores'!$C$2:$C$1000,MATCH($J36,'12_OverallScores'!$B$2:$B$1000,0)))*(IFERROR(INDEX('01_Criteria'!$B$2:$B$1000,MATCH('10_Scoring'!$C$2:$C$1000,'01_Criteria'!$A$2:$A$1000,0)),"")=E$28)*'10_Scoring'!$G$2:$G$1000),0))</f>
        <v/>
      </c>
      <c r="F36" s="6">
        <f>IF($J36="","",IFERROR(SUMPRODUCT(('10_Scoring'!$B$2:$B$1000=$J36)*('10_Scoring'!$E$2:$E$1000=INDEX('12_OverallScores'!$C$2:$C$1000,MATCH($J36,'12_OverallScores'!$B$2:$B$1000,0)))*(IFERROR(INDEX('01_Criteria'!$B$2:$B$1000,MATCH('10_Scoring'!$C$2:$C$1000,'01_Criteria'!$A$2:$A$1000,0)),"")=F$28)*'10_Scoring'!$G$2:$G$1000),0))</f>
        <v/>
      </c>
      <c r="G36" s="6">
        <f>IF($J36="","",IFERROR(SUMPRODUCT(('10_Scoring'!$B$2:$B$1000=$J36)*('10_Scoring'!$E$2:$E$1000=INDEX('12_OverallScores'!$C$2:$C$1000,MATCH($J36,'12_OverallScores'!$B$2:$B$1000,0)))*(IFERROR(INDEX('01_Criteria'!$B$2:$B$1000,MATCH('10_Scoring'!$C$2:$C$1000,'01_Criteria'!$A$2:$A$1000,0)),"")=G$28)*'10_Scoring'!$G$2:$G$1000),0))</f>
        <v/>
      </c>
      <c r="H36" s="6">
        <f>IF($J36="","",IFERROR(SUMPRODUCT(('10_Scoring'!$B$2:$B$1000=$J36)*('10_Scoring'!$E$2:$E$1000=INDEX('12_OverallScores'!$C$2:$C$1000,MATCH($J36,'12_OverallScores'!$B$2:$B$1000,0)))*(IFERROR(INDEX('01_Criteria'!$B$2:$B$1000,MATCH('10_Scoring'!$C$2:$C$1000,'01_Criteria'!$A$2:$A$1000,0)),"")=H$28)*'10_Scoring'!$G$2:$G$1000),0))</f>
        <v/>
      </c>
      <c r="I36" s="6">
        <f>IF($J36="","",IFERROR(SUMPRODUCT(('10_Scoring'!$B$2:$B$1000=$J36)*('10_Scoring'!$E$2:$E$1000=INDEX('12_OverallScores'!$C$2:$C$1000,MATCH($J36,'12_OverallScores'!$B$2:$B$1000,0)))*(IFERROR(INDEX('01_Criteria'!$B$2:$B$1000,MATCH('10_Scoring'!$C$2:$C$1000,'01_Criteria'!$A$2:$A$1000,0)),"")=I$28)*'10_Scoring'!$G$2:$G$1000),0))</f>
        <v/>
      </c>
      <c r="J36" s="6" t="n"/>
    </row>
    <row r="37">
      <c r="A37" s="6">
        <f>IF($J37="","",$J37)</f>
        <v/>
      </c>
      <c r="B37" s="6">
        <f>IF($J37="","",IFERROR(SUMPRODUCT(('10_Scoring'!$B$2:$B$1000=$J37)*('10_Scoring'!$E$2:$E$1000=INDEX('12_OverallScores'!$C$2:$C$1000,MATCH($J37,'12_OverallScores'!$B$2:$B$1000,0)))*(IFERROR(INDEX('01_Criteria'!$B$2:$B$1000,MATCH('10_Scoring'!$C$2:$C$1000,'01_Criteria'!$A$2:$A$1000,0)),"")=B$28)*'10_Scoring'!$G$2:$G$1000),0))</f>
        <v/>
      </c>
      <c r="C37" s="6">
        <f>IF($J37="","",IFERROR(SUMPRODUCT(('10_Scoring'!$B$2:$B$1000=$J37)*('10_Scoring'!$E$2:$E$1000=INDEX('12_OverallScores'!$C$2:$C$1000,MATCH($J37,'12_OverallScores'!$B$2:$B$1000,0)))*(IFERROR(INDEX('01_Criteria'!$B$2:$B$1000,MATCH('10_Scoring'!$C$2:$C$1000,'01_Criteria'!$A$2:$A$1000,0)),"")=C$28)*'10_Scoring'!$G$2:$G$1000),0))</f>
        <v/>
      </c>
      <c r="D37" s="6">
        <f>IF($J37="","",IFERROR(SUMPRODUCT(('10_Scoring'!$B$2:$B$1000=$J37)*('10_Scoring'!$E$2:$E$1000=INDEX('12_OverallScores'!$C$2:$C$1000,MATCH($J37,'12_OverallScores'!$B$2:$B$1000,0)))*(IFERROR(INDEX('01_Criteria'!$B$2:$B$1000,MATCH('10_Scoring'!$C$2:$C$1000,'01_Criteria'!$A$2:$A$1000,0)),"")=D$28)*'10_Scoring'!$G$2:$G$1000),0))</f>
        <v/>
      </c>
      <c r="E37" s="6">
        <f>IF($J37="","",IFERROR(SUMPRODUCT(('10_Scoring'!$B$2:$B$1000=$J37)*('10_Scoring'!$E$2:$E$1000=INDEX('12_OverallScores'!$C$2:$C$1000,MATCH($J37,'12_OverallScores'!$B$2:$B$1000,0)))*(IFERROR(INDEX('01_Criteria'!$B$2:$B$1000,MATCH('10_Scoring'!$C$2:$C$1000,'01_Criteria'!$A$2:$A$1000,0)),"")=E$28)*'10_Scoring'!$G$2:$G$1000),0))</f>
        <v/>
      </c>
      <c r="F37" s="6">
        <f>IF($J37="","",IFERROR(SUMPRODUCT(('10_Scoring'!$B$2:$B$1000=$J37)*('10_Scoring'!$E$2:$E$1000=INDEX('12_OverallScores'!$C$2:$C$1000,MATCH($J37,'12_OverallScores'!$B$2:$B$1000,0)))*(IFERROR(INDEX('01_Criteria'!$B$2:$B$1000,MATCH('10_Scoring'!$C$2:$C$1000,'01_Criteria'!$A$2:$A$1000,0)),"")=F$28)*'10_Scoring'!$G$2:$G$1000),0))</f>
        <v/>
      </c>
      <c r="G37" s="6">
        <f>IF($J37="","",IFERROR(SUMPRODUCT(('10_Scoring'!$B$2:$B$1000=$J37)*('10_Scoring'!$E$2:$E$1000=INDEX('12_OverallScores'!$C$2:$C$1000,MATCH($J37,'12_OverallScores'!$B$2:$B$1000,0)))*(IFERROR(INDEX('01_Criteria'!$B$2:$B$1000,MATCH('10_Scoring'!$C$2:$C$1000,'01_Criteria'!$A$2:$A$1000,0)),"")=G$28)*'10_Scoring'!$G$2:$G$1000),0))</f>
        <v/>
      </c>
      <c r="H37" s="6">
        <f>IF($J37="","",IFERROR(SUMPRODUCT(('10_Scoring'!$B$2:$B$1000=$J37)*('10_Scoring'!$E$2:$E$1000=INDEX('12_OverallScores'!$C$2:$C$1000,MATCH($J37,'12_OverallScores'!$B$2:$B$1000,0)))*(IFERROR(INDEX('01_Criteria'!$B$2:$B$1000,MATCH('10_Scoring'!$C$2:$C$1000,'01_Criteria'!$A$2:$A$1000,0)),"")=H$28)*'10_Scoring'!$G$2:$G$1000),0))</f>
        <v/>
      </c>
      <c r="I37" s="6">
        <f>IF($J37="","",IFERROR(SUMPRODUCT(('10_Scoring'!$B$2:$B$1000=$J37)*('10_Scoring'!$E$2:$E$1000=INDEX('12_OverallScores'!$C$2:$C$1000,MATCH($J37,'12_OverallScores'!$B$2:$B$1000,0)))*(IFERROR(INDEX('01_Criteria'!$B$2:$B$1000,MATCH('10_Scoring'!$C$2:$C$1000,'01_Criteria'!$A$2:$A$1000,0)),"")=I$28)*'10_Scoring'!$G$2:$G$1000),0))</f>
        <v/>
      </c>
      <c r="J37" s="6" t="n"/>
    </row>
    <row r="38">
      <c r="A38" s="6">
        <f>IF($J38="","",$J38)</f>
        <v/>
      </c>
      <c r="B38" s="6">
        <f>IF($J38="","",IFERROR(SUMPRODUCT(('10_Scoring'!$B$2:$B$1000=$J38)*('10_Scoring'!$E$2:$E$1000=INDEX('12_OverallScores'!$C$2:$C$1000,MATCH($J38,'12_OverallScores'!$B$2:$B$1000,0)))*(IFERROR(INDEX('01_Criteria'!$B$2:$B$1000,MATCH('10_Scoring'!$C$2:$C$1000,'01_Criteria'!$A$2:$A$1000,0)),"")=B$28)*'10_Scoring'!$G$2:$G$1000),0))</f>
        <v/>
      </c>
      <c r="C38" s="6">
        <f>IF($J38="","",IFERROR(SUMPRODUCT(('10_Scoring'!$B$2:$B$1000=$J38)*('10_Scoring'!$E$2:$E$1000=INDEX('12_OverallScores'!$C$2:$C$1000,MATCH($J38,'12_OverallScores'!$B$2:$B$1000,0)))*(IFERROR(INDEX('01_Criteria'!$B$2:$B$1000,MATCH('10_Scoring'!$C$2:$C$1000,'01_Criteria'!$A$2:$A$1000,0)),"")=C$28)*'10_Scoring'!$G$2:$G$1000),0))</f>
        <v/>
      </c>
      <c r="D38" s="6">
        <f>IF($J38="","",IFERROR(SUMPRODUCT(('10_Scoring'!$B$2:$B$1000=$J38)*('10_Scoring'!$E$2:$E$1000=INDEX('12_OverallScores'!$C$2:$C$1000,MATCH($J38,'12_OverallScores'!$B$2:$B$1000,0)))*(IFERROR(INDEX('01_Criteria'!$B$2:$B$1000,MATCH('10_Scoring'!$C$2:$C$1000,'01_Criteria'!$A$2:$A$1000,0)),"")=D$28)*'10_Scoring'!$G$2:$G$1000),0))</f>
        <v/>
      </c>
      <c r="E38" s="6">
        <f>IF($J38="","",IFERROR(SUMPRODUCT(('10_Scoring'!$B$2:$B$1000=$J38)*('10_Scoring'!$E$2:$E$1000=INDEX('12_OverallScores'!$C$2:$C$1000,MATCH($J38,'12_OverallScores'!$B$2:$B$1000,0)))*(IFERROR(INDEX('01_Criteria'!$B$2:$B$1000,MATCH('10_Scoring'!$C$2:$C$1000,'01_Criteria'!$A$2:$A$1000,0)),"")=E$28)*'10_Scoring'!$G$2:$G$1000),0))</f>
        <v/>
      </c>
      <c r="F38" s="6">
        <f>IF($J38="","",IFERROR(SUMPRODUCT(('10_Scoring'!$B$2:$B$1000=$J38)*('10_Scoring'!$E$2:$E$1000=INDEX('12_OverallScores'!$C$2:$C$1000,MATCH($J38,'12_OverallScores'!$B$2:$B$1000,0)))*(IFERROR(INDEX('01_Criteria'!$B$2:$B$1000,MATCH('10_Scoring'!$C$2:$C$1000,'01_Criteria'!$A$2:$A$1000,0)),"")=F$28)*'10_Scoring'!$G$2:$G$1000),0))</f>
        <v/>
      </c>
      <c r="G38" s="6">
        <f>IF($J38="","",IFERROR(SUMPRODUCT(('10_Scoring'!$B$2:$B$1000=$J38)*('10_Scoring'!$E$2:$E$1000=INDEX('12_OverallScores'!$C$2:$C$1000,MATCH($J38,'12_OverallScores'!$B$2:$B$1000,0)))*(IFERROR(INDEX('01_Criteria'!$B$2:$B$1000,MATCH('10_Scoring'!$C$2:$C$1000,'01_Criteria'!$A$2:$A$1000,0)),"")=G$28)*'10_Scoring'!$G$2:$G$1000),0))</f>
        <v/>
      </c>
      <c r="H38" s="6">
        <f>IF($J38="","",IFERROR(SUMPRODUCT(('10_Scoring'!$B$2:$B$1000=$J38)*('10_Scoring'!$E$2:$E$1000=INDEX('12_OverallScores'!$C$2:$C$1000,MATCH($J38,'12_OverallScores'!$B$2:$B$1000,0)))*(IFERROR(INDEX('01_Criteria'!$B$2:$B$1000,MATCH('10_Scoring'!$C$2:$C$1000,'01_Criteria'!$A$2:$A$1000,0)),"")=H$28)*'10_Scoring'!$G$2:$G$1000),0))</f>
        <v/>
      </c>
      <c r="I38" s="6">
        <f>IF($J38="","",IFERROR(SUMPRODUCT(('10_Scoring'!$B$2:$B$1000=$J38)*('10_Scoring'!$E$2:$E$1000=INDEX('12_OverallScores'!$C$2:$C$1000,MATCH($J38,'12_OverallScores'!$B$2:$B$1000,0)))*(IFERROR(INDEX('01_Criteria'!$B$2:$B$1000,MATCH('10_Scoring'!$C$2:$C$1000,'01_Criteria'!$A$2:$A$1000,0)),"")=I$28)*'10_Scoring'!$G$2:$G$1000),0))</f>
        <v/>
      </c>
      <c r="J38" s="6" t="n"/>
    </row>
    <row r="39">
      <c r="A39" s="6">
        <f>IF($J39="","",$J39)</f>
        <v/>
      </c>
      <c r="B39" s="6">
        <f>IF($J39="","",IFERROR(SUMPRODUCT(('10_Scoring'!$B$2:$B$1000=$J39)*('10_Scoring'!$E$2:$E$1000=INDEX('12_OverallScores'!$C$2:$C$1000,MATCH($J39,'12_OverallScores'!$B$2:$B$1000,0)))*(IFERROR(INDEX('01_Criteria'!$B$2:$B$1000,MATCH('10_Scoring'!$C$2:$C$1000,'01_Criteria'!$A$2:$A$1000,0)),"")=B$28)*'10_Scoring'!$G$2:$G$1000),0))</f>
        <v/>
      </c>
      <c r="C39" s="6">
        <f>IF($J39="","",IFERROR(SUMPRODUCT(('10_Scoring'!$B$2:$B$1000=$J39)*('10_Scoring'!$E$2:$E$1000=INDEX('12_OverallScores'!$C$2:$C$1000,MATCH($J39,'12_OverallScores'!$B$2:$B$1000,0)))*(IFERROR(INDEX('01_Criteria'!$B$2:$B$1000,MATCH('10_Scoring'!$C$2:$C$1000,'01_Criteria'!$A$2:$A$1000,0)),"")=C$28)*'10_Scoring'!$G$2:$G$1000),0))</f>
        <v/>
      </c>
      <c r="D39" s="6">
        <f>IF($J39="","",IFERROR(SUMPRODUCT(('10_Scoring'!$B$2:$B$1000=$J39)*('10_Scoring'!$E$2:$E$1000=INDEX('12_OverallScores'!$C$2:$C$1000,MATCH($J39,'12_OverallScores'!$B$2:$B$1000,0)))*(IFERROR(INDEX('01_Criteria'!$B$2:$B$1000,MATCH('10_Scoring'!$C$2:$C$1000,'01_Criteria'!$A$2:$A$1000,0)),"")=D$28)*'10_Scoring'!$G$2:$G$1000),0))</f>
        <v/>
      </c>
      <c r="E39" s="6">
        <f>IF($J39="","",IFERROR(SUMPRODUCT(('10_Scoring'!$B$2:$B$1000=$J39)*('10_Scoring'!$E$2:$E$1000=INDEX('12_OverallScores'!$C$2:$C$1000,MATCH($J39,'12_OverallScores'!$B$2:$B$1000,0)))*(IFERROR(INDEX('01_Criteria'!$B$2:$B$1000,MATCH('10_Scoring'!$C$2:$C$1000,'01_Criteria'!$A$2:$A$1000,0)),"")=E$28)*'10_Scoring'!$G$2:$G$1000),0))</f>
        <v/>
      </c>
      <c r="F39" s="6">
        <f>IF($J39="","",IFERROR(SUMPRODUCT(('10_Scoring'!$B$2:$B$1000=$J39)*('10_Scoring'!$E$2:$E$1000=INDEX('12_OverallScores'!$C$2:$C$1000,MATCH($J39,'12_OverallScores'!$B$2:$B$1000,0)))*(IFERROR(INDEX('01_Criteria'!$B$2:$B$1000,MATCH('10_Scoring'!$C$2:$C$1000,'01_Criteria'!$A$2:$A$1000,0)),"")=F$28)*'10_Scoring'!$G$2:$G$1000),0))</f>
        <v/>
      </c>
      <c r="G39" s="6">
        <f>IF($J39="","",IFERROR(SUMPRODUCT(('10_Scoring'!$B$2:$B$1000=$J39)*('10_Scoring'!$E$2:$E$1000=INDEX('12_OverallScores'!$C$2:$C$1000,MATCH($J39,'12_OverallScores'!$B$2:$B$1000,0)))*(IFERROR(INDEX('01_Criteria'!$B$2:$B$1000,MATCH('10_Scoring'!$C$2:$C$1000,'01_Criteria'!$A$2:$A$1000,0)),"")=G$28)*'10_Scoring'!$G$2:$G$1000),0))</f>
        <v/>
      </c>
      <c r="H39" s="6">
        <f>IF($J39="","",IFERROR(SUMPRODUCT(('10_Scoring'!$B$2:$B$1000=$J39)*('10_Scoring'!$E$2:$E$1000=INDEX('12_OverallScores'!$C$2:$C$1000,MATCH($J39,'12_OverallScores'!$B$2:$B$1000,0)))*(IFERROR(INDEX('01_Criteria'!$B$2:$B$1000,MATCH('10_Scoring'!$C$2:$C$1000,'01_Criteria'!$A$2:$A$1000,0)),"")=H$28)*'10_Scoring'!$G$2:$G$1000),0))</f>
        <v/>
      </c>
      <c r="I39" s="6">
        <f>IF($J39="","",IFERROR(SUMPRODUCT(('10_Scoring'!$B$2:$B$1000=$J39)*('10_Scoring'!$E$2:$E$1000=INDEX('12_OverallScores'!$C$2:$C$1000,MATCH($J39,'12_OverallScores'!$B$2:$B$1000,0)))*(IFERROR(INDEX('01_Criteria'!$B$2:$B$1000,MATCH('10_Scoring'!$C$2:$C$1000,'01_Criteria'!$A$2:$A$1000,0)),"")=I$28)*'10_Scoring'!$G$2:$G$1000),0))</f>
        <v/>
      </c>
      <c r="J39" s="6" t="n"/>
    </row>
    <row r="40">
      <c r="A40" s="6">
        <f>IF($J40="","",$J40)</f>
        <v/>
      </c>
      <c r="B40" s="6">
        <f>IF($J40="","",IFERROR(SUMPRODUCT(('10_Scoring'!$B$2:$B$1000=$J40)*('10_Scoring'!$E$2:$E$1000=INDEX('12_OverallScores'!$C$2:$C$1000,MATCH($J40,'12_OverallScores'!$B$2:$B$1000,0)))*(IFERROR(INDEX('01_Criteria'!$B$2:$B$1000,MATCH('10_Scoring'!$C$2:$C$1000,'01_Criteria'!$A$2:$A$1000,0)),"")=B$28)*'10_Scoring'!$G$2:$G$1000),0))</f>
        <v/>
      </c>
      <c r="C40" s="6">
        <f>IF($J40="","",IFERROR(SUMPRODUCT(('10_Scoring'!$B$2:$B$1000=$J40)*('10_Scoring'!$E$2:$E$1000=INDEX('12_OverallScores'!$C$2:$C$1000,MATCH($J40,'12_OverallScores'!$B$2:$B$1000,0)))*(IFERROR(INDEX('01_Criteria'!$B$2:$B$1000,MATCH('10_Scoring'!$C$2:$C$1000,'01_Criteria'!$A$2:$A$1000,0)),"")=C$28)*'10_Scoring'!$G$2:$G$1000),0))</f>
        <v/>
      </c>
      <c r="D40" s="6">
        <f>IF($J40="","",IFERROR(SUMPRODUCT(('10_Scoring'!$B$2:$B$1000=$J40)*('10_Scoring'!$E$2:$E$1000=INDEX('12_OverallScores'!$C$2:$C$1000,MATCH($J40,'12_OverallScores'!$B$2:$B$1000,0)))*(IFERROR(INDEX('01_Criteria'!$B$2:$B$1000,MATCH('10_Scoring'!$C$2:$C$1000,'01_Criteria'!$A$2:$A$1000,0)),"")=D$28)*'10_Scoring'!$G$2:$G$1000),0))</f>
        <v/>
      </c>
      <c r="E40" s="6">
        <f>IF($J40="","",IFERROR(SUMPRODUCT(('10_Scoring'!$B$2:$B$1000=$J40)*('10_Scoring'!$E$2:$E$1000=INDEX('12_OverallScores'!$C$2:$C$1000,MATCH($J40,'12_OverallScores'!$B$2:$B$1000,0)))*(IFERROR(INDEX('01_Criteria'!$B$2:$B$1000,MATCH('10_Scoring'!$C$2:$C$1000,'01_Criteria'!$A$2:$A$1000,0)),"")=E$28)*'10_Scoring'!$G$2:$G$1000),0))</f>
        <v/>
      </c>
      <c r="F40" s="6">
        <f>IF($J40="","",IFERROR(SUMPRODUCT(('10_Scoring'!$B$2:$B$1000=$J40)*('10_Scoring'!$E$2:$E$1000=INDEX('12_OverallScores'!$C$2:$C$1000,MATCH($J40,'12_OverallScores'!$B$2:$B$1000,0)))*(IFERROR(INDEX('01_Criteria'!$B$2:$B$1000,MATCH('10_Scoring'!$C$2:$C$1000,'01_Criteria'!$A$2:$A$1000,0)),"")=F$28)*'10_Scoring'!$G$2:$G$1000),0))</f>
        <v/>
      </c>
      <c r="G40" s="6">
        <f>IF($J40="","",IFERROR(SUMPRODUCT(('10_Scoring'!$B$2:$B$1000=$J40)*('10_Scoring'!$E$2:$E$1000=INDEX('12_OverallScores'!$C$2:$C$1000,MATCH($J40,'12_OverallScores'!$B$2:$B$1000,0)))*(IFERROR(INDEX('01_Criteria'!$B$2:$B$1000,MATCH('10_Scoring'!$C$2:$C$1000,'01_Criteria'!$A$2:$A$1000,0)),"")=G$28)*'10_Scoring'!$G$2:$G$1000),0))</f>
        <v/>
      </c>
      <c r="H40" s="6">
        <f>IF($J40="","",IFERROR(SUMPRODUCT(('10_Scoring'!$B$2:$B$1000=$J40)*('10_Scoring'!$E$2:$E$1000=INDEX('12_OverallScores'!$C$2:$C$1000,MATCH($J40,'12_OverallScores'!$B$2:$B$1000,0)))*(IFERROR(INDEX('01_Criteria'!$B$2:$B$1000,MATCH('10_Scoring'!$C$2:$C$1000,'01_Criteria'!$A$2:$A$1000,0)),"")=H$28)*'10_Scoring'!$G$2:$G$1000),0))</f>
        <v/>
      </c>
      <c r="I40" s="6">
        <f>IF($J40="","",IFERROR(SUMPRODUCT(('10_Scoring'!$B$2:$B$1000=$J40)*('10_Scoring'!$E$2:$E$1000=INDEX('12_OverallScores'!$C$2:$C$1000,MATCH($J40,'12_OverallScores'!$B$2:$B$1000,0)))*(IFERROR(INDEX('01_Criteria'!$B$2:$B$1000,MATCH('10_Scoring'!$C$2:$C$1000,'01_Criteria'!$A$2:$A$1000,0)),"")=I$28)*'10_Scoring'!$G$2:$G$1000),0))</f>
        <v/>
      </c>
      <c r="J40" s="6" t="n"/>
    </row>
    <row r="41">
      <c r="A41" s="6">
        <f>IF($J41="","",$J41)</f>
        <v/>
      </c>
      <c r="B41" s="6">
        <f>IF($J41="","",IFERROR(SUMPRODUCT(('10_Scoring'!$B$2:$B$1000=$J41)*('10_Scoring'!$E$2:$E$1000=INDEX('12_OverallScores'!$C$2:$C$1000,MATCH($J41,'12_OverallScores'!$B$2:$B$1000,0)))*(IFERROR(INDEX('01_Criteria'!$B$2:$B$1000,MATCH('10_Scoring'!$C$2:$C$1000,'01_Criteria'!$A$2:$A$1000,0)),"")=B$28)*'10_Scoring'!$G$2:$G$1000),0))</f>
        <v/>
      </c>
      <c r="C41" s="6">
        <f>IF($J41="","",IFERROR(SUMPRODUCT(('10_Scoring'!$B$2:$B$1000=$J41)*('10_Scoring'!$E$2:$E$1000=INDEX('12_OverallScores'!$C$2:$C$1000,MATCH($J41,'12_OverallScores'!$B$2:$B$1000,0)))*(IFERROR(INDEX('01_Criteria'!$B$2:$B$1000,MATCH('10_Scoring'!$C$2:$C$1000,'01_Criteria'!$A$2:$A$1000,0)),"")=C$28)*'10_Scoring'!$G$2:$G$1000),0))</f>
        <v/>
      </c>
      <c r="D41" s="6">
        <f>IF($J41="","",IFERROR(SUMPRODUCT(('10_Scoring'!$B$2:$B$1000=$J41)*('10_Scoring'!$E$2:$E$1000=INDEX('12_OverallScores'!$C$2:$C$1000,MATCH($J41,'12_OverallScores'!$B$2:$B$1000,0)))*(IFERROR(INDEX('01_Criteria'!$B$2:$B$1000,MATCH('10_Scoring'!$C$2:$C$1000,'01_Criteria'!$A$2:$A$1000,0)),"")=D$28)*'10_Scoring'!$G$2:$G$1000),0))</f>
        <v/>
      </c>
      <c r="E41" s="6">
        <f>IF($J41="","",IFERROR(SUMPRODUCT(('10_Scoring'!$B$2:$B$1000=$J41)*('10_Scoring'!$E$2:$E$1000=INDEX('12_OverallScores'!$C$2:$C$1000,MATCH($J41,'12_OverallScores'!$B$2:$B$1000,0)))*(IFERROR(INDEX('01_Criteria'!$B$2:$B$1000,MATCH('10_Scoring'!$C$2:$C$1000,'01_Criteria'!$A$2:$A$1000,0)),"")=E$28)*'10_Scoring'!$G$2:$G$1000),0))</f>
        <v/>
      </c>
      <c r="F41" s="6">
        <f>IF($J41="","",IFERROR(SUMPRODUCT(('10_Scoring'!$B$2:$B$1000=$J41)*('10_Scoring'!$E$2:$E$1000=INDEX('12_OverallScores'!$C$2:$C$1000,MATCH($J41,'12_OverallScores'!$B$2:$B$1000,0)))*(IFERROR(INDEX('01_Criteria'!$B$2:$B$1000,MATCH('10_Scoring'!$C$2:$C$1000,'01_Criteria'!$A$2:$A$1000,0)),"")=F$28)*'10_Scoring'!$G$2:$G$1000),0))</f>
        <v/>
      </c>
      <c r="G41" s="6">
        <f>IF($J41="","",IFERROR(SUMPRODUCT(('10_Scoring'!$B$2:$B$1000=$J41)*('10_Scoring'!$E$2:$E$1000=INDEX('12_OverallScores'!$C$2:$C$1000,MATCH($J41,'12_OverallScores'!$B$2:$B$1000,0)))*(IFERROR(INDEX('01_Criteria'!$B$2:$B$1000,MATCH('10_Scoring'!$C$2:$C$1000,'01_Criteria'!$A$2:$A$1000,0)),"")=G$28)*'10_Scoring'!$G$2:$G$1000),0))</f>
        <v/>
      </c>
      <c r="H41" s="6">
        <f>IF($J41="","",IFERROR(SUMPRODUCT(('10_Scoring'!$B$2:$B$1000=$J41)*('10_Scoring'!$E$2:$E$1000=INDEX('12_OverallScores'!$C$2:$C$1000,MATCH($J41,'12_OverallScores'!$B$2:$B$1000,0)))*(IFERROR(INDEX('01_Criteria'!$B$2:$B$1000,MATCH('10_Scoring'!$C$2:$C$1000,'01_Criteria'!$A$2:$A$1000,0)),"")=H$28)*'10_Scoring'!$G$2:$G$1000),0))</f>
        <v/>
      </c>
      <c r="I41" s="6">
        <f>IF($J41="","",IFERROR(SUMPRODUCT(('10_Scoring'!$B$2:$B$1000=$J41)*('10_Scoring'!$E$2:$E$1000=INDEX('12_OverallScores'!$C$2:$C$1000,MATCH($J41,'12_OverallScores'!$B$2:$B$1000,0)))*(IFERROR(INDEX('01_Criteria'!$B$2:$B$1000,MATCH('10_Scoring'!$C$2:$C$1000,'01_Criteria'!$A$2:$A$1000,0)),"")=I$28)*'10_Scoring'!$G$2:$G$1000),0))</f>
        <v/>
      </c>
      <c r="J41" s="6" t="n"/>
    </row>
    <row r="42">
      <c r="A42" s="6">
        <f>IF($J42="","",$J42)</f>
        <v/>
      </c>
      <c r="B42" s="6">
        <f>IF($J42="","",IFERROR(SUMPRODUCT(('10_Scoring'!$B$2:$B$1000=$J42)*('10_Scoring'!$E$2:$E$1000=INDEX('12_OverallScores'!$C$2:$C$1000,MATCH($J42,'12_OverallScores'!$B$2:$B$1000,0)))*(IFERROR(INDEX('01_Criteria'!$B$2:$B$1000,MATCH('10_Scoring'!$C$2:$C$1000,'01_Criteria'!$A$2:$A$1000,0)),"")=B$28)*'10_Scoring'!$G$2:$G$1000),0))</f>
        <v/>
      </c>
      <c r="C42" s="6">
        <f>IF($J42="","",IFERROR(SUMPRODUCT(('10_Scoring'!$B$2:$B$1000=$J42)*('10_Scoring'!$E$2:$E$1000=INDEX('12_OverallScores'!$C$2:$C$1000,MATCH($J42,'12_OverallScores'!$B$2:$B$1000,0)))*(IFERROR(INDEX('01_Criteria'!$B$2:$B$1000,MATCH('10_Scoring'!$C$2:$C$1000,'01_Criteria'!$A$2:$A$1000,0)),"")=C$28)*'10_Scoring'!$G$2:$G$1000),0))</f>
        <v/>
      </c>
      <c r="D42" s="6">
        <f>IF($J42="","",IFERROR(SUMPRODUCT(('10_Scoring'!$B$2:$B$1000=$J42)*('10_Scoring'!$E$2:$E$1000=INDEX('12_OverallScores'!$C$2:$C$1000,MATCH($J42,'12_OverallScores'!$B$2:$B$1000,0)))*(IFERROR(INDEX('01_Criteria'!$B$2:$B$1000,MATCH('10_Scoring'!$C$2:$C$1000,'01_Criteria'!$A$2:$A$1000,0)),"")=D$28)*'10_Scoring'!$G$2:$G$1000),0))</f>
        <v/>
      </c>
      <c r="E42" s="6">
        <f>IF($J42="","",IFERROR(SUMPRODUCT(('10_Scoring'!$B$2:$B$1000=$J42)*('10_Scoring'!$E$2:$E$1000=INDEX('12_OverallScores'!$C$2:$C$1000,MATCH($J42,'12_OverallScores'!$B$2:$B$1000,0)))*(IFERROR(INDEX('01_Criteria'!$B$2:$B$1000,MATCH('10_Scoring'!$C$2:$C$1000,'01_Criteria'!$A$2:$A$1000,0)),"")=E$28)*'10_Scoring'!$G$2:$G$1000),0))</f>
        <v/>
      </c>
      <c r="F42" s="6">
        <f>IF($J42="","",IFERROR(SUMPRODUCT(('10_Scoring'!$B$2:$B$1000=$J42)*('10_Scoring'!$E$2:$E$1000=INDEX('12_OverallScores'!$C$2:$C$1000,MATCH($J42,'12_OverallScores'!$B$2:$B$1000,0)))*(IFERROR(INDEX('01_Criteria'!$B$2:$B$1000,MATCH('10_Scoring'!$C$2:$C$1000,'01_Criteria'!$A$2:$A$1000,0)),"")=F$28)*'10_Scoring'!$G$2:$G$1000),0))</f>
        <v/>
      </c>
      <c r="G42" s="6">
        <f>IF($J42="","",IFERROR(SUMPRODUCT(('10_Scoring'!$B$2:$B$1000=$J42)*('10_Scoring'!$E$2:$E$1000=INDEX('12_OverallScores'!$C$2:$C$1000,MATCH($J42,'12_OverallScores'!$B$2:$B$1000,0)))*(IFERROR(INDEX('01_Criteria'!$B$2:$B$1000,MATCH('10_Scoring'!$C$2:$C$1000,'01_Criteria'!$A$2:$A$1000,0)),"")=G$28)*'10_Scoring'!$G$2:$G$1000),0))</f>
        <v/>
      </c>
      <c r="H42" s="6">
        <f>IF($J42="","",IFERROR(SUMPRODUCT(('10_Scoring'!$B$2:$B$1000=$J42)*('10_Scoring'!$E$2:$E$1000=INDEX('12_OverallScores'!$C$2:$C$1000,MATCH($J42,'12_OverallScores'!$B$2:$B$1000,0)))*(IFERROR(INDEX('01_Criteria'!$B$2:$B$1000,MATCH('10_Scoring'!$C$2:$C$1000,'01_Criteria'!$A$2:$A$1000,0)),"")=H$28)*'10_Scoring'!$G$2:$G$1000),0))</f>
        <v/>
      </c>
      <c r="I42" s="6">
        <f>IF($J42="","",IFERROR(SUMPRODUCT(('10_Scoring'!$B$2:$B$1000=$J42)*('10_Scoring'!$E$2:$E$1000=INDEX('12_OverallScores'!$C$2:$C$1000,MATCH($J42,'12_OverallScores'!$B$2:$B$1000,0)))*(IFERROR(INDEX('01_Criteria'!$B$2:$B$1000,MATCH('10_Scoring'!$C$2:$C$1000,'01_Criteria'!$A$2:$A$1000,0)),"")=I$28)*'10_Scoring'!$G$2:$G$1000),0))</f>
        <v/>
      </c>
      <c r="J42" s="6" t="n"/>
    </row>
    <row r="43">
      <c r="A43" s="6">
        <f>IF($J43="","",$J43)</f>
        <v/>
      </c>
      <c r="B43" s="6">
        <f>IF($J43="","",IFERROR(SUMPRODUCT(('10_Scoring'!$B$2:$B$1000=$J43)*('10_Scoring'!$E$2:$E$1000=INDEX('12_OverallScores'!$C$2:$C$1000,MATCH($J43,'12_OverallScores'!$B$2:$B$1000,0)))*(IFERROR(INDEX('01_Criteria'!$B$2:$B$1000,MATCH('10_Scoring'!$C$2:$C$1000,'01_Criteria'!$A$2:$A$1000,0)),"")=B$28)*'10_Scoring'!$G$2:$G$1000),0))</f>
        <v/>
      </c>
      <c r="C43" s="6">
        <f>IF($J43="","",IFERROR(SUMPRODUCT(('10_Scoring'!$B$2:$B$1000=$J43)*('10_Scoring'!$E$2:$E$1000=INDEX('12_OverallScores'!$C$2:$C$1000,MATCH($J43,'12_OverallScores'!$B$2:$B$1000,0)))*(IFERROR(INDEX('01_Criteria'!$B$2:$B$1000,MATCH('10_Scoring'!$C$2:$C$1000,'01_Criteria'!$A$2:$A$1000,0)),"")=C$28)*'10_Scoring'!$G$2:$G$1000),0))</f>
        <v/>
      </c>
      <c r="D43" s="6">
        <f>IF($J43="","",IFERROR(SUMPRODUCT(('10_Scoring'!$B$2:$B$1000=$J43)*('10_Scoring'!$E$2:$E$1000=INDEX('12_OverallScores'!$C$2:$C$1000,MATCH($J43,'12_OverallScores'!$B$2:$B$1000,0)))*(IFERROR(INDEX('01_Criteria'!$B$2:$B$1000,MATCH('10_Scoring'!$C$2:$C$1000,'01_Criteria'!$A$2:$A$1000,0)),"")=D$28)*'10_Scoring'!$G$2:$G$1000),0))</f>
        <v/>
      </c>
      <c r="E43" s="6">
        <f>IF($J43="","",IFERROR(SUMPRODUCT(('10_Scoring'!$B$2:$B$1000=$J43)*('10_Scoring'!$E$2:$E$1000=INDEX('12_OverallScores'!$C$2:$C$1000,MATCH($J43,'12_OverallScores'!$B$2:$B$1000,0)))*(IFERROR(INDEX('01_Criteria'!$B$2:$B$1000,MATCH('10_Scoring'!$C$2:$C$1000,'01_Criteria'!$A$2:$A$1000,0)),"")=E$28)*'10_Scoring'!$G$2:$G$1000),0))</f>
        <v/>
      </c>
      <c r="F43" s="6">
        <f>IF($J43="","",IFERROR(SUMPRODUCT(('10_Scoring'!$B$2:$B$1000=$J43)*('10_Scoring'!$E$2:$E$1000=INDEX('12_OverallScores'!$C$2:$C$1000,MATCH($J43,'12_OverallScores'!$B$2:$B$1000,0)))*(IFERROR(INDEX('01_Criteria'!$B$2:$B$1000,MATCH('10_Scoring'!$C$2:$C$1000,'01_Criteria'!$A$2:$A$1000,0)),"")=F$28)*'10_Scoring'!$G$2:$G$1000),0))</f>
        <v/>
      </c>
      <c r="G43" s="6">
        <f>IF($J43="","",IFERROR(SUMPRODUCT(('10_Scoring'!$B$2:$B$1000=$J43)*('10_Scoring'!$E$2:$E$1000=INDEX('12_OverallScores'!$C$2:$C$1000,MATCH($J43,'12_OverallScores'!$B$2:$B$1000,0)))*(IFERROR(INDEX('01_Criteria'!$B$2:$B$1000,MATCH('10_Scoring'!$C$2:$C$1000,'01_Criteria'!$A$2:$A$1000,0)),"")=G$28)*'10_Scoring'!$G$2:$G$1000),0))</f>
        <v/>
      </c>
      <c r="H43" s="6">
        <f>IF($J43="","",IFERROR(SUMPRODUCT(('10_Scoring'!$B$2:$B$1000=$J43)*('10_Scoring'!$E$2:$E$1000=INDEX('12_OverallScores'!$C$2:$C$1000,MATCH($J43,'12_OverallScores'!$B$2:$B$1000,0)))*(IFERROR(INDEX('01_Criteria'!$B$2:$B$1000,MATCH('10_Scoring'!$C$2:$C$1000,'01_Criteria'!$A$2:$A$1000,0)),"")=H$28)*'10_Scoring'!$G$2:$G$1000),0))</f>
        <v/>
      </c>
      <c r="I43" s="6">
        <f>IF($J43="","",IFERROR(SUMPRODUCT(('10_Scoring'!$B$2:$B$1000=$J43)*('10_Scoring'!$E$2:$E$1000=INDEX('12_OverallScores'!$C$2:$C$1000,MATCH($J43,'12_OverallScores'!$B$2:$B$1000,0)))*(IFERROR(INDEX('01_Criteria'!$B$2:$B$1000,MATCH('10_Scoring'!$C$2:$C$1000,'01_Criteria'!$A$2:$A$1000,0)),"")=I$28)*'10_Scoring'!$G$2:$G$1000),0))</f>
        <v/>
      </c>
      <c r="J43" s="6" t="n"/>
    </row>
    <row r="44">
      <c r="A44" s="6">
        <f>IF($J44="","",$J44)</f>
        <v/>
      </c>
      <c r="B44" s="6">
        <f>IF($J44="","",IFERROR(SUMPRODUCT(('10_Scoring'!$B$2:$B$1000=$J44)*('10_Scoring'!$E$2:$E$1000=INDEX('12_OverallScores'!$C$2:$C$1000,MATCH($J44,'12_OverallScores'!$B$2:$B$1000,0)))*(IFERROR(INDEX('01_Criteria'!$B$2:$B$1000,MATCH('10_Scoring'!$C$2:$C$1000,'01_Criteria'!$A$2:$A$1000,0)),"")=B$28)*'10_Scoring'!$G$2:$G$1000),0))</f>
        <v/>
      </c>
      <c r="C44" s="6">
        <f>IF($J44="","",IFERROR(SUMPRODUCT(('10_Scoring'!$B$2:$B$1000=$J44)*('10_Scoring'!$E$2:$E$1000=INDEX('12_OverallScores'!$C$2:$C$1000,MATCH($J44,'12_OverallScores'!$B$2:$B$1000,0)))*(IFERROR(INDEX('01_Criteria'!$B$2:$B$1000,MATCH('10_Scoring'!$C$2:$C$1000,'01_Criteria'!$A$2:$A$1000,0)),"")=C$28)*'10_Scoring'!$G$2:$G$1000),0))</f>
        <v/>
      </c>
      <c r="D44" s="6">
        <f>IF($J44="","",IFERROR(SUMPRODUCT(('10_Scoring'!$B$2:$B$1000=$J44)*('10_Scoring'!$E$2:$E$1000=INDEX('12_OverallScores'!$C$2:$C$1000,MATCH($J44,'12_OverallScores'!$B$2:$B$1000,0)))*(IFERROR(INDEX('01_Criteria'!$B$2:$B$1000,MATCH('10_Scoring'!$C$2:$C$1000,'01_Criteria'!$A$2:$A$1000,0)),"")=D$28)*'10_Scoring'!$G$2:$G$1000),0))</f>
        <v/>
      </c>
      <c r="E44" s="6">
        <f>IF($J44="","",IFERROR(SUMPRODUCT(('10_Scoring'!$B$2:$B$1000=$J44)*('10_Scoring'!$E$2:$E$1000=INDEX('12_OverallScores'!$C$2:$C$1000,MATCH($J44,'12_OverallScores'!$B$2:$B$1000,0)))*(IFERROR(INDEX('01_Criteria'!$B$2:$B$1000,MATCH('10_Scoring'!$C$2:$C$1000,'01_Criteria'!$A$2:$A$1000,0)),"")=E$28)*'10_Scoring'!$G$2:$G$1000),0))</f>
        <v/>
      </c>
      <c r="F44" s="6">
        <f>IF($J44="","",IFERROR(SUMPRODUCT(('10_Scoring'!$B$2:$B$1000=$J44)*('10_Scoring'!$E$2:$E$1000=INDEX('12_OverallScores'!$C$2:$C$1000,MATCH($J44,'12_OverallScores'!$B$2:$B$1000,0)))*(IFERROR(INDEX('01_Criteria'!$B$2:$B$1000,MATCH('10_Scoring'!$C$2:$C$1000,'01_Criteria'!$A$2:$A$1000,0)),"")=F$28)*'10_Scoring'!$G$2:$G$1000),0))</f>
        <v/>
      </c>
      <c r="G44" s="6">
        <f>IF($J44="","",IFERROR(SUMPRODUCT(('10_Scoring'!$B$2:$B$1000=$J44)*('10_Scoring'!$E$2:$E$1000=INDEX('12_OverallScores'!$C$2:$C$1000,MATCH($J44,'12_OverallScores'!$B$2:$B$1000,0)))*(IFERROR(INDEX('01_Criteria'!$B$2:$B$1000,MATCH('10_Scoring'!$C$2:$C$1000,'01_Criteria'!$A$2:$A$1000,0)),"")=G$28)*'10_Scoring'!$G$2:$G$1000),0))</f>
        <v/>
      </c>
      <c r="H44" s="6">
        <f>IF($J44="","",IFERROR(SUMPRODUCT(('10_Scoring'!$B$2:$B$1000=$J44)*('10_Scoring'!$E$2:$E$1000=INDEX('12_OverallScores'!$C$2:$C$1000,MATCH($J44,'12_OverallScores'!$B$2:$B$1000,0)))*(IFERROR(INDEX('01_Criteria'!$B$2:$B$1000,MATCH('10_Scoring'!$C$2:$C$1000,'01_Criteria'!$A$2:$A$1000,0)),"")=H$28)*'10_Scoring'!$G$2:$G$1000),0))</f>
        <v/>
      </c>
      <c r="I44" s="6">
        <f>IF($J44="","",IFERROR(SUMPRODUCT(('10_Scoring'!$B$2:$B$1000=$J44)*('10_Scoring'!$E$2:$E$1000=INDEX('12_OverallScores'!$C$2:$C$1000,MATCH($J44,'12_OverallScores'!$B$2:$B$1000,0)))*(IFERROR(INDEX('01_Criteria'!$B$2:$B$1000,MATCH('10_Scoring'!$C$2:$C$1000,'01_Criteria'!$A$2:$A$1000,0)),"")=I$28)*'10_Scoring'!$G$2:$G$1000),0))</f>
        <v/>
      </c>
      <c r="J44" s="6" t="n"/>
    </row>
    <row r="45">
      <c r="A45" s="6">
        <f>IF($J45="","",$J45)</f>
        <v/>
      </c>
      <c r="B45" s="6">
        <f>IF($J45="","",IFERROR(SUMPRODUCT(('10_Scoring'!$B$2:$B$1000=$J45)*('10_Scoring'!$E$2:$E$1000=INDEX('12_OverallScores'!$C$2:$C$1000,MATCH($J45,'12_OverallScores'!$B$2:$B$1000,0)))*(IFERROR(INDEX('01_Criteria'!$B$2:$B$1000,MATCH('10_Scoring'!$C$2:$C$1000,'01_Criteria'!$A$2:$A$1000,0)),"")=B$28)*'10_Scoring'!$G$2:$G$1000),0))</f>
        <v/>
      </c>
      <c r="C45" s="6">
        <f>IF($J45="","",IFERROR(SUMPRODUCT(('10_Scoring'!$B$2:$B$1000=$J45)*('10_Scoring'!$E$2:$E$1000=INDEX('12_OverallScores'!$C$2:$C$1000,MATCH($J45,'12_OverallScores'!$B$2:$B$1000,0)))*(IFERROR(INDEX('01_Criteria'!$B$2:$B$1000,MATCH('10_Scoring'!$C$2:$C$1000,'01_Criteria'!$A$2:$A$1000,0)),"")=C$28)*'10_Scoring'!$G$2:$G$1000),0))</f>
        <v/>
      </c>
      <c r="D45" s="6">
        <f>IF($J45="","",IFERROR(SUMPRODUCT(('10_Scoring'!$B$2:$B$1000=$J45)*('10_Scoring'!$E$2:$E$1000=INDEX('12_OverallScores'!$C$2:$C$1000,MATCH($J45,'12_OverallScores'!$B$2:$B$1000,0)))*(IFERROR(INDEX('01_Criteria'!$B$2:$B$1000,MATCH('10_Scoring'!$C$2:$C$1000,'01_Criteria'!$A$2:$A$1000,0)),"")=D$28)*'10_Scoring'!$G$2:$G$1000),0))</f>
        <v/>
      </c>
      <c r="E45" s="6">
        <f>IF($J45="","",IFERROR(SUMPRODUCT(('10_Scoring'!$B$2:$B$1000=$J45)*('10_Scoring'!$E$2:$E$1000=INDEX('12_OverallScores'!$C$2:$C$1000,MATCH($J45,'12_OverallScores'!$B$2:$B$1000,0)))*(IFERROR(INDEX('01_Criteria'!$B$2:$B$1000,MATCH('10_Scoring'!$C$2:$C$1000,'01_Criteria'!$A$2:$A$1000,0)),"")=E$28)*'10_Scoring'!$G$2:$G$1000),0))</f>
        <v/>
      </c>
      <c r="F45" s="6">
        <f>IF($J45="","",IFERROR(SUMPRODUCT(('10_Scoring'!$B$2:$B$1000=$J45)*('10_Scoring'!$E$2:$E$1000=INDEX('12_OverallScores'!$C$2:$C$1000,MATCH($J45,'12_OverallScores'!$B$2:$B$1000,0)))*(IFERROR(INDEX('01_Criteria'!$B$2:$B$1000,MATCH('10_Scoring'!$C$2:$C$1000,'01_Criteria'!$A$2:$A$1000,0)),"")=F$28)*'10_Scoring'!$G$2:$G$1000),0))</f>
        <v/>
      </c>
      <c r="G45" s="6">
        <f>IF($J45="","",IFERROR(SUMPRODUCT(('10_Scoring'!$B$2:$B$1000=$J45)*('10_Scoring'!$E$2:$E$1000=INDEX('12_OverallScores'!$C$2:$C$1000,MATCH($J45,'12_OverallScores'!$B$2:$B$1000,0)))*(IFERROR(INDEX('01_Criteria'!$B$2:$B$1000,MATCH('10_Scoring'!$C$2:$C$1000,'01_Criteria'!$A$2:$A$1000,0)),"")=G$28)*'10_Scoring'!$G$2:$G$1000),0))</f>
        <v/>
      </c>
      <c r="H45" s="6">
        <f>IF($J45="","",IFERROR(SUMPRODUCT(('10_Scoring'!$B$2:$B$1000=$J45)*('10_Scoring'!$E$2:$E$1000=INDEX('12_OverallScores'!$C$2:$C$1000,MATCH($J45,'12_OverallScores'!$B$2:$B$1000,0)))*(IFERROR(INDEX('01_Criteria'!$B$2:$B$1000,MATCH('10_Scoring'!$C$2:$C$1000,'01_Criteria'!$A$2:$A$1000,0)),"")=H$28)*'10_Scoring'!$G$2:$G$1000),0))</f>
        <v/>
      </c>
      <c r="I45" s="6">
        <f>IF($J45="","",IFERROR(SUMPRODUCT(('10_Scoring'!$B$2:$B$1000=$J45)*('10_Scoring'!$E$2:$E$1000=INDEX('12_OverallScores'!$C$2:$C$1000,MATCH($J45,'12_OverallScores'!$B$2:$B$1000,0)))*(IFERROR(INDEX('01_Criteria'!$B$2:$B$1000,MATCH('10_Scoring'!$C$2:$C$1000,'01_Criteria'!$A$2:$A$1000,0)),"")=I$28)*'10_Scoring'!$G$2:$G$1000),0))</f>
        <v/>
      </c>
      <c r="J45" s="6" t="n"/>
    </row>
    <row r="46">
      <c r="A46" s="6">
        <f>IF($J46="","",$J46)</f>
        <v/>
      </c>
      <c r="B46" s="6">
        <f>IF($J46="","",IFERROR(SUMPRODUCT(('10_Scoring'!$B$2:$B$1000=$J46)*('10_Scoring'!$E$2:$E$1000=INDEX('12_OverallScores'!$C$2:$C$1000,MATCH($J46,'12_OverallScores'!$B$2:$B$1000,0)))*(IFERROR(INDEX('01_Criteria'!$B$2:$B$1000,MATCH('10_Scoring'!$C$2:$C$1000,'01_Criteria'!$A$2:$A$1000,0)),"")=B$28)*'10_Scoring'!$G$2:$G$1000),0))</f>
        <v/>
      </c>
      <c r="C46" s="6">
        <f>IF($J46="","",IFERROR(SUMPRODUCT(('10_Scoring'!$B$2:$B$1000=$J46)*('10_Scoring'!$E$2:$E$1000=INDEX('12_OverallScores'!$C$2:$C$1000,MATCH($J46,'12_OverallScores'!$B$2:$B$1000,0)))*(IFERROR(INDEX('01_Criteria'!$B$2:$B$1000,MATCH('10_Scoring'!$C$2:$C$1000,'01_Criteria'!$A$2:$A$1000,0)),"")=C$28)*'10_Scoring'!$G$2:$G$1000),0))</f>
        <v/>
      </c>
      <c r="D46" s="6">
        <f>IF($J46="","",IFERROR(SUMPRODUCT(('10_Scoring'!$B$2:$B$1000=$J46)*('10_Scoring'!$E$2:$E$1000=INDEX('12_OverallScores'!$C$2:$C$1000,MATCH($J46,'12_OverallScores'!$B$2:$B$1000,0)))*(IFERROR(INDEX('01_Criteria'!$B$2:$B$1000,MATCH('10_Scoring'!$C$2:$C$1000,'01_Criteria'!$A$2:$A$1000,0)),"")=D$28)*'10_Scoring'!$G$2:$G$1000),0))</f>
        <v/>
      </c>
      <c r="E46" s="6">
        <f>IF($J46="","",IFERROR(SUMPRODUCT(('10_Scoring'!$B$2:$B$1000=$J46)*('10_Scoring'!$E$2:$E$1000=INDEX('12_OverallScores'!$C$2:$C$1000,MATCH($J46,'12_OverallScores'!$B$2:$B$1000,0)))*(IFERROR(INDEX('01_Criteria'!$B$2:$B$1000,MATCH('10_Scoring'!$C$2:$C$1000,'01_Criteria'!$A$2:$A$1000,0)),"")=E$28)*'10_Scoring'!$G$2:$G$1000),0))</f>
        <v/>
      </c>
      <c r="F46" s="6">
        <f>IF($J46="","",IFERROR(SUMPRODUCT(('10_Scoring'!$B$2:$B$1000=$J46)*('10_Scoring'!$E$2:$E$1000=INDEX('12_OverallScores'!$C$2:$C$1000,MATCH($J46,'12_OverallScores'!$B$2:$B$1000,0)))*(IFERROR(INDEX('01_Criteria'!$B$2:$B$1000,MATCH('10_Scoring'!$C$2:$C$1000,'01_Criteria'!$A$2:$A$1000,0)),"")=F$28)*'10_Scoring'!$G$2:$G$1000),0))</f>
        <v/>
      </c>
      <c r="G46" s="6">
        <f>IF($J46="","",IFERROR(SUMPRODUCT(('10_Scoring'!$B$2:$B$1000=$J46)*('10_Scoring'!$E$2:$E$1000=INDEX('12_OverallScores'!$C$2:$C$1000,MATCH($J46,'12_OverallScores'!$B$2:$B$1000,0)))*(IFERROR(INDEX('01_Criteria'!$B$2:$B$1000,MATCH('10_Scoring'!$C$2:$C$1000,'01_Criteria'!$A$2:$A$1000,0)),"")=G$28)*'10_Scoring'!$G$2:$G$1000),0))</f>
        <v/>
      </c>
      <c r="H46" s="6">
        <f>IF($J46="","",IFERROR(SUMPRODUCT(('10_Scoring'!$B$2:$B$1000=$J46)*('10_Scoring'!$E$2:$E$1000=INDEX('12_OverallScores'!$C$2:$C$1000,MATCH($J46,'12_OverallScores'!$B$2:$B$1000,0)))*(IFERROR(INDEX('01_Criteria'!$B$2:$B$1000,MATCH('10_Scoring'!$C$2:$C$1000,'01_Criteria'!$A$2:$A$1000,0)),"")=H$28)*'10_Scoring'!$G$2:$G$1000),0))</f>
        <v/>
      </c>
      <c r="I46" s="6">
        <f>IF($J46="","",IFERROR(SUMPRODUCT(('10_Scoring'!$B$2:$B$1000=$J46)*('10_Scoring'!$E$2:$E$1000=INDEX('12_OverallScores'!$C$2:$C$1000,MATCH($J46,'12_OverallScores'!$B$2:$B$1000,0)))*(IFERROR(INDEX('01_Criteria'!$B$2:$B$1000,MATCH('10_Scoring'!$C$2:$C$1000,'01_Criteria'!$A$2:$A$1000,0)),"")=I$28)*'10_Scoring'!$G$2:$G$1000),0))</f>
        <v/>
      </c>
      <c r="J46" s="6" t="n"/>
    </row>
    <row r="47">
      <c r="A47" s="6">
        <f>IF($J47="","",$J47)</f>
        <v/>
      </c>
      <c r="B47" s="6">
        <f>IF($J47="","",IFERROR(SUMPRODUCT(('10_Scoring'!$B$2:$B$1000=$J47)*('10_Scoring'!$E$2:$E$1000=INDEX('12_OverallScores'!$C$2:$C$1000,MATCH($J47,'12_OverallScores'!$B$2:$B$1000,0)))*(IFERROR(INDEX('01_Criteria'!$B$2:$B$1000,MATCH('10_Scoring'!$C$2:$C$1000,'01_Criteria'!$A$2:$A$1000,0)),"")=B$28)*'10_Scoring'!$G$2:$G$1000),0))</f>
        <v/>
      </c>
      <c r="C47" s="6">
        <f>IF($J47="","",IFERROR(SUMPRODUCT(('10_Scoring'!$B$2:$B$1000=$J47)*('10_Scoring'!$E$2:$E$1000=INDEX('12_OverallScores'!$C$2:$C$1000,MATCH($J47,'12_OverallScores'!$B$2:$B$1000,0)))*(IFERROR(INDEX('01_Criteria'!$B$2:$B$1000,MATCH('10_Scoring'!$C$2:$C$1000,'01_Criteria'!$A$2:$A$1000,0)),"")=C$28)*'10_Scoring'!$G$2:$G$1000),0))</f>
        <v/>
      </c>
      <c r="D47" s="6">
        <f>IF($J47="","",IFERROR(SUMPRODUCT(('10_Scoring'!$B$2:$B$1000=$J47)*('10_Scoring'!$E$2:$E$1000=INDEX('12_OverallScores'!$C$2:$C$1000,MATCH($J47,'12_OverallScores'!$B$2:$B$1000,0)))*(IFERROR(INDEX('01_Criteria'!$B$2:$B$1000,MATCH('10_Scoring'!$C$2:$C$1000,'01_Criteria'!$A$2:$A$1000,0)),"")=D$28)*'10_Scoring'!$G$2:$G$1000),0))</f>
        <v/>
      </c>
      <c r="E47" s="6">
        <f>IF($J47="","",IFERROR(SUMPRODUCT(('10_Scoring'!$B$2:$B$1000=$J47)*('10_Scoring'!$E$2:$E$1000=INDEX('12_OverallScores'!$C$2:$C$1000,MATCH($J47,'12_OverallScores'!$B$2:$B$1000,0)))*(IFERROR(INDEX('01_Criteria'!$B$2:$B$1000,MATCH('10_Scoring'!$C$2:$C$1000,'01_Criteria'!$A$2:$A$1000,0)),"")=E$28)*'10_Scoring'!$G$2:$G$1000),0))</f>
        <v/>
      </c>
      <c r="F47" s="6">
        <f>IF($J47="","",IFERROR(SUMPRODUCT(('10_Scoring'!$B$2:$B$1000=$J47)*('10_Scoring'!$E$2:$E$1000=INDEX('12_OverallScores'!$C$2:$C$1000,MATCH($J47,'12_OverallScores'!$B$2:$B$1000,0)))*(IFERROR(INDEX('01_Criteria'!$B$2:$B$1000,MATCH('10_Scoring'!$C$2:$C$1000,'01_Criteria'!$A$2:$A$1000,0)),"")=F$28)*'10_Scoring'!$G$2:$G$1000),0))</f>
        <v/>
      </c>
      <c r="G47" s="6">
        <f>IF($J47="","",IFERROR(SUMPRODUCT(('10_Scoring'!$B$2:$B$1000=$J47)*('10_Scoring'!$E$2:$E$1000=INDEX('12_OverallScores'!$C$2:$C$1000,MATCH($J47,'12_OverallScores'!$B$2:$B$1000,0)))*(IFERROR(INDEX('01_Criteria'!$B$2:$B$1000,MATCH('10_Scoring'!$C$2:$C$1000,'01_Criteria'!$A$2:$A$1000,0)),"")=G$28)*'10_Scoring'!$G$2:$G$1000),0))</f>
        <v/>
      </c>
      <c r="H47" s="6">
        <f>IF($J47="","",IFERROR(SUMPRODUCT(('10_Scoring'!$B$2:$B$1000=$J47)*('10_Scoring'!$E$2:$E$1000=INDEX('12_OverallScores'!$C$2:$C$1000,MATCH($J47,'12_OverallScores'!$B$2:$B$1000,0)))*(IFERROR(INDEX('01_Criteria'!$B$2:$B$1000,MATCH('10_Scoring'!$C$2:$C$1000,'01_Criteria'!$A$2:$A$1000,0)),"")=H$28)*'10_Scoring'!$G$2:$G$1000),0))</f>
        <v/>
      </c>
      <c r="I47" s="6">
        <f>IF($J47="","",IFERROR(SUMPRODUCT(('10_Scoring'!$B$2:$B$1000=$J47)*('10_Scoring'!$E$2:$E$1000=INDEX('12_OverallScores'!$C$2:$C$1000,MATCH($J47,'12_OverallScores'!$B$2:$B$1000,0)))*(IFERROR(INDEX('01_Criteria'!$B$2:$B$1000,MATCH('10_Scoring'!$C$2:$C$1000,'01_Criteria'!$A$2:$A$1000,0)),"")=I$28)*'10_Scoring'!$G$2:$G$1000),0))</f>
        <v/>
      </c>
      <c r="J47" s="6" t="n"/>
    </row>
    <row r="48">
      <c r="A48" s="6">
        <f>IF($J48="","",$J48)</f>
        <v/>
      </c>
      <c r="B48" s="6">
        <f>IF($J48="","",IFERROR(SUMPRODUCT(('10_Scoring'!$B$2:$B$1000=$J48)*('10_Scoring'!$E$2:$E$1000=INDEX('12_OverallScores'!$C$2:$C$1000,MATCH($J48,'12_OverallScores'!$B$2:$B$1000,0)))*(IFERROR(INDEX('01_Criteria'!$B$2:$B$1000,MATCH('10_Scoring'!$C$2:$C$1000,'01_Criteria'!$A$2:$A$1000,0)),"")=B$28)*'10_Scoring'!$G$2:$G$1000),0))</f>
        <v/>
      </c>
      <c r="C48" s="6">
        <f>IF($J48="","",IFERROR(SUMPRODUCT(('10_Scoring'!$B$2:$B$1000=$J48)*('10_Scoring'!$E$2:$E$1000=INDEX('12_OverallScores'!$C$2:$C$1000,MATCH($J48,'12_OverallScores'!$B$2:$B$1000,0)))*(IFERROR(INDEX('01_Criteria'!$B$2:$B$1000,MATCH('10_Scoring'!$C$2:$C$1000,'01_Criteria'!$A$2:$A$1000,0)),"")=C$28)*'10_Scoring'!$G$2:$G$1000),0))</f>
        <v/>
      </c>
      <c r="D48" s="6">
        <f>IF($J48="","",IFERROR(SUMPRODUCT(('10_Scoring'!$B$2:$B$1000=$J48)*('10_Scoring'!$E$2:$E$1000=INDEX('12_OverallScores'!$C$2:$C$1000,MATCH($J48,'12_OverallScores'!$B$2:$B$1000,0)))*(IFERROR(INDEX('01_Criteria'!$B$2:$B$1000,MATCH('10_Scoring'!$C$2:$C$1000,'01_Criteria'!$A$2:$A$1000,0)),"")=D$28)*'10_Scoring'!$G$2:$G$1000),0))</f>
        <v/>
      </c>
      <c r="E48" s="6">
        <f>IF($J48="","",IFERROR(SUMPRODUCT(('10_Scoring'!$B$2:$B$1000=$J48)*('10_Scoring'!$E$2:$E$1000=INDEX('12_OverallScores'!$C$2:$C$1000,MATCH($J48,'12_OverallScores'!$B$2:$B$1000,0)))*(IFERROR(INDEX('01_Criteria'!$B$2:$B$1000,MATCH('10_Scoring'!$C$2:$C$1000,'01_Criteria'!$A$2:$A$1000,0)),"")=E$28)*'10_Scoring'!$G$2:$G$1000),0))</f>
        <v/>
      </c>
      <c r="F48" s="6">
        <f>IF($J48="","",IFERROR(SUMPRODUCT(('10_Scoring'!$B$2:$B$1000=$J48)*('10_Scoring'!$E$2:$E$1000=INDEX('12_OverallScores'!$C$2:$C$1000,MATCH($J48,'12_OverallScores'!$B$2:$B$1000,0)))*(IFERROR(INDEX('01_Criteria'!$B$2:$B$1000,MATCH('10_Scoring'!$C$2:$C$1000,'01_Criteria'!$A$2:$A$1000,0)),"")=F$28)*'10_Scoring'!$G$2:$G$1000),0))</f>
        <v/>
      </c>
      <c r="G48" s="6">
        <f>IF($J48="","",IFERROR(SUMPRODUCT(('10_Scoring'!$B$2:$B$1000=$J48)*('10_Scoring'!$E$2:$E$1000=INDEX('12_OverallScores'!$C$2:$C$1000,MATCH($J48,'12_OverallScores'!$B$2:$B$1000,0)))*(IFERROR(INDEX('01_Criteria'!$B$2:$B$1000,MATCH('10_Scoring'!$C$2:$C$1000,'01_Criteria'!$A$2:$A$1000,0)),"")=G$28)*'10_Scoring'!$G$2:$G$1000),0))</f>
        <v/>
      </c>
      <c r="H48" s="6">
        <f>IF($J48="","",IFERROR(SUMPRODUCT(('10_Scoring'!$B$2:$B$1000=$J48)*('10_Scoring'!$E$2:$E$1000=INDEX('12_OverallScores'!$C$2:$C$1000,MATCH($J48,'12_OverallScores'!$B$2:$B$1000,0)))*(IFERROR(INDEX('01_Criteria'!$B$2:$B$1000,MATCH('10_Scoring'!$C$2:$C$1000,'01_Criteria'!$A$2:$A$1000,0)),"")=H$28)*'10_Scoring'!$G$2:$G$1000),0))</f>
        <v/>
      </c>
      <c r="I48" s="6">
        <f>IF($J48="","",IFERROR(SUMPRODUCT(('10_Scoring'!$B$2:$B$1000=$J48)*('10_Scoring'!$E$2:$E$1000=INDEX('12_OverallScores'!$C$2:$C$1000,MATCH($J48,'12_OverallScores'!$B$2:$B$1000,0)))*(IFERROR(INDEX('01_Criteria'!$B$2:$B$1000,MATCH('10_Scoring'!$C$2:$C$1000,'01_Criteria'!$A$2:$A$1000,0)),"")=I$28)*'10_Scoring'!$G$2:$G$1000),0))</f>
        <v/>
      </c>
      <c r="J48" s="6" t="n"/>
    </row>
    <row r="51">
      <c r="A51" s="4" t="inlineStr">
        <is>
          <t>3. Coverage Grid (record counts by evidence type)</t>
        </is>
      </c>
    </row>
    <row r="52">
      <c r="A52" s="1" t="inlineStr">
        <is>
          <t>Configuration</t>
        </is>
      </c>
      <c r="B52" s="1" t="inlineStr">
        <is>
          <t>Technical</t>
        </is>
      </c>
      <c r="C52" s="1" t="inlineStr">
        <is>
          <t>Equipment</t>
        </is>
      </c>
      <c r="D52" s="1" t="inlineStr">
        <is>
          <t>Evidence</t>
        </is>
      </c>
      <c r="E52" s="1" t="inlineStr">
        <is>
          <t>Reviews</t>
        </is>
      </c>
      <c r="F52" s="1" t="inlineStr">
        <is>
          <t>Score</t>
        </is>
      </c>
      <c r="H52" s="5" t="inlineStr">
        <is>
          <t>ConfigurationID</t>
        </is>
      </c>
      <c r="I52" s="5" t="inlineStr">
        <is>
          <t>ParentVehicleID</t>
        </is>
      </c>
    </row>
    <row r="53">
      <c r="A53" s="6">
        <f>IF($H53="","",$H53)</f>
        <v/>
      </c>
      <c r="B53" s="6">
        <f>IF($H53="","",COUNTIF('04_Technical'!$B$2:$B$1000,$I53)+COUNTIF('04_Technical'!$C$2:$C$1000,$H53))</f>
        <v/>
      </c>
      <c r="C53" s="6">
        <f>IF($H53="","",COUNTIF('05_Equipment'!$B$2:$B$1000,$H53))</f>
        <v/>
      </c>
      <c r="D53" s="6">
        <f>IF($H53="","",COUNTIF('08_Evidence'!$B$2:$B$1000,$I53)+COUNTIF('08_Evidence'!$C$2:$C$1000,$H53))</f>
        <v/>
      </c>
      <c r="E53" s="6">
        <f>IF($H53="","",COUNTIF('07_Reviews'!$B$2:$B$1000,$I53)+COUNTIF('07_Reviews'!$C$2:$C$1000,$H53))</f>
        <v/>
      </c>
      <c r="F53" s="6">
        <f>IF($H53="","",COUNTIF('10_Scoring'!$B$2:$B$1000,$H53))</f>
        <v/>
      </c>
      <c r="G53" s="6" t="n"/>
      <c r="H53" s="6" t="inlineStr">
        <is>
          <t>TESLA_MODEL_3_LONG_RANGE_RWD</t>
        </is>
      </c>
      <c r="I53" s="6">
        <f>IFERROR(INDEX('03_Configurations'!$B$2:$B$1000,MATCH($H53,'03_Configurations'!$A$2:$A$1000,0)),"")</f>
        <v/>
      </c>
    </row>
    <row r="54">
      <c r="A54" s="6">
        <f>IF($H54="","",$H54)</f>
        <v/>
      </c>
      <c r="B54" s="6">
        <f>IF($H54="","",COUNTIF('04_Technical'!$B$2:$B$1000,$I54)+COUNTIF('04_Technical'!$C$2:$C$1000,$H54))</f>
        <v/>
      </c>
      <c r="C54" s="6">
        <f>IF($H54="","",COUNTIF('05_Equipment'!$B$2:$B$1000,$H54))</f>
        <v/>
      </c>
      <c r="D54" s="6">
        <f>IF($H54="","",COUNTIF('08_Evidence'!$B$2:$B$1000,$I54)+COUNTIF('08_Evidence'!$C$2:$C$1000,$H54))</f>
        <v/>
      </c>
      <c r="E54" s="6">
        <f>IF($H54="","",COUNTIF('07_Reviews'!$B$2:$B$1000,$I54)+COUNTIF('07_Reviews'!$C$2:$C$1000,$H54))</f>
        <v/>
      </c>
      <c r="F54" s="6">
        <f>IF($H54="","",COUNTIF('10_Scoring'!$B$2:$B$1000,$H54))</f>
        <v/>
      </c>
      <c r="G54" s="6" t="n"/>
      <c r="H54" s="6" t="inlineStr">
        <is>
          <t>RENAULT_4_TECHNO</t>
        </is>
      </c>
      <c r="I54" s="6">
        <f>IFERROR(INDEX('03_Configurations'!$B$2:$B$1000,MATCH($H54,'03_Configurations'!$A$2:$A$1000,0)),"")</f>
        <v/>
      </c>
    </row>
    <row r="55">
      <c r="A55" s="6">
        <f>IF($H55="","",$H55)</f>
        <v/>
      </c>
      <c r="B55" s="6">
        <f>IF($H55="","",COUNTIF('04_Technical'!$B$2:$B$1000,$I55)+COUNTIF('04_Technical'!$C$2:$C$1000,$H55))</f>
        <v/>
      </c>
      <c r="C55" s="6">
        <f>IF($H55="","",COUNTIF('05_Equipment'!$B$2:$B$1000,$H55))</f>
        <v/>
      </c>
      <c r="D55" s="6">
        <f>IF($H55="","",COUNTIF('08_Evidence'!$B$2:$B$1000,$I55)+COUNTIF('08_Evidence'!$C$2:$C$1000,$H55))</f>
        <v/>
      </c>
      <c r="E55" s="6">
        <f>IF($H55="","",COUNTIF('07_Reviews'!$B$2:$B$1000,$I55)+COUNTIF('07_Reviews'!$C$2:$C$1000,$H55))</f>
        <v/>
      </c>
      <c r="F55" s="6">
        <f>IF($H55="","",COUNTIF('10_Scoring'!$B$2:$B$1000,$H55))</f>
        <v/>
      </c>
      <c r="G55" s="6" t="n"/>
      <c r="H55" s="6" t="inlineStr">
        <is>
          <t>SKODA_ELROQ_SELECTION_60</t>
        </is>
      </c>
      <c r="I55" s="6">
        <f>IFERROR(INDEX('03_Configurations'!$B$2:$B$1000,MATCH($H55,'03_Configurations'!$A$2:$A$1000,0)),"")</f>
        <v/>
      </c>
    </row>
    <row r="56">
      <c r="A56" s="6">
        <f>IF($H56="","",$H56)</f>
        <v/>
      </c>
      <c r="B56" s="6">
        <f>IF($H56="","",COUNTIF('04_Technical'!$B$2:$B$1000,$I56)+COUNTIF('04_Technical'!$C$2:$C$1000,$H56))</f>
        <v/>
      </c>
      <c r="C56" s="6">
        <f>IF($H56="","",COUNTIF('05_Equipment'!$B$2:$B$1000,$H56))</f>
        <v/>
      </c>
      <c r="D56" s="6">
        <f>IF($H56="","",COUNTIF('08_Evidence'!$B$2:$B$1000,$I56)+COUNTIF('08_Evidence'!$C$2:$C$1000,$H56))</f>
        <v/>
      </c>
      <c r="E56" s="6">
        <f>IF($H56="","",COUNTIF('07_Reviews'!$B$2:$B$1000,$I56)+COUNTIF('07_Reviews'!$C$2:$C$1000,$H56))</f>
        <v/>
      </c>
      <c r="F56" s="6">
        <f>IF($H56="","",COUNTIF('10_Scoring'!$B$2:$B$1000,$H56))</f>
        <v/>
      </c>
      <c r="G56" s="6" t="n"/>
      <c r="H56" s="6" t="inlineStr">
        <is>
          <t>VOLVO_EX30_P8_AWD</t>
        </is>
      </c>
      <c r="I56" s="6">
        <f>IFERROR(INDEX('03_Configurations'!$B$2:$B$1000,MATCH($H56,'03_Configurations'!$A$2:$A$1000,0)),"")</f>
        <v/>
      </c>
    </row>
    <row r="57">
      <c r="A57" s="6">
        <f>IF($H57="","",$H57)</f>
        <v/>
      </c>
      <c r="B57" s="6">
        <f>IF($H57="","",COUNTIF('04_Technical'!$B$2:$B$1000,$I57)+COUNTIF('04_Technical'!$C$2:$C$1000,$H57))</f>
        <v/>
      </c>
      <c r="C57" s="6">
        <f>IF($H57="","",COUNTIF('05_Equipment'!$B$2:$B$1000,$H57))</f>
        <v/>
      </c>
      <c r="D57" s="6">
        <f>IF($H57="","",COUNTIF('08_Evidence'!$B$2:$B$1000,$I57)+COUNTIF('08_Evidence'!$C$2:$C$1000,$H57))</f>
        <v/>
      </c>
      <c r="E57" s="6">
        <f>IF($H57="","",COUNTIF('07_Reviews'!$B$2:$B$1000,$I57)+COUNTIF('07_Reviews'!$C$2:$C$1000,$H57))</f>
        <v/>
      </c>
      <c r="F57" s="6">
        <f>IF($H57="","",COUNTIF('10_Scoring'!$B$2:$B$1000,$H57))</f>
        <v/>
      </c>
      <c r="G57" s="6" t="n"/>
      <c r="H57" s="6" t="inlineStr">
        <is>
          <t>KIA_EV2_FWD_LONG_RANGE_GT_LINE</t>
        </is>
      </c>
      <c r="I57" s="6">
        <f>IFERROR(INDEX('03_Configurations'!$B$2:$B$1000,MATCH($H57,'03_Configurations'!$A$2:$A$1000,0)),"")</f>
        <v/>
      </c>
    </row>
    <row r="58">
      <c r="A58" s="6">
        <f>IF($H58="","",$H58)</f>
        <v/>
      </c>
      <c r="B58" s="6">
        <f>IF($H58="","",COUNTIF('04_Technical'!$B$2:$B$1000,$I58)+COUNTIF('04_Technical'!$C$2:$C$1000,$H58))</f>
        <v/>
      </c>
      <c r="C58" s="6">
        <f>IF($H58="","",COUNTIF('05_Equipment'!$B$2:$B$1000,$H58))</f>
        <v/>
      </c>
      <c r="D58" s="6">
        <f>IF($H58="","",COUNTIF('08_Evidence'!$B$2:$B$1000,$I58)+COUNTIF('08_Evidence'!$C$2:$C$1000,$H58))</f>
        <v/>
      </c>
      <c r="E58" s="6">
        <f>IF($H58="","",COUNTIF('07_Reviews'!$B$2:$B$1000,$I58)+COUNTIF('07_Reviews'!$C$2:$C$1000,$H58))</f>
        <v/>
      </c>
      <c r="F58" s="6">
        <f>IF($H58="","",COUNTIF('10_Scoring'!$B$2:$B$1000,$H58))</f>
        <v/>
      </c>
      <c r="G58" s="6" t="n"/>
      <c r="H58" s="6" t="inlineStr">
        <is>
          <t>BYD_ATTO3_DESIGN</t>
        </is>
      </c>
      <c r="I58" s="6">
        <f>IFERROR(INDEX('03_Configurations'!$B$2:$B$1000,MATCH($H58,'03_Configurations'!$A$2:$A$1000,0)),"")</f>
        <v/>
      </c>
    </row>
    <row r="59">
      <c r="A59" s="6">
        <f>IF($H59="","",$H59)</f>
        <v/>
      </c>
      <c r="B59" s="6">
        <f>IF($H59="","",COUNTIF('04_Technical'!$B$2:$B$1000,$I59)+COUNTIF('04_Technical'!$C$2:$C$1000,$H59))</f>
        <v/>
      </c>
      <c r="C59" s="6">
        <f>IF($H59="","",COUNTIF('05_Equipment'!$B$2:$B$1000,$H59))</f>
        <v/>
      </c>
      <c r="D59" s="6">
        <f>IF($H59="","",COUNTIF('08_Evidence'!$B$2:$B$1000,$I59)+COUNTIF('08_Evidence'!$C$2:$C$1000,$H59))</f>
        <v/>
      </c>
      <c r="E59" s="6">
        <f>IF($H59="","",COUNTIF('07_Reviews'!$B$2:$B$1000,$I59)+COUNTIF('07_Reviews'!$C$2:$C$1000,$H59))</f>
        <v/>
      </c>
      <c r="F59" s="6">
        <f>IF($H59="","",COUNTIF('10_Scoring'!$B$2:$B$1000,$H59))</f>
        <v/>
      </c>
      <c r="G59" s="6" t="n"/>
      <c r="H59" s="6" t="n"/>
      <c r="I59" s="6">
        <f>IFERROR(INDEX('03_Configurations'!$B$2:$B$1000,MATCH($H59,'03_Configurations'!$A$2:$A$1000,0)),"")</f>
        <v/>
      </c>
    </row>
    <row r="60">
      <c r="A60" s="6">
        <f>IF($H60="","",$H60)</f>
        <v/>
      </c>
      <c r="B60" s="6">
        <f>IF($H60="","",COUNTIF('04_Technical'!$B$2:$B$1000,$I60)+COUNTIF('04_Technical'!$C$2:$C$1000,$H60))</f>
        <v/>
      </c>
      <c r="C60" s="6">
        <f>IF($H60="","",COUNTIF('05_Equipment'!$B$2:$B$1000,$H60))</f>
        <v/>
      </c>
      <c r="D60" s="6">
        <f>IF($H60="","",COUNTIF('08_Evidence'!$B$2:$B$1000,$I60)+COUNTIF('08_Evidence'!$C$2:$C$1000,$H60))</f>
        <v/>
      </c>
      <c r="E60" s="6">
        <f>IF($H60="","",COUNTIF('07_Reviews'!$B$2:$B$1000,$I60)+COUNTIF('07_Reviews'!$C$2:$C$1000,$H60))</f>
        <v/>
      </c>
      <c r="F60" s="6">
        <f>IF($H60="","",COUNTIF('10_Scoring'!$B$2:$B$1000,$H60))</f>
        <v/>
      </c>
      <c r="G60" s="6" t="n"/>
      <c r="H60" s="6" t="n"/>
      <c r="I60" s="6">
        <f>IFERROR(INDEX('03_Configurations'!$B$2:$B$1000,MATCH($H60,'03_Configurations'!$A$2:$A$1000,0)),"")</f>
        <v/>
      </c>
    </row>
    <row r="61">
      <c r="A61" s="6">
        <f>IF($H61="","",$H61)</f>
        <v/>
      </c>
      <c r="B61" s="6">
        <f>IF($H61="","",COUNTIF('04_Technical'!$B$2:$B$1000,$I61)+COUNTIF('04_Technical'!$C$2:$C$1000,$H61))</f>
        <v/>
      </c>
      <c r="C61" s="6">
        <f>IF($H61="","",COUNTIF('05_Equipment'!$B$2:$B$1000,$H61))</f>
        <v/>
      </c>
      <c r="D61" s="6">
        <f>IF($H61="","",COUNTIF('08_Evidence'!$B$2:$B$1000,$I61)+COUNTIF('08_Evidence'!$C$2:$C$1000,$H61))</f>
        <v/>
      </c>
      <c r="E61" s="6">
        <f>IF($H61="","",COUNTIF('07_Reviews'!$B$2:$B$1000,$I61)+COUNTIF('07_Reviews'!$C$2:$C$1000,$H61))</f>
        <v/>
      </c>
      <c r="F61" s="6">
        <f>IF($H61="","",COUNTIF('10_Scoring'!$B$2:$B$1000,$H61))</f>
        <v/>
      </c>
      <c r="G61" s="6" t="n"/>
      <c r="H61" s="6" t="n"/>
      <c r="I61" s="6">
        <f>IFERROR(INDEX('03_Configurations'!$B$2:$B$1000,MATCH($H61,'03_Configurations'!$A$2:$A$1000,0)),"")</f>
        <v/>
      </c>
    </row>
    <row r="62">
      <c r="A62" s="6">
        <f>IF($H62="","",$H62)</f>
        <v/>
      </c>
      <c r="B62" s="6">
        <f>IF($H62="","",COUNTIF('04_Technical'!$B$2:$B$1000,$I62)+COUNTIF('04_Technical'!$C$2:$C$1000,$H62))</f>
        <v/>
      </c>
      <c r="C62" s="6">
        <f>IF($H62="","",COUNTIF('05_Equipment'!$B$2:$B$1000,$H62))</f>
        <v/>
      </c>
      <c r="D62" s="6">
        <f>IF($H62="","",COUNTIF('08_Evidence'!$B$2:$B$1000,$I62)+COUNTIF('08_Evidence'!$C$2:$C$1000,$H62))</f>
        <v/>
      </c>
      <c r="E62" s="6">
        <f>IF($H62="","",COUNTIF('07_Reviews'!$B$2:$B$1000,$I62)+COUNTIF('07_Reviews'!$C$2:$C$1000,$H62))</f>
        <v/>
      </c>
      <c r="F62" s="6">
        <f>IF($H62="","",COUNTIF('10_Scoring'!$B$2:$B$1000,$H62))</f>
        <v/>
      </c>
      <c r="G62" s="6" t="n"/>
      <c r="H62" s="6" t="n"/>
      <c r="I62" s="6">
        <f>IFERROR(INDEX('03_Configurations'!$B$2:$B$1000,MATCH($H62,'03_Configurations'!$A$2:$A$1000,0)),"")</f>
        <v/>
      </c>
    </row>
    <row r="63">
      <c r="A63" s="6">
        <f>IF($H63="","",$H63)</f>
        <v/>
      </c>
      <c r="B63" s="6">
        <f>IF($H63="","",COUNTIF('04_Technical'!$B$2:$B$1000,$I63)+COUNTIF('04_Technical'!$C$2:$C$1000,$H63))</f>
        <v/>
      </c>
      <c r="C63" s="6">
        <f>IF($H63="","",COUNTIF('05_Equipment'!$B$2:$B$1000,$H63))</f>
        <v/>
      </c>
      <c r="D63" s="6">
        <f>IF($H63="","",COUNTIF('08_Evidence'!$B$2:$B$1000,$I63)+COUNTIF('08_Evidence'!$C$2:$C$1000,$H63))</f>
        <v/>
      </c>
      <c r="E63" s="6">
        <f>IF($H63="","",COUNTIF('07_Reviews'!$B$2:$B$1000,$I63)+COUNTIF('07_Reviews'!$C$2:$C$1000,$H63))</f>
        <v/>
      </c>
      <c r="F63" s="6">
        <f>IF($H63="","",COUNTIF('10_Scoring'!$B$2:$B$1000,$H63))</f>
        <v/>
      </c>
      <c r="G63" s="6" t="n"/>
      <c r="H63" s="6" t="n"/>
      <c r="I63" s="6">
        <f>IFERROR(INDEX('03_Configurations'!$B$2:$B$1000,MATCH($H63,'03_Configurations'!$A$2:$A$1000,0)),"")</f>
        <v/>
      </c>
    </row>
    <row r="64">
      <c r="A64" s="6">
        <f>IF($H64="","",$H64)</f>
        <v/>
      </c>
      <c r="B64" s="6">
        <f>IF($H64="","",COUNTIF('04_Technical'!$B$2:$B$1000,$I64)+COUNTIF('04_Technical'!$C$2:$C$1000,$H64))</f>
        <v/>
      </c>
      <c r="C64" s="6">
        <f>IF($H64="","",COUNTIF('05_Equipment'!$B$2:$B$1000,$H64))</f>
        <v/>
      </c>
      <c r="D64" s="6">
        <f>IF($H64="","",COUNTIF('08_Evidence'!$B$2:$B$1000,$I64)+COUNTIF('08_Evidence'!$C$2:$C$1000,$H64))</f>
        <v/>
      </c>
      <c r="E64" s="6">
        <f>IF($H64="","",COUNTIF('07_Reviews'!$B$2:$B$1000,$I64)+COUNTIF('07_Reviews'!$C$2:$C$1000,$H64))</f>
        <v/>
      </c>
      <c r="F64" s="6">
        <f>IF($H64="","",COUNTIF('10_Scoring'!$B$2:$B$1000,$H64))</f>
        <v/>
      </c>
      <c r="G64" s="6" t="n"/>
      <c r="H64" s="6" t="n"/>
      <c r="I64" s="6">
        <f>IFERROR(INDEX('03_Configurations'!$B$2:$B$1000,MATCH($H64,'03_Configurations'!$A$2:$A$1000,0)),"")</f>
        <v/>
      </c>
    </row>
    <row r="65">
      <c r="A65" s="6">
        <f>IF($H65="","",$H65)</f>
        <v/>
      </c>
      <c r="B65" s="6">
        <f>IF($H65="","",COUNTIF('04_Technical'!$B$2:$B$1000,$I65)+COUNTIF('04_Technical'!$C$2:$C$1000,$H65))</f>
        <v/>
      </c>
      <c r="C65" s="6">
        <f>IF($H65="","",COUNTIF('05_Equipment'!$B$2:$B$1000,$H65))</f>
        <v/>
      </c>
      <c r="D65" s="6">
        <f>IF($H65="","",COUNTIF('08_Evidence'!$B$2:$B$1000,$I65)+COUNTIF('08_Evidence'!$C$2:$C$1000,$H65))</f>
        <v/>
      </c>
      <c r="E65" s="6">
        <f>IF($H65="","",COUNTIF('07_Reviews'!$B$2:$B$1000,$I65)+COUNTIF('07_Reviews'!$C$2:$C$1000,$H65))</f>
        <v/>
      </c>
      <c r="F65" s="6">
        <f>IF($H65="","",COUNTIF('10_Scoring'!$B$2:$B$1000,$H65))</f>
        <v/>
      </c>
      <c r="G65" s="6" t="n"/>
      <c r="H65" s="6" t="n"/>
      <c r="I65" s="6">
        <f>IFERROR(INDEX('03_Configurations'!$B$2:$B$1000,MATCH($H65,'03_Configurations'!$A$2:$A$1000,0)),"")</f>
        <v/>
      </c>
    </row>
    <row r="66">
      <c r="A66" s="6">
        <f>IF($H66="","",$H66)</f>
        <v/>
      </c>
      <c r="B66" s="6">
        <f>IF($H66="","",COUNTIF('04_Technical'!$B$2:$B$1000,$I66)+COUNTIF('04_Technical'!$C$2:$C$1000,$H66))</f>
        <v/>
      </c>
      <c r="C66" s="6">
        <f>IF($H66="","",COUNTIF('05_Equipment'!$B$2:$B$1000,$H66))</f>
        <v/>
      </c>
      <c r="D66" s="6">
        <f>IF($H66="","",COUNTIF('08_Evidence'!$B$2:$B$1000,$I66)+COUNTIF('08_Evidence'!$C$2:$C$1000,$H66))</f>
        <v/>
      </c>
      <c r="E66" s="6">
        <f>IF($H66="","",COUNTIF('07_Reviews'!$B$2:$B$1000,$I66)+COUNTIF('07_Reviews'!$C$2:$C$1000,$H66))</f>
        <v/>
      </c>
      <c r="F66" s="6">
        <f>IF($H66="","",COUNTIF('10_Scoring'!$B$2:$B$1000,$H66))</f>
        <v/>
      </c>
      <c r="G66" s="6" t="n"/>
      <c r="H66" s="6" t="n"/>
      <c r="I66" s="6">
        <f>IFERROR(INDEX('03_Configurations'!$B$2:$B$1000,MATCH($H66,'03_Configurations'!$A$2:$A$1000,0)),"")</f>
        <v/>
      </c>
    </row>
    <row r="67">
      <c r="A67" s="6">
        <f>IF($H67="","",$H67)</f>
        <v/>
      </c>
      <c r="B67" s="6">
        <f>IF($H67="","",COUNTIF('04_Technical'!$B$2:$B$1000,$I67)+COUNTIF('04_Technical'!$C$2:$C$1000,$H67))</f>
        <v/>
      </c>
      <c r="C67" s="6">
        <f>IF($H67="","",COUNTIF('05_Equipment'!$B$2:$B$1000,$H67))</f>
        <v/>
      </c>
      <c r="D67" s="6">
        <f>IF($H67="","",COUNTIF('08_Evidence'!$B$2:$B$1000,$I67)+COUNTIF('08_Evidence'!$C$2:$C$1000,$H67))</f>
        <v/>
      </c>
      <c r="E67" s="6">
        <f>IF($H67="","",COUNTIF('07_Reviews'!$B$2:$B$1000,$I67)+COUNTIF('07_Reviews'!$C$2:$C$1000,$H67))</f>
        <v/>
      </c>
      <c r="F67" s="6">
        <f>IF($H67="","",COUNTIF('10_Scoring'!$B$2:$B$1000,$H67))</f>
        <v/>
      </c>
      <c r="G67" s="6" t="n"/>
      <c r="H67" s="6" t="n"/>
      <c r="I67" s="6">
        <f>IFERROR(INDEX('03_Configurations'!$B$2:$B$1000,MATCH($H67,'03_Configurations'!$A$2:$A$1000,0)),"")</f>
        <v/>
      </c>
    </row>
    <row r="68">
      <c r="A68" s="6">
        <f>IF($H68="","",$H68)</f>
        <v/>
      </c>
      <c r="B68" s="6">
        <f>IF($H68="","",COUNTIF('04_Technical'!$B$2:$B$1000,$I68)+COUNTIF('04_Technical'!$C$2:$C$1000,$H68))</f>
        <v/>
      </c>
      <c r="C68" s="6">
        <f>IF($H68="","",COUNTIF('05_Equipment'!$B$2:$B$1000,$H68))</f>
        <v/>
      </c>
      <c r="D68" s="6">
        <f>IF($H68="","",COUNTIF('08_Evidence'!$B$2:$B$1000,$I68)+COUNTIF('08_Evidence'!$C$2:$C$1000,$H68))</f>
        <v/>
      </c>
      <c r="E68" s="6">
        <f>IF($H68="","",COUNTIF('07_Reviews'!$B$2:$B$1000,$I68)+COUNTIF('07_Reviews'!$C$2:$C$1000,$H68))</f>
        <v/>
      </c>
      <c r="F68" s="6">
        <f>IF($H68="","",COUNTIF('10_Scoring'!$B$2:$B$1000,$H68))</f>
        <v/>
      </c>
      <c r="G68" s="6" t="n"/>
      <c r="H68" s="6" t="n"/>
      <c r="I68" s="6">
        <f>IFERROR(INDEX('03_Configurations'!$B$2:$B$1000,MATCH($H68,'03_Configurations'!$A$2:$A$1000,0)),"")</f>
        <v/>
      </c>
    </row>
    <row r="69">
      <c r="A69" s="6">
        <f>IF($H69="","",$H69)</f>
        <v/>
      </c>
      <c r="B69" s="6">
        <f>IF($H69="","",COUNTIF('04_Technical'!$B$2:$B$1000,$I69)+COUNTIF('04_Technical'!$C$2:$C$1000,$H69))</f>
        <v/>
      </c>
      <c r="C69" s="6">
        <f>IF($H69="","",COUNTIF('05_Equipment'!$B$2:$B$1000,$H69))</f>
        <v/>
      </c>
      <c r="D69" s="6">
        <f>IF($H69="","",COUNTIF('08_Evidence'!$B$2:$B$1000,$I69)+COUNTIF('08_Evidence'!$C$2:$C$1000,$H69))</f>
        <v/>
      </c>
      <c r="E69" s="6">
        <f>IF($H69="","",COUNTIF('07_Reviews'!$B$2:$B$1000,$I69)+COUNTIF('07_Reviews'!$C$2:$C$1000,$H69))</f>
        <v/>
      </c>
      <c r="F69" s="6">
        <f>IF($H69="","",COUNTIF('10_Scoring'!$B$2:$B$1000,$H69))</f>
        <v/>
      </c>
      <c r="G69" s="6" t="n"/>
      <c r="H69" s="6" t="n"/>
      <c r="I69" s="6">
        <f>IFERROR(INDEX('03_Configurations'!$B$2:$B$1000,MATCH($H69,'03_Configurations'!$A$2:$A$1000,0)),"")</f>
        <v/>
      </c>
    </row>
    <row r="70">
      <c r="A70" s="6">
        <f>IF($H70="","",$H70)</f>
        <v/>
      </c>
      <c r="B70" s="6">
        <f>IF($H70="","",COUNTIF('04_Technical'!$B$2:$B$1000,$I70)+COUNTIF('04_Technical'!$C$2:$C$1000,$H70))</f>
        <v/>
      </c>
      <c r="C70" s="6">
        <f>IF($H70="","",COUNTIF('05_Equipment'!$B$2:$B$1000,$H70))</f>
        <v/>
      </c>
      <c r="D70" s="6">
        <f>IF($H70="","",COUNTIF('08_Evidence'!$B$2:$B$1000,$I70)+COUNTIF('08_Evidence'!$C$2:$C$1000,$H70))</f>
        <v/>
      </c>
      <c r="E70" s="6">
        <f>IF($H70="","",COUNTIF('07_Reviews'!$B$2:$B$1000,$I70)+COUNTIF('07_Reviews'!$C$2:$C$1000,$H70))</f>
        <v/>
      </c>
      <c r="F70" s="6">
        <f>IF($H70="","",COUNTIF('10_Scoring'!$B$2:$B$1000,$H70))</f>
        <v/>
      </c>
      <c r="G70" s="6" t="n"/>
      <c r="H70" s="6" t="n"/>
      <c r="I70" s="6">
        <f>IFERROR(INDEX('03_Configurations'!$B$2:$B$1000,MATCH($H70,'03_Configurations'!$A$2:$A$1000,0)),"")</f>
        <v/>
      </c>
    </row>
    <row r="71">
      <c r="A71" s="6">
        <f>IF($H71="","",$H71)</f>
        <v/>
      </c>
      <c r="B71" s="6">
        <f>IF($H71="","",COUNTIF('04_Technical'!$B$2:$B$1000,$I71)+COUNTIF('04_Technical'!$C$2:$C$1000,$H71))</f>
        <v/>
      </c>
      <c r="C71" s="6">
        <f>IF($H71="","",COUNTIF('05_Equipment'!$B$2:$B$1000,$H71))</f>
        <v/>
      </c>
      <c r="D71" s="6">
        <f>IF($H71="","",COUNTIF('08_Evidence'!$B$2:$B$1000,$I71)+COUNTIF('08_Evidence'!$C$2:$C$1000,$H71))</f>
        <v/>
      </c>
      <c r="E71" s="6">
        <f>IF($H71="","",COUNTIF('07_Reviews'!$B$2:$B$1000,$I71)+COUNTIF('07_Reviews'!$C$2:$C$1000,$H71))</f>
        <v/>
      </c>
      <c r="F71" s="6">
        <f>IF($H71="","",COUNTIF('10_Scoring'!$B$2:$B$1000,$H71))</f>
        <v/>
      </c>
      <c r="G71" s="6" t="n"/>
      <c r="H71" s="6" t="n"/>
      <c r="I71" s="6">
        <f>IFERROR(INDEX('03_Configurations'!$B$2:$B$1000,MATCH($H71,'03_Configurations'!$A$2:$A$1000,0)),"")</f>
        <v/>
      </c>
    </row>
    <row r="72">
      <c r="A72" s="6">
        <f>IF($H72="","",$H72)</f>
        <v/>
      </c>
      <c r="B72" s="6">
        <f>IF($H72="","",COUNTIF('04_Technical'!$B$2:$B$1000,$I72)+COUNTIF('04_Technical'!$C$2:$C$1000,$H72))</f>
        <v/>
      </c>
      <c r="C72" s="6">
        <f>IF($H72="","",COUNTIF('05_Equipment'!$B$2:$B$1000,$H72))</f>
        <v/>
      </c>
      <c r="D72" s="6">
        <f>IF($H72="","",COUNTIF('08_Evidence'!$B$2:$B$1000,$I72)+COUNTIF('08_Evidence'!$C$2:$C$1000,$H72))</f>
        <v/>
      </c>
      <c r="E72" s="6">
        <f>IF($H72="","",COUNTIF('07_Reviews'!$B$2:$B$1000,$I72)+COUNTIF('07_Reviews'!$C$2:$C$1000,$H72))</f>
        <v/>
      </c>
      <c r="F72" s="6">
        <f>IF($H72="","",COUNTIF('10_Scoring'!$B$2:$B$1000,$H72))</f>
        <v/>
      </c>
      <c r="G72" s="6" t="n"/>
      <c r="H72" s="6" t="n"/>
      <c r="I72" s="6">
        <f>IFERROR(INDEX('03_Configurations'!$B$2:$B$1000,MATCH($H72,'03_Configurations'!$A$2:$A$1000,0)),"")</f>
        <v/>
      </c>
    </row>
  </sheetData>
  <mergeCells count="5">
    <mergeCell ref="A27:N27"/>
    <mergeCell ref="A4:N4"/>
    <mergeCell ref="A2:N2"/>
    <mergeCell ref="A51:N51"/>
    <mergeCell ref="A1:N1"/>
  </mergeCells>
  <conditionalFormatting sqref="B53:F72">
    <cfRule type="colorScale" priority="1">
      <colorScale>
        <cfvo type="num" val="0"/>
        <cfvo type="num" val="3"/>
        <cfvo type="num" val="10"/>
        <color rgb="FFF8696B"/>
        <color rgb="FFFFEB84"/>
        <color rgb="FF63BE7B"/>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2026-07-07T20:07:34Z</dcterms:modified>
  <cp:lastModifiedBy>Codex</cp:lastModifiedBy>
  <cp:keywords>EV Decision Framework; FrameworkVersion 1.0; workbook schema</cp:keywords>
</cp:coreProperties>
</file>