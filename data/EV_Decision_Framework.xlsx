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 name="15_Dashboard" sheetId="16" state="visible" r:id="rId16"/>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7">
    <font>
      <name val="Aptos"/>
      <family val="2"/>
      <color theme="1"/>
      <sz val="11"/>
    </font>
    <font>
      <name val="Aptos"/>
      <family val="2"/>
      <b val="1"/>
      <color rgb="FFFFFFFF"/>
      <sz val="11"/>
    </font>
    <font>
      <name val="Aptos"/>
      <b val="1"/>
      <color rgb="FF1F4E78"/>
      <sz val="16"/>
    </font>
    <font>
      <name val="Aptos"/>
      <i val="1"/>
      <color rgb="FF666666"/>
      <sz val="10"/>
    </font>
    <font>
      <name val="Aptos"/>
      <b val="1"/>
      <color rgb="FF1F4E78"/>
      <sz val="13"/>
    </font>
    <font>
      <name val="Aptos"/>
      <i val="1"/>
      <color rgb="FF888888"/>
      <sz val="9"/>
    </font>
    <font>
      <name val="Aptos"/>
      <sz val="10"/>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5"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Category Breakdown - WeightedScore by Configuration</a:t>
            </a:r>
          </a:p>
        </rich>
      </tx>
    </title>
    <plotArea>
      <barChart>
        <barDir val="col"/>
        <grouping val="clustered"/>
        <ser>
          <idx val="0"/>
          <order val="0"/>
          <tx>
            <strRef>
              <f>'15_Dashboard'!$A$29</f>
            </strRef>
          </tx>
          <spPr>
            <a:ln>
              <a:prstDash val="solid"/>
            </a:ln>
          </spPr>
          <cat>
            <numRef>
              <f>'15_Dashboard'!$B$28:$I$28</f>
            </numRef>
          </cat>
          <val>
            <numRef>
              <f>'15_Dashboard'!$B$29:$I$29</f>
            </numRef>
          </val>
        </ser>
        <ser>
          <idx val="1"/>
          <order val="1"/>
          <tx>
            <strRef>
              <f>'15_Dashboard'!$A$30</f>
            </strRef>
          </tx>
          <spPr>
            <a:ln>
              <a:prstDash val="solid"/>
            </a:ln>
          </spPr>
          <cat>
            <numRef>
              <f>'15_Dashboard'!$B$28:$I$28</f>
            </numRef>
          </cat>
          <val>
            <numRef>
              <f>'15_Dashboard'!$B$30:$I$30</f>
            </numRef>
          </val>
        </ser>
        <ser>
          <idx val="2"/>
          <order val="2"/>
          <tx>
            <strRef>
              <f>'15_Dashboard'!$A$31</f>
            </strRef>
          </tx>
          <spPr>
            <a:ln>
              <a:prstDash val="solid"/>
            </a:ln>
          </spPr>
          <cat>
            <numRef>
              <f>'15_Dashboard'!$B$28:$I$28</f>
            </numRef>
          </cat>
          <val>
            <numRef>
              <f>'15_Dashboard'!$B$31:$I$31</f>
            </numRef>
          </val>
        </ser>
        <ser>
          <idx val="3"/>
          <order val="3"/>
          <tx>
            <strRef>
              <f>'15_Dashboard'!$A$32</f>
            </strRef>
          </tx>
          <spPr>
            <a:ln>
              <a:prstDash val="solid"/>
            </a:ln>
          </spPr>
          <cat>
            <numRef>
              <f>'15_Dashboard'!$B$28:$I$28</f>
            </numRef>
          </cat>
          <val>
            <numRef>
              <f>'15_Dashboard'!$B$32:$I$32</f>
            </numRef>
          </val>
        </ser>
        <ser>
          <idx val="4"/>
          <order val="4"/>
          <tx>
            <strRef>
              <f>'15_Dashboard'!$A$33</f>
            </strRef>
          </tx>
          <spPr>
            <a:ln>
              <a:prstDash val="solid"/>
            </a:ln>
          </spPr>
          <cat>
            <numRef>
              <f>'15_Dashboard'!$B$28:$I$28</f>
            </numRef>
          </cat>
          <val>
            <numRef>
              <f>'15_Dashboard'!$B$33:$I$33</f>
            </numRef>
          </val>
        </ser>
        <ser>
          <idx val="5"/>
          <order val="5"/>
          <tx>
            <strRef>
              <f>'15_Dashboard'!$A$34</f>
            </strRef>
          </tx>
          <spPr>
            <a:ln>
              <a:prstDash val="solid"/>
            </a:ln>
          </spPr>
          <cat>
            <numRef>
              <f>'15_Dashboard'!$B$28:$I$28</f>
            </numRef>
          </cat>
          <val>
            <numRef>
              <f>'15_Dashboard'!$B$34:$I$34</f>
            </numRef>
          </val>
        </ser>
        <gapWidth val="150"/>
        <overlap val="-10"/>
        <axId val="10"/>
        <axId val="100"/>
      </barChart>
      <catAx>
        <axId val="10"/>
        <scaling>
          <orientation val="minMax"/>
        </scaling>
        <axPos val="l"/>
        <title>
          <tx>
            <rich>
              <a:bodyPr/>
              <a:p>
                <a:pPr>
                  <a:defRPr/>
                </a:pPr>
                <a:r>
                  <a:t>Category</a:t>
                </a:r>
              </a:p>
            </rich>
          </tx>
        </title>
        <majorTickMark val="none"/>
        <minorTickMark val="none"/>
        <crossAx val="100"/>
        <lblOffset val="100"/>
      </catAx>
      <valAx>
        <axId val="100"/>
        <scaling>
          <orientation val="minMax"/>
        </scaling>
        <axPos val="l"/>
        <majorGridlines/>
        <title>
          <tx>
            <rich>
              <a:bodyPr/>
              <a:p>
                <a:pPr>
                  <a:defRPr/>
                </a:pPr>
                <a:r>
                  <a:t>Summed WeightedScore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1.8</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1.8</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n">
        <v>0</v>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n">
        <v>0</v>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n">
        <v>0</v>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n">
        <v>0</v>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n">
        <v>0</v>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n">
        <v>8</v>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n">
        <v>7</v>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n">
        <v>5</v>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n">
        <v>5</v>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n">
        <v>7</v>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n">
        <v>4</v>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n">
        <v>3</v>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n">
        <v>5</v>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n">
        <v>3</v>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n">
        <v>5</v>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n">
        <v>5</v>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n">
        <v>5</v>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n">
        <v>3</v>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n">
        <v>6</v>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n">
        <v>5</v>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n">
        <v>4</v>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n">
        <v>10</v>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n">
        <v>5</v>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n">
        <v>3</v>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n">
        <v>2</v>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n">
        <v>0</v>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n">
        <v>0</v>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n">
        <v>0</v>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n">
        <v>0</v>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row r="7">
      <c r="A7" t="inlineStr">
        <is>
          <t>BYD_ATTO3</t>
        </is>
      </c>
      <c r="B7" t="inlineStr">
        <is>
          <t>BYD</t>
        </is>
      </c>
      <c r="C7" t="inlineStr">
        <is>
          <t>Atto 3</t>
        </is>
      </c>
      <c r="D7" t="inlineStr">
        <is>
          <t>UNKNOWN</t>
        </is>
      </c>
      <c r="E7" t="inlineStr">
        <is>
          <t>UNKNOWN</t>
        </is>
      </c>
      <c r="F7" t="inlineStr">
        <is>
          <t>AVAILABLE</t>
        </is>
      </c>
      <c r="G7" t="inlineStr">
        <is>
          <t>BYD Norge offisiell modellside sett 2026-07-07: https://byd.no/modeller/atto3. To utstyrsnivåer (Comfort, Design), ett batteri/drivverk (60 kWh, forhjulsdrift). Modellår og plattform ikke spesifisert i kildegrunnlaget. Skilt fra det separat markedsførte BYD EVO 4x4 (byd.no/modeller/evo-4x4), som ikke er del av denne sammenligningen.</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1"/>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Flagship Configuration for this Vehicle as of 2026-07-07 (switched from P8 AWD to more closely match the other five vehicles trim level) - see 11_DecisionLog DEC_DASHBOARD_004 and the driving-dynamics caveats on 07_Reviews W008/W009/W016. Same Hard Requirement notes as P5 (see above); M003 remains Unknown (see 14_HardRequirementResults) since the only winter-range data point (elbil.no, ~338km) was measured on P8 AWD, a different drivetrain.</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No longer the flagship Configuration as of 2026-07-07 (see 11_DecisionLog DEC_DASHBOARD_004) - retained here as a real, purchasable trim for price/spec comparison. M003 winter-range data (elbil.no, ~338km, Twin Performance/AWD) still applies directly to this Configuration.</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389900</v>
      </c>
      <c r="G19" t="n">
        <v>389900</v>
      </c>
      <c r="H19" t="inlineStr">
        <is>
          <t>BasePrice/ConfiguredPrice corrected 2026-07-07 to 389900 kr, verified directly against the live official Kia nettbutikk configurator (SRC_KIA_NETTBUTIKK_EV2) - "Totalpris 389 900 kr inkl. mva" for GT Line, no optional extras. The prior 346417/423340 split came from a real Bertel O. Steen dealer sales quote (reviewed 2026-07-06) whose own internal component breakdown (251655+94762=346417 pre-tax) did not reconcile with Kia's own published configurator total for the same trim - an unreconciled discrepancy between two real sources, not a fabricated number, but the direct manufacturer configurator total is treated as authoritative for cross-vehicle price comparison, matching how every other vehicle's ConfiguredPrice in this workbook represents a clean base-trim price with no buyer-specific options. The dealer quote's buyer-specific extras (4-seat conversion, winter wheels, delivery, registration tax) are real but not part of this comparison price.</t>
        </is>
      </c>
      <c r="I19" t="inlineStr">
        <is>
          <t>FALSE</t>
        </is>
      </c>
    </row>
    <row r="20">
      <c r="A20" t="inlineStr">
        <is>
          <t>BYD_ATTO3_COMFORT</t>
        </is>
      </c>
      <c r="B20" t="inlineStr">
        <is>
          <t>BYD_ATTO3</t>
        </is>
      </c>
      <c r="C20" t="inlineStr">
        <is>
          <t>NO</t>
        </is>
      </c>
      <c r="D20" t="inlineStr">
        <is>
          <t>AVAILABLE</t>
        </is>
      </c>
      <c r="E20" t="inlineStr">
        <is>
          <t>Comfort</t>
        </is>
      </c>
      <c r="F20" t="n">
        <v>365920</v>
      </c>
      <c r="G20" t="n">
        <v>365920</v>
      </c>
      <c r="H20" t="inlineStr">
        <is>
          <t>BYD Norge offisiell prisliste sett 2026-07-07: https://byd.no/modeller/atto3. Møter alle sjekkede Hard Requirements - se 14_HardRequirementResults. M003 forblir Ukjent.</t>
        </is>
      </c>
      <c r="I20" t="inlineStr">
        <is>
          <t>FALSE</t>
        </is>
      </c>
    </row>
    <row r="21">
      <c r="A21" t="inlineStr">
        <is>
          <t>BYD_ATTO3_DESIGN</t>
        </is>
      </c>
      <c r="B21" t="inlineStr">
        <is>
          <t>BYD_ATTO3</t>
        </is>
      </c>
      <c r="C21" t="inlineStr">
        <is>
          <t>NO</t>
        </is>
      </c>
      <c r="D21" t="inlineStr">
        <is>
          <t>AVAILABLE</t>
        </is>
      </c>
      <c r="E21" t="inlineStr">
        <is>
          <t>Design</t>
        </is>
      </c>
      <c r="F21" t="n">
        <v>389920</v>
      </c>
      <c r="G21" t="n">
        <v>389920</v>
      </c>
      <c r="H21" t="inlineStr">
        <is>
          <t>BYD Norge offisiell prisliste sett 2026-07-07: https://byd.no/modeller/atto3. Deler ACC/ryggekamera/360-kamera med Comfort (kilden bryter ikke ned utstyr per nivå); Design-spesifikke tillegg er elektrisk bakluke, større skjerm (15,6"), flerfarget ambientbelysning. M003 forblir Ukjent.</t>
        </is>
      </c>
      <c r="I21"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60"/>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row r="147">
      <c r="A147" t="inlineStr">
        <is>
          <t>TECH_000146</t>
        </is>
      </c>
      <c r="B147" t="inlineStr">
        <is>
          <t>BYD_ATTO3</t>
        </is>
      </c>
      <c r="D147" t="inlineStr">
        <is>
          <t>TF_LENGTH</t>
        </is>
      </c>
      <c r="E147" t="n">
        <v>4455</v>
      </c>
      <c r="F147" t="inlineStr">
        <is>
          <t>MM</t>
        </is>
      </c>
      <c r="G147" t="inlineStr">
        <is>
          <t>SRC_EVDATABASE_ATTO3</t>
        </is>
      </c>
      <c r="H147" t="inlineStr">
        <is>
          <t>MEDIUM</t>
        </is>
      </c>
      <c r="I147" t="inlineStr">
        <is>
          <t>2026-07-07</t>
        </is>
      </c>
      <c r="J147" t="inlineStr">
        <is>
          <t>1.8</t>
        </is>
      </c>
    </row>
    <row r="148">
      <c r="A148" t="inlineStr">
        <is>
          <t>TECH_000147</t>
        </is>
      </c>
      <c r="B148" t="inlineStr">
        <is>
          <t>BYD_ATTO3</t>
        </is>
      </c>
      <c r="D148" t="inlineStr">
        <is>
          <t>TF_WIDTH</t>
        </is>
      </c>
      <c r="E148" t="n">
        <v>1875</v>
      </c>
      <c r="F148" t="inlineStr">
        <is>
          <t>MM</t>
        </is>
      </c>
      <c r="G148" t="inlineStr">
        <is>
          <t>SRC_EVDATABASE_ATTO3</t>
        </is>
      </c>
      <c r="H148" t="inlineStr">
        <is>
          <t>MEDIUM</t>
        </is>
      </c>
      <c r="I148" t="inlineStr">
        <is>
          <t>2026-07-07</t>
        </is>
      </c>
      <c r="J148" t="inlineStr">
        <is>
          <t>1.8</t>
        </is>
      </c>
      <c r="K148" t="inlineStr">
        <is>
          <t>Excluding mirrors</t>
        </is>
      </c>
    </row>
    <row r="149">
      <c r="A149" t="inlineStr">
        <is>
          <t>TECH_000148</t>
        </is>
      </c>
      <c r="B149" t="inlineStr">
        <is>
          <t>BYD_ATTO3</t>
        </is>
      </c>
      <c r="D149" t="inlineStr">
        <is>
          <t>TF_WIDTH</t>
        </is>
      </c>
      <c r="E149" t="n">
        <v>2050</v>
      </c>
      <c r="F149" t="inlineStr">
        <is>
          <t>MM</t>
        </is>
      </c>
      <c r="G149" t="inlineStr">
        <is>
          <t>SRC_EVDATABASE_ATTO3</t>
        </is>
      </c>
      <c r="H149" t="inlineStr">
        <is>
          <t>MEDIUM</t>
        </is>
      </c>
      <c r="I149" t="inlineStr">
        <is>
          <t>2026-07-07</t>
        </is>
      </c>
      <c r="J149" t="inlineStr">
        <is>
          <t>1.8</t>
        </is>
      </c>
      <c r="K149" t="inlineStr">
        <is>
          <t>Mirrors unfolded</t>
        </is>
      </c>
    </row>
    <row r="150">
      <c r="A150" t="inlineStr">
        <is>
          <t>TECH_000149</t>
        </is>
      </c>
      <c r="B150" t="inlineStr">
        <is>
          <t>BYD_ATTO3</t>
        </is>
      </c>
      <c r="D150" t="inlineStr">
        <is>
          <t>TF_HEIGHT</t>
        </is>
      </c>
      <c r="E150" t="n">
        <v>1615</v>
      </c>
      <c r="F150" t="inlineStr">
        <is>
          <t>MM</t>
        </is>
      </c>
      <c r="G150" t="inlineStr">
        <is>
          <t>SRC_EVDATABASE_ATTO3</t>
        </is>
      </c>
      <c r="H150" t="inlineStr">
        <is>
          <t>MEDIUM</t>
        </is>
      </c>
      <c r="I150" t="inlineStr">
        <is>
          <t>2026-07-07</t>
        </is>
      </c>
      <c r="J150" t="inlineStr">
        <is>
          <t>1.8</t>
        </is>
      </c>
    </row>
    <row r="151">
      <c r="A151" t="inlineStr">
        <is>
          <t>TECH_000150</t>
        </is>
      </c>
      <c r="B151" t="inlineStr">
        <is>
          <t>BYD_ATTO3</t>
        </is>
      </c>
      <c r="D151" t="inlineStr">
        <is>
          <t>TF_KERB_WEIGHT</t>
        </is>
      </c>
      <c r="E151" t="n">
        <v>1750</v>
      </c>
      <c r="F151" t="inlineStr">
        <is>
          <t>KG</t>
        </is>
      </c>
      <c r="G151" t="inlineStr">
        <is>
          <t>SRC_NAF_BILGUIDEN_ATTO3</t>
        </is>
      </c>
      <c r="H151" t="inlineStr">
        <is>
          <t>MEDIUM</t>
        </is>
      </c>
      <c r="I151" t="inlineStr">
        <is>
          <t>2026-07-07</t>
        </is>
      </c>
      <c r="J151" t="inlineStr">
        <is>
          <t>1.8</t>
        </is>
      </c>
    </row>
    <row r="152">
      <c r="A152" t="inlineStr">
        <is>
          <t>TECH_000151</t>
        </is>
      </c>
      <c r="B152" t="inlineStr">
        <is>
          <t>BYD_ATTO3</t>
        </is>
      </c>
      <c r="D152" t="inlineStr">
        <is>
          <t>TF_BOOT_VOLUME</t>
        </is>
      </c>
      <c r="E152" t="n">
        <v>440</v>
      </c>
      <c r="F152" t="inlineStr">
        <is>
          <t>L</t>
        </is>
      </c>
      <c r="G152" t="inlineStr">
        <is>
          <t>SRC_BYD_NO_ATTO3</t>
        </is>
      </c>
      <c r="H152" t="inlineStr">
        <is>
          <t>MEDIUM</t>
        </is>
      </c>
      <c r="I152" t="inlineStr">
        <is>
          <t>2026-07-07</t>
        </is>
      </c>
      <c r="J152" t="inlineStr">
        <is>
          <t>1.8</t>
        </is>
      </c>
    </row>
    <row r="153">
      <c r="A153" t="inlineStr">
        <is>
          <t>TECH_000152</t>
        </is>
      </c>
      <c r="B153" t="inlineStr">
        <is>
          <t>BYD_ATTO3</t>
        </is>
      </c>
      <c r="D153" t="inlineStr">
        <is>
          <t>TF_BATTERY_NET</t>
        </is>
      </c>
      <c r="E153" t="n">
        <v>60.48</v>
      </c>
      <c r="F153" t="inlineStr">
        <is>
          <t>KWH</t>
        </is>
      </c>
      <c r="G153" t="inlineStr">
        <is>
          <t>SRC_EVDATABASE_ATTO3</t>
        </is>
      </c>
      <c r="H153" t="inlineStr">
        <is>
          <t>MEDIUM</t>
        </is>
      </c>
      <c r="I153" t="inlineStr">
        <is>
          <t>2026-07-07</t>
        </is>
      </c>
      <c r="J153" t="inlineStr">
        <is>
          <t>1.8</t>
        </is>
      </c>
    </row>
    <row r="154">
      <c r="A154" t="inlineStr">
        <is>
          <t>TECH_000153</t>
        </is>
      </c>
      <c r="B154" t="inlineStr">
        <is>
          <t>BYD_ATTO3</t>
        </is>
      </c>
      <c r="D154" t="inlineStr">
        <is>
          <t>TF_AC_MAX_CHARGING</t>
        </is>
      </c>
      <c r="E154" t="n">
        <v>11</v>
      </c>
      <c r="F154" t="inlineStr">
        <is>
          <t>KW</t>
        </is>
      </c>
      <c r="G154" t="inlineStr">
        <is>
          <t>SRC_BYD_NO_ATTO3</t>
        </is>
      </c>
      <c r="H154" t="inlineStr">
        <is>
          <t>MEDIUM</t>
        </is>
      </c>
      <c r="I154" t="inlineStr">
        <is>
          <t>2026-07-07</t>
        </is>
      </c>
      <c r="J154" t="inlineStr">
        <is>
          <t>1.8</t>
        </is>
      </c>
    </row>
    <row r="155">
      <c r="A155" t="inlineStr">
        <is>
          <t>TECH_000154</t>
        </is>
      </c>
      <c r="B155" t="inlineStr">
        <is>
          <t>BYD_ATTO3</t>
        </is>
      </c>
      <c r="D155" t="inlineStr">
        <is>
          <t>TF_DC_MAX_CHARGING</t>
        </is>
      </c>
      <c r="E155" t="n">
        <v>80</v>
      </c>
      <c r="F155" t="inlineStr">
        <is>
          <t>KW</t>
        </is>
      </c>
      <c r="G155" t="inlineStr">
        <is>
          <t>SRC_BYD_NO_ATTO3</t>
        </is>
      </c>
      <c r="H155" t="inlineStr">
        <is>
          <t>MEDIUM</t>
        </is>
      </c>
      <c r="I155" t="inlineStr">
        <is>
          <t>2026-07-07</t>
        </is>
      </c>
      <c r="J155" t="inlineStr">
        <is>
          <t>1.8</t>
        </is>
      </c>
      <c r="K155" t="inlineStr">
        <is>
          <t>Manufacturer-stated</t>
        </is>
      </c>
    </row>
    <row r="156">
      <c r="A156" t="inlineStr">
        <is>
          <t>TECH_000155</t>
        </is>
      </c>
      <c r="B156" t="inlineStr">
        <is>
          <t>BYD_ATTO3</t>
        </is>
      </c>
      <c r="D156" t="inlineStr">
        <is>
          <t>TF_DC_MAX_CHARGING</t>
        </is>
      </c>
      <c r="E156" t="n">
        <v>90</v>
      </c>
      <c r="F156" t="inlineStr">
        <is>
          <t>KW</t>
        </is>
      </c>
      <c r="G156" t="inlineStr">
        <is>
          <t>SRC_NAF_BILGUIDEN_ATTO3</t>
        </is>
      </c>
      <c r="H156" t="inlineStr">
        <is>
          <t>MEDIUM</t>
        </is>
      </c>
      <c r="I156" t="inlineStr">
        <is>
          <t>2026-07-07</t>
        </is>
      </c>
      <c r="J156" t="inlineStr">
        <is>
          <t>1.8</t>
        </is>
      </c>
      <c r="K156" t="inlineStr">
        <is>
          <t>NAF-measured peak</t>
        </is>
      </c>
    </row>
    <row r="157">
      <c r="A157" t="inlineStr">
        <is>
          <t>TECH_000156</t>
        </is>
      </c>
      <c r="B157" t="inlineStr">
        <is>
          <t>BYD_ATTO3</t>
        </is>
      </c>
      <c r="D157" t="inlineStr">
        <is>
          <t>TF_WLTP_RANGE</t>
        </is>
      </c>
      <c r="E157" t="n">
        <v>420</v>
      </c>
      <c r="F157" t="inlineStr">
        <is>
          <t>KM</t>
        </is>
      </c>
      <c r="G157" t="inlineStr">
        <is>
          <t>SRC_BYD_NO_ATTO3</t>
        </is>
      </c>
      <c r="H157" t="inlineStr">
        <is>
          <t>MEDIUM</t>
        </is>
      </c>
      <c r="I157" t="inlineStr">
        <is>
          <t>2026-07-07</t>
        </is>
      </c>
      <c r="J157" t="inlineStr">
        <is>
          <t>1.8</t>
        </is>
      </c>
    </row>
    <row r="158">
      <c r="A158" t="inlineStr">
        <is>
          <t>TECH_000157</t>
        </is>
      </c>
      <c r="B158" t="inlineStr">
        <is>
          <t>BYD_ATTO3</t>
        </is>
      </c>
      <c r="D158" t="inlineStr">
        <is>
          <t>TF_MOTOR_POWER</t>
        </is>
      </c>
      <c r="E158" t="n">
        <v>150</v>
      </c>
      <c r="F158" t="inlineStr">
        <is>
          <t>KW</t>
        </is>
      </c>
      <c r="G158" t="inlineStr">
        <is>
          <t>SRC_EVDATABASE_ATTO3</t>
        </is>
      </c>
      <c r="H158" t="inlineStr">
        <is>
          <t>MEDIUM</t>
        </is>
      </c>
      <c r="I158" t="inlineStr">
        <is>
          <t>2026-07-07</t>
        </is>
      </c>
      <c r="J158" t="inlineStr">
        <is>
          <t>1.8</t>
        </is>
      </c>
    </row>
    <row r="159">
      <c r="A159" t="inlineStr">
        <is>
          <t>TECH_000158</t>
        </is>
      </c>
      <c r="B159" t="inlineStr">
        <is>
          <t>BYD_ATTO3</t>
        </is>
      </c>
      <c r="D159" t="inlineStr">
        <is>
          <t>TF_TORQUE</t>
        </is>
      </c>
      <c r="E159" t="n">
        <v>310</v>
      </c>
      <c r="F159" t="inlineStr">
        <is>
          <t>NM</t>
        </is>
      </c>
      <c r="G159" t="inlineStr">
        <is>
          <t>SRC_EVDATABASE_ATTO3</t>
        </is>
      </c>
      <c r="H159" t="inlineStr">
        <is>
          <t>MEDIUM</t>
        </is>
      </c>
      <c r="I159" t="inlineStr">
        <is>
          <t>2026-07-07</t>
        </is>
      </c>
      <c r="J159" t="inlineStr">
        <is>
          <t>1.8</t>
        </is>
      </c>
    </row>
    <row r="160">
      <c r="A160" t="inlineStr">
        <is>
          <t>TECH_000159</t>
        </is>
      </c>
      <c r="B160" t="inlineStr">
        <is>
          <t>BYD_ATTO3</t>
        </is>
      </c>
      <c r="D160" t="inlineStr">
        <is>
          <t>TF_TOP_SPEED</t>
        </is>
      </c>
      <c r="E160" t="n">
        <v>160</v>
      </c>
      <c r="F160" t="inlineStr">
        <is>
          <t>KMH</t>
        </is>
      </c>
      <c r="G160" t="inlineStr">
        <is>
          <t>SRC_EVDATABASE_ATTO3</t>
        </is>
      </c>
      <c r="H160" t="inlineStr">
        <is>
          <t>MEDIUM</t>
        </is>
      </c>
      <c r="I160" t="inlineStr">
        <is>
          <t>2026-07-07</t>
        </is>
      </c>
      <c r="J160" t="inlineStr">
        <is>
          <t>1.8</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row r="64">
      <c r="A64" t="inlineStr">
        <is>
          <t>EQ_000063</t>
        </is>
      </c>
      <c r="B64" t="inlineStr">
        <is>
          <t>BYD_ATTO3_COMFORT</t>
        </is>
      </c>
      <c r="C64" t="inlineStr">
        <is>
          <t>EQ_ACC</t>
        </is>
      </c>
      <c r="D64" t="inlineStr">
        <is>
          <t>STANDARD</t>
        </is>
      </c>
      <c r="E64" t="inlineStr">
        <is>
          <t>SRC_BYD_NO_ATTO3</t>
        </is>
      </c>
      <c r="F64" t="inlineStr">
        <is>
          <t>MEDIUM</t>
        </is>
      </c>
    </row>
    <row r="65">
      <c r="A65" t="inlineStr">
        <is>
          <t>EQ_000064</t>
        </is>
      </c>
      <c r="B65" t="inlineStr">
        <is>
          <t>BYD_ATTO3_COMFORT</t>
        </is>
      </c>
      <c r="C65" t="inlineStr">
        <is>
          <t>EQ_REAR_CAMERA</t>
        </is>
      </c>
      <c r="D65" t="inlineStr">
        <is>
          <t>STANDARD</t>
        </is>
      </c>
      <c r="E65" t="inlineStr">
        <is>
          <t>SRC_BYD_NO_ATTO3</t>
        </is>
      </c>
      <c r="F65" t="inlineStr">
        <is>
          <t>MEDIUM</t>
        </is>
      </c>
    </row>
    <row r="66">
      <c r="A66" t="inlineStr">
        <is>
          <t>EQ_000065</t>
        </is>
      </c>
      <c r="B66" t="inlineStr">
        <is>
          <t>BYD_ATTO3_COMFORT</t>
        </is>
      </c>
      <c r="C66" t="inlineStr">
        <is>
          <t>EQ_360</t>
        </is>
      </c>
      <c r="D66" t="inlineStr">
        <is>
          <t>STANDARD</t>
        </is>
      </c>
      <c r="E66" t="inlineStr">
        <is>
          <t>SRC_BYD_NO_ATTO3</t>
        </is>
      </c>
      <c r="F66" t="inlineStr">
        <is>
          <t>MEDIUM</t>
        </is>
      </c>
    </row>
    <row r="67">
      <c r="A67" t="inlineStr">
        <is>
          <t>EQ_000066</t>
        </is>
      </c>
      <c r="B67" t="inlineStr">
        <is>
          <t>BYD_ATTO3_DESIGN</t>
        </is>
      </c>
      <c r="C67" t="inlineStr">
        <is>
          <t>EQ_ACC</t>
        </is>
      </c>
      <c r="D67" t="inlineStr">
        <is>
          <t>STANDARD</t>
        </is>
      </c>
      <c r="E67" t="inlineStr">
        <is>
          <t>SRC_BYD_NO_ATTO3</t>
        </is>
      </c>
      <c r="F67" t="inlineStr">
        <is>
          <t>MEDIUM</t>
        </is>
      </c>
    </row>
    <row r="68">
      <c r="A68" t="inlineStr">
        <is>
          <t>EQ_000067</t>
        </is>
      </c>
      <c r="B68" t="inlineStr">
        <is>
          <t>BYD_ATTO3_DESIGN</t>
        </is>
      </c>
      <c r="C68" t="inlineStr">
        <is>
          <t>EQ_REAR_CAMERA</t>
        </is>
      </c>
      <c r="D68" t="inlineStr">
        <is>
          <t>STANDARD</t>
        </is>
      </c>
      <c r="E68" t="inlineStr">
        <is>
          <t>SRC_BYD_NO_ATTO3</t>
        </is>
      </c>
      <c r="F68" t="inlineStr">
        <is>
          <t>MEDIUM</t>
        </is>
      </c>
    </row>
    <row r="69">
      <c r="A69" t="inlineStr">
        <is>
          <t>EQ_000068</t>
        </is>
      </c>
      <c r="B69" t="inlineStr">
        <is>
          <t>BYD_ATTO3_DESIGN</t>
        </is>
      </c>
      <c r="C69" t="inlineStr">
        <is>
          <t>EQ_360</t>
        </is>
      </c>
      <c r="D69" t="inlineStr">
        <is>
          <t>STANDARD</t>
        </is>
      </c>
      <c r="E69" t="inlineStr">
        <is>
          <t>SRC_BYD_NO_ATTO3</t>
        </is>
      </c>
      <c r="F69"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kupestøy i den oppgraderte Model 3-plattformen sammenlignet med tidligere årsmodeller; dekkstøy fremheves som blant de beste i klassen. Testet på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fjæringen som behagelig ved høyere hastighet; Cars.com bekrefter at det ikke oppstår brå støt takket være frekvensavhengige dempere. Testet på AWD/Long Range-varianter; RWD-spesifikk fjæringskarakter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dårlig sikt bakover - sistnevnte er en reell praktisk ulempe ved manøvrering.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undersøkelsestidspunkt (juli 2026) fortsatt ikke støttes på noen Tesla-modell, inkludert Model 3. Tesla har varslet trådløs CarPlay "i løpet av kommende måneder"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på ujevn vei" med ubehagelig humpete kjøring på harde skjøter, mens RAC Drive på samme drivlinje (150 Comfort Range) rapporterer at fjæringen "smothers potholes and speed bumps quietly." De to profesjonelle kildene motsier hverandre direkte om komfort - dokumentert som uenighet, ikke løst ved å velge en foretrukket verdi (jf. rammeverkets prinsipp om å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så vidt får plass bak en like høy fører i baksetet, og at pedalplassering er trang - en reell praktisk ulempe. Samtidig gir høyere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på alle versjoner av Renault 4, bekreftet både av offisiell Renault-spesifikasjon og uavhengig av RAC Drive ("comes on all models"). Motsatt funn av Tesla Model 3 Long Range RWD, som mangler CarPlay-støtte.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på ca. 30 minutter) og 15,5 kWh/100km forbruk for Techno (52 kWh Comfort Range) - solid ladeeffekt for segmentet, godt over minimumsbehovet gitt lav estimert årlig kjørelengde.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hjulstøy er "en familiesvakhet for bilene på MEB-plattformen" og at Elroq hadde mest hjulstøy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fjæringen som hastighetsavhengig (stiv i lav fart, fast og fin i høy fart) - nøytralt til svakt positivt funn. What Car? er klart positiv: fjæringen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på alle versjoner av Skoda Elroq, bekreftet både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på ca. 26 minutter) og 15,3 kWh/100km forbruk for Selection 60 - solid ladeeffekt for segmentet. [Kriterium W020]</t>
        </is>
      </c>
      <c r="H22" t="inlineStr">
        <is>
          <t>EV_000028,EV_000029</t>
        </is>
      </c>
      <c r="I22" t="inlineStr">
        <is>
          <t>1.4</t>
        </is>
      </c>
    </row>
    <row r="23">
      <c r="A23" t="inlineStr">
        <is>
          <t>REV_000022</t>
        </is>
      </c>
      <c r="C23" t="inlineStr">
        <is>
          <t>VOLVO_EX30_P5_LONG_RANGE</t>
        </is>
      </c>
      <c r="D23" t="inlineStr">
        <is>
          <t>Kjøreopplevelse</t>
        </is>
      </c>
      <c r="E23" t="n">
        <v>4</v>
      </c>
      <c r="F23" t="inlineStr">
        <is>
          <t>HIGH</t>
        </is>
      </c>
      <c r="G23" t="inlineStr">
        <is>
          <t>Motor.no rapporterer lite hjulstøy på piggfrie vinterdekk; What Car? beskriver bilen som "fairly hushed" ved høy fart med kun litt vind-/veistøy. To uavhengige kilder er enige. [Kriterium W001]</t>
        </is>
      </c>
      <c r="H23" t="inlineStr">
        <is>
          <t>EV_000030,EV_000031</t>
        </is>
      </c>
      <c r="I23" t="inlineStr">
        <is>
          <t>1.4</t>
        </is>
      </c>
    </row>
    <row r="24">
      <c r="A24" t="inlineStr">
        <is>
          <t>REV_000023</t>
        </is>
      </c>
      <c r="C24" t="inlineStr">
        <is>
          <t>VOLVO_EX30_P5_LONG_RANGE</t>
        </is>
      </c>
      <c r="D24" t="inlineStr">
        <is>
          <t>Kjøreopplevelse</t>
        </is>
      </c>
      <c r="E24" t="n">
        <v>4</v>
      </c>
      <c r="F24" t="inlineStr">
        <is>
          <t>MEDIUM</t>
        </is>
      </c>
      <c r="G24" t="inlineStr">
        <is>
          <t>Motor.no beskriver fjæringen som svært stiv over skarpe ujevnheter, men behagelig i fart. What Car? vurderer balansen mellom komfort og kjøreegenskaper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VOLVO_EX30_P5_LONG_RANGE</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VOLVO_EX30_P5_LONG_RANGE</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VOLVO_EX30_P5_LONG_RANGE</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VOLVO_EX30_P5_LONG_RANGE</t>
        </is>
      </c>
      <c r="D28" t="inlineStr">
        <is>
          <t>Teknologi</t>
        </is>
      </c>
      <c r="E28" t="n">
        <v>5</v>
      </c>
      <c r="F28" t="inlineStr">
        <is>
          <t>MEDIUM</t>
        </is>
      </c>
      <c r="G28" t="inlineStr">
        <is>
          <t>What Car? bekrefter at "Wireless Android Auto and Apple CarPlay are also included" på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VOLVO_EX30_P5_LONG_RANGE</t>
        </is>
      </c>
      <c r="D29" t="inlineStr">
        <is>
          <t>Rekkevidde/lading</t>
        </is>
      </c>
      <c r="E29" t="n">
        <v>4</v>
      </c>
      <c r="F29" t="inlineStr">
        <is>
          <t>MEDIUM</t>
        </is>
      </c>
      <c r="G29" t="inlineStr">
        <is>
          <t>Offisiell spesifikasjon viser 175 kW DC-hurtiglading (10-80% på ca. 27 minutter, uendret fra P8 AWD) og 17 kWh/100km forbruk med 475 km WLTP-rekkevidde for P5 Long Range - noe bedre enn P8 AWD (450 km/17,5 kWh/100km), som forventet for en enmotors konfigurasjon. [Kriterium W020]</t>
        </is>
      </c>
      <c r="H29" t="inlineStr">
        <is>
          <t>EV_000148</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motorstøy, lite dekkstøy på motorvei og lite fjæringsstøy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høyere hastighet på Standard Range-varianten, med dempere beskrevet som stive og "ikke spesielt sofistikerte." What Car? rapporterer motsatt at fjæringen er relativt myk og glatter ut humper, om enn med krengning i svinger. Direkte motstridende funn - dokumentert som uenighet, ikke løst.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på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VOLVO_EX30_P5_LONG_RANGE</t>
        </is>
      </c>
      <c r="D40" t="inlineStr">
        <is>
          <t>Økonomi</t>
        </is>
      </c>
      <c r="E40" t="n">
        <v>2</v>
      </c>
      <c r="F40" t="inlineStr">
        <is>
          <t>MEDIUM</t>
        </is>
      </c>
      <c r="G40" t="inlineStr">
        <is>
          <t>Dyrest av de seks (437 900 kr) med et forbruk på 17 kWh/100km - høyere enn de fleste andre i utvalget (Tesla 13,6, Skoda 15,3, Kia 15,2, Renault 15,5), men ikke en ytterlighet. I motsetning til P8 AWD (opprinnelig vurdert konfigurasjon) er P5 Long Range enmotors bakhjulsdrevet - det finnes derfor ingen argumentasjon om at merprisen går til firehjulsdrift/ytelse slik det gjorde for P8 AWD. Likevel forblir dette den klart dyreste konfigurasjonen av de seks uten en tilsvarende tydelig fordel som forsvarer merprisen. Svakest verdi for pengene av de seks. [Kriterium W017]</t>
        </is>
      </c>
      <c r="H40" t="inlineStr">
        <is>
          <t>EV_000149</t>
        </is>
      </c>
      <c r="I40" t="inlineStr">
        <is>
          <t>1.4</t>
        </is>
      </c>
    </row>
    <row r="41">
      <c r="A41" t="inlineStr">
        <is>
          <t>REV_000040</t>
        </is>
      </c>
      <c r="C41" t="inlineStr">
        <is>
          <t>KIA_EV2_FWD_LONG_RANGE_GT_LINE</t>
        </is>
      </c>
      <c r="D41" t="inlineStr">
        <is>
          <t>Økonomi</t>
        </is>
      </c>
      <c r="E41" t="n">
        <v>4</v>
      </c>
      <c r="F41" t="inlineStr">
        <is>
          <t>MEDIUM</t>
        </is>
      </c>
      <c r="G41" t="inlineStr">
        <is>
          <t>GT Line-trimmen koster 389 900 kr (offisiell Kia-konfigurator, ingen tilvalg) - ikke lengre lavest av utvalget som tidligere (feilaktig) oppgitt, men et solid mellomsjikt: billigere enn Tesla (400 539) og Volvo P5 Long Range (437 900), omtrent likt med BYD Design (389 920), dyrere enn Renault (364 900) og Skoda (374 900). Til gjengjeld har GT Line det mest omfattende standardutstyret registrert i dette datasettet (varme i seter/ratt, trådløs CarPlay/Android Auto, full ADAS-pakke med HDA 2.0 motorveiassistent og automatisk filskift) og nest-best rekkevidde (453 km). God, men ikke eksepsjonell, verdi for pengene - ikke lenger "billigst og best utstyrt" som tidligere feilaktig lagt til grunn.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VOLVO_EX30_P5_LONG_RANGE</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størst margin av alle fem, og eneste konfigurasjon med over 400mm margin. [Kriterium W019]</t>
        </is>
      </c>
      <c r="H46" t="inlineStr">
        <is>
          <t>EV_000057</t>
        </is>
      </c>
      <c r="I46" t="inlineStr">
        <is>
          <t>1.4</t>
        </is>
      </c>
    </row>
    <row r="47">
      <c r="A47" t="inlineStr">
        <is>
          <t>REV_000046</t>
        </is>
      </c>
      <c r="C47" t="inlineStr">
        <is>
          <t>VOLVO_EX30_P5_LONG_RANGE</t>
        </is>
      </c>
      <c r="D47" t="inlineStr">
        <is>
          <t>Teknologi</t>
        </is>
      </c>
      <c r="E47" t="n">
        <v>3</v>
      </c>
      <c r="F47" t="inlineStr">
        <is>
          <t>MEDIUM</t>
        </is>
      </c>
      <c r="G47" t="inlineStr">
        <is>
          <t>Motor.no: ACC beskrives som "lunefull på norske vinterveier" - å justere hastighet/intervall "viste seg i praksis umulig" under vinterkjøring. Testet på P8 AWD (Twin Performance, firehjulsdrift); ACC-kalibrering kan i prinsippet variere mellom enmotors og tomotors utgaver av samme modell, og er ikke uavhengig bekreftet spesifikt for P5 Long Range. Isolert praktisk svakhet ved førerassistanse i norske vinterforhold,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på motorvei.' Kort omtale fremfor en dyptgående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får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VOLVO_EX30_P5_LONG_RANGE</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VOLVO_EX30_P5_LONG_RANGE</t>
        </is>
      </c>
      <c r="D58" t="inlineStr">
        <is>
          <t>Teknologi</t>
        </is>
      </c>
      <c r="E58" t="n">
        <v>2</v>
      </c>
      <c r="F58" t="inlineStr">
        <is>
          <t>LOW</t>
        </is>
      </c>
      <c r="G58" t="inlineStr">
        <is>
          <t>elbil.no og Frydenbøs trimnivå-sammenligning bekrefter at 360-graders kamera er forbeholdt Ultra-utstyrsnivå, ikke inkludert på Plus - men denne sammenligningen ble gjort for Twin Performance AWD (P8 AWD) spesifikt, same drivlinje til 468 900 kr. Hvilket utstyrsnivå (Plus/Ultra) P5 Long Range faktisk selges med er ikke uavhengig bekreftet - forblir bevisst ukjent for denne konfigurasjonen fremfor antatt identisk med P8 AWD.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VOLVO_EX30_P5_LONG_RANGE</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VOLVO_EX30_P5_LONG_RANGE</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VOLVO_EX30_P5_LONG_RANGE</t>
        </is>
      </c>
      <c r="D75" t="inlineStr">
        <is>
          <t>Langtidseierskap</t>
        </is>
      </c>
      <c r="E75" t="n">
        <v>4</v>
      </c>
      <c r="F75" t="inlineStr">
        <is>
          <t>LOW</t>
        </is>
      </c>
      <c r="G75" t="inlineStr">
        <is>
          <t>EX30 har vært på det norske markedet i rundt to-tre år, og Volvo er en veletablert produsent med lang nordisk historie. elbil.no sin uavhengige vintertest (ca. 75% av WLTP-rekkevidden beholdt ned mot -20°C) gjelder imidlertid uttrykkelig Twin Performance (samme drivlinje som P8 AWD, tomotors firehjulsdrift) - ikke P5 Long Range sin enmotors bakhjulsdrift, som har andre effektivitets- og regenereringsegenskaper i kulde. Dette datapunktet er derfor ikke direkte overførbart; stemmer overens med at M003 (vinterrekkevidde) forblir Ukjent for nettopp denne konfigurasjonen i 14_HardRequirementResults. Vurderingen hviler dermed hovedsakelig på merkets/modellens generelle nordiske tilstedeværelse, ikke et modellspesifikt vintertall for denne drivlinjen.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VOLVO_EX30_P5_LONG_RANGE</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VOLVO_EX30_P5_LONG_RANGE</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VOLVO_EX30_P5_LONG_RANGE</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VOLVO_EX30_P5_LONG_RANGE</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VOLVO_EX30_P5_LONG_RANGE</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row r="102">
      <c r="A102" t="inlineStr">
        <is>
          <t>REV_000101</t>
        </is>
      </c>
      <c r="C102" t="inlineStr">
        <is>
          <t>BYD_ATTO3_DESIGN</t>
        </is>
      </c>
      <c r="D102" t="inlineStr">
        <is>
          <t>Kjøreopplevelse</t>
        </is>
      </c>
      <c r="E102" t="n">
        <v>3</v>
      </c>
      <c r="F102" t="inlineStr">
        <is>
          <t>MEDIUM</t>
        </is>
      </c>
      <c r="G102" t="inlineStr">
        <is>
          <t>Bil24 rapporterer komfortabelt støynivå opp til 80 km/t, men merkbart mer støy ved 100 km/t - nettopp den motorveifarten dette kriteriet vektlegger tungt. Testet på Comfort, men deler karosseri/lydisolasjon med Design. Kun én uavhengig kilde funnet. [Kriterium W001]</t>
        </is>
      </c>
      <c r="H102" t="inlineStr">
        <is>
          <t>EV_000128</t>
        </is>
      </c>
      <c r="I102" t="inlineStr">
        <is>
          <t>1.8</t>
        </is>
      </c>
    </row>
    <row r="103">
      <c r="A103" t="inlineStr">
        <is>
          <t>REV_000102</t>
        </is>
      </c>
      <c r="C103" t="inlineStr">
        <is>
          <t>BYD_ATTO3_DESIGN</t>
        </is>
      </c>
      <c r="D103" t="inlineStr">
        <is>
          <t>Kjøreopplevelse</t>
        </is>
      </c>
      <c r="E103" t="n">
        <v>4</v>
      </c>
      <c r="F103" t="inlineStr">
        <is>
          <t>MEDIUM</t>
        </is>
      </c>
      <c r="G103" t="inlineStr">
        <is>
          <t>To uavhengige kilder (Bil24 på Comfort, Formel E på Design) er samstemte om en komfortabel, mykt avstemt fjæring. Bil24 fremhever komfortable seter over lengre kjøreturer, men med begrenset justeringsmulighet. [Kriterium W002]</t>
        </is>
      </c>
      <c r="H103" t="inlineStr">
        <is>
          <t>EV_000129,EV_000130</t>
        </is>
      </c>
      <c r="I103" t="inlineStr">
        <is>
          <t>1.8</t>
        </is>
      </c>
    </row>
    <row r="104">
      <c r="A104" t="inlineStr">
        <is>
          <t>REV_000103</t>
        </is>
      </c>
      <c r="C104" t="inlineStr">
        <is>
          <t>BYD_ATTO3_DESIGN</t>
        </is>
      </c>
      <c r="D104" t="inlineStr">
        <is>
          <t>Kjøreopplevelse</t>
        </is>
      </c>
      <c r="E104" t="n">
        <v>4</v>
      </c>
      <c r="F104" t="inlineStr">
        <is>
          <t>MEDIUM</t>
        </is>
      </c>
      <c r="G104" t="inlineStr">
        <is>
          <t>Bil24 fremhever 360-graders kamerasystemet som klart og tydelig med gode tilpasningsmuligheter, noe som gir god oversikt ved manøvrering og parkering. Generell fremrutesikt ikke eksplisitt vurdert i den ene kilden funnet. [Kriterium W003]</t>
        </is>
      </c>
      <c r="H104" t="inlineStr">
        <is>
          <t>EV_000131</t>
        </is>
      </c>
      <c r="I104" t="inlineStr">
        <is>
          <t>1.8</t>
        </is>
      </c>
    </row>
    <row r="105">
      <c r="A105" t="inlineStr">
        <is>
          <t>REV_000104</t>
        </is>
      </c>
      <c r="C105" t="inlineStr">
        <is>
          <t>BYD_ATTO3_DESIGN</t>
        </is>
      </c>
      <c r="D105" t="inlineStr">
        <is>
          <t>Kjøreopplevelse</t>
        </is>
      </c>
      <c r="E105" t="n">
        <v>3</v>
      </c>
      <c r="F105" t="inlineStr">
        <is>
          <t>LOW</t>
        </is>
      </c>
      <c r="G105" t="inlineStr">
        <is>
          <t>Formel E (Design-testbil) beskriver kjøringen som 'stabil og ganske underholdende', med velavstemt fjæringsgeometri - men vurderingen er generell og ikke en detaljert styrefølelse-analyse. Kun én tynn kilde funnet, ingen motstridende eller bekreftende data. [Kriterium W004]</t>
        </is>
      </c>
      <c r="H105" t="inlineStr">
        <is>
          <t>EV_000130</t>
        </is>
      </c>
      <c r="I105" t="inlineStr">
        <is>
          <t>1.8</t>
        </is>
      </c>
    </row>
    <row r="106">
      <c r="A106" t="inlineStr">
        <is>
          <t>REV_000105</t>
        </is>
      </c>
      <c r="C106" t="inlineStr">
        <is>
          <t>BYD_ATTO3_DESIGN</t>
        </is>
      </c>
      <c r="D106" t="inlineStr">
        <is>
          <t>Teknologi</t>
        </is>
      </c>
      <c r="E106" t="n">
        <v>3</v>
      </c>
      <c r="F106" t="inlineStr">
        <is>
          <t>MEDIUM</t>
        </is>
      </c>
      <c r="G106" t="inlineStr">
        <is>
          <t>Genuin kildemotsigelse: Formel E (Design) beskriver den 15,6 tommers skjermen som stor og svært tydelig, mens Bil24 finner infotainmentet stort sett brukervennlig men med ulogiske strukturer (f.eks. DAB-radio gjemt i en egen 'app'). Dokumentert som reell uenighet, ikke forsøkt løst. [Kriterium W005]</t>
        </is>
      </c>
      <c r="H106" t="inlineStr">
        <is>
          <t>EV_000135,EV_000134</t>
        </is>
      </c>
      <c r="I106" t="inlineStr">
        <is>
          <t>1.8</t>
        </is>
      </c>
    </row>
    <row r="107">
      <c r="A107" t="inlineStr">
        <is>
          <t>REV_000106</t>
        </is>
      </c>
      <c r="C107" t="inlineStr">
        <is>
          <t>BYD_ATTO3_DESIGN</t>
        </is>
      </c>
      <c r="D107" t="inlineStr">
        <is>
          <t>Teknologi</t>
        </is>
      </c>
      <c r="E107" t="n">
        <v>4</v>
      </c>
      <c r="F107" t="inlineStr">
        <is>
          <t>MEDIUM</t>
        </is>
      </c>
      <c r="G107" t="inlineStr">
        <is>
          <t>Bil24 fremhever OTA-oppdateringsmuligheten som en tydelig fordel, som også gjør bilen attraktiv for tredjeparts appleverandører over tid. Kun én kilde, men entydig positiv og teknisk bekreftet (samme OTA-kanal brukt til å legge til trådløs CarPlay, se W007). [Kriterium W006]</t>
        </is>
      </c>
      <c r="H107" t="inlineStr">
        <is>
          <t>EV_000136</t>
        </is>
      </c>
      <c r="I107" t="inlineStr">
        <is>
          <t>1.8</t>
        </is>
      </c>
    </row>
    <row r="108">
      <c r="A108" t="inlineStr">
        <is>
          <t>REV_000107</t>
        </is>
      </c>
      <c r="C108" t="inlineStr">
        <is>
          <t>BYD_ATTO3_DESIGN</t>
        </is>
      </c>
      <c r="D108" t="inlineStr">
        <is>
          <t>Teknologi</t>
        </is>
      </c>
      <c r="E108" t="n">
        <v>3</v>
      </c>
      <c r="F108" t="inlineStr">
        <is>
          <t>MEDIUM</t>
        </is>
      </c>
      <c r="G108" t="inlineStr">
        <is>
          <t>CarPlay var kun kablet ved lansering; trådløs CarPlay ble lagt til via en bekreftet OTA-oppdatering (V1.8.0, 2026-forgjenger-dato 2024-07-02). Fungerer altså i dag, men den forsinkede/ettermonterte trådløsheten er en reell historisk begrensning verdt å notere. Android Auto var trådløst fra start. [Kriterium W007]</t>
        </is>
      </c>
      <c r="H108" t="inlineStr">
        <is>
          <t>EV_000137</t>
        </is>
      </c>
      <c r="I108" t="inlineStr">
        <is>
          <t>1.8</t>
        </is>
      </c>
    </row>
    <row r="109">
      <c r="A109" t="inlineStr">
        <is>
          <t>REV_000108</t>
        </is>
      </c>
      <c r="C109" t="inlineStr">
        <is>
          <t>BYD_ATTO3_DESIGN</t>
        </is>
      </c>
      <c r="D109" t="inlineStr">
        <is>
          <t>Teknologi</t>
        </is>
      </c>
      <c r="E109" t="n">
        <v>2</v>
      </c>
      <c r="F109" t="inlineStr">
        <is>
          <t>MEDIUM</t>
        </is>
      </c>
      <c r="G109" t="inlineStr">
        <is>
          <t>To uavhengige kilder peker samme vei: Bil24 (profesjonell test) beskriver adaptiv cruisekontroll som unødig hjelpsom med nedbremsing i svinger; en samling eierrapporter (EVparts4x4) dokumenterer falske frontkollisjonsvarsler i klar trafikk og en filholdsassistent med 'jerky' styreinngrep. Fungerer, men kvaliteten er en reell, dokumentert svakhet. [Kriterium W008]</t>
        </is>
      </c>
      <c r="H109" t="inlineStr">
        <is>
          <t>EV_000132,EV_000133</t>
        </is>
      </c>
      <c r="I109" t="inlineStr">
        <is>
          <t>1.8</t>
        </is>
      </c>
    </row>
    <row r="110">
      <c r="A110" t="inlineStr">
        <is>
          <t>REV_000109</t>
        </is>
      </c>
      <c r="C110" t="inlineStr">
        <is>
          <t>BYD_ATTO3_DESIGN</t>
        </is>
      </c>
      <c r="D110" t="inlineStr">
        <is>
          <t>Teknologi</t>
        </is>
      </c>
      <c r="E110" t="n">
        <v>5</v>
      </c>
      <c r="F110" t="inlineStr">
        <is>
          <t>MEDIUM</t>
        </is>
      </c>
      <c r="G110" t="inlineStr">
        <is>
          <t>Bil24 gir eksplisitt positiv omtale av 360-graders kamerasystemet: klar og tydelig visning fra flere vinkler med gode tilpasningsmuligheter. Ingen negative funn om kamerakvalitet i noen av kildene gjennomgått. [Kriterium W009]</t>
        </is>
      </c>
      <c r="H110" t="inlineStr">
        <is>
          <t>EV_000131</t>
        </is>
      </c>
      <c r="I110" t="inlineStr">
        <is>
          <t>1.8</t>
        </is>
      </c>
    </row>
    <row r="111">
      <c r="A111" t="inlineStr">
        <is>
          <t>REV_000110</t>
        </is>
      </c>
      <c r="C111" t="inlineStr">
        <is>
          <t>BYD_ATTO3_DESIGN</t>
        </is>
      </c>
      <c r="D111" t="inlineStr">
        <is>
          <t>Opplevd kvalitet</t>
        </is>
      </c>
      <c r="E111" t="n">
        <v>4</v>
      </c>
      <c r="F111" t="inlineStr">
        <is>
          <t>MEDIUM</t>
        </is>
      </c>
      <c r="G111" t="inlineStr">
        <is>
          <t>Formel E (Design) beskriver interiøret som 'well-built, well-composed and modern' med detaljer som vegansk lær på rattet; Bil24 (Comfort) beskriver et overraskende 'lekent' interiør i form og farge. Ingen hardplast-kritikk funnet i noen kilde - solid for prisklassen. [Kriterium W010]</t>
        </is>
      </c>
      <c r="H111" t="inlineStr">
        <is>
          <t>EV_000138,EV_000139</t>
        </is>
      </c>
      <c r="I111" t="inlineStr">
        <is>
          <t>1.8</t>
        </is>
      </c>
    </row>
    <row r="112">
      <c r="A112" t="inlineStr">
        <is>
          <t>REV_000111</t>
        </is>
      </c>
      <c r="C112" t="inlineStr">
        <is>
          <t>BYD_ATTO3_DESIGN</t>
        </is>
      </c>
      <c r="D112" t="inlineStr">
        <is>
          <t>Opplevd kvalitet</t>
        </is>
      </c>
      <c r="E112" t="n">
        <v>4</v>
      </c>
      <c r="F112" t="inlineStr">
        <is>
          <t>MEDIUM</t>
        </is>
      </c>
      <c r="G112" t="inlineStr">
        <is>
          <t>Formel E vurderer Design-testbilen som 'well-built, well-composed' uten å nevne knirk eller løse paneler. Kun én kilde med eksplisitt byggekvalitetsvurdering, og ingen motstridende funn om knirk/skranglete inntrykk i de øvrige kildene. [Kriterium W011]</t>
        </is>
      </c>
      <c r="H112" t="inlineStr">
        <is>
          <t>EV_000138</t>
        </is>
      </c>
      <c r="I112" t="inlineStr">
        <is>
          <t>1.8</t>
        </is>
      </c>
    </row>
    <row r="113">
      <c r="A113" t="inlineStr">
        <is>
          <t>REV_000112</t>
        </is>
      </c>
      <c r="C113" t="inlineStr">
        <is>
          <t>BYD_ATTO3_DESIGN</t>
        </is>
      </c>
      <c r="D113" t="inlineStr">
        <is>
          <t>Opplevd kvalitet</t>
        </is>
      </c>
      <c r="E113" t="n">
        <v>3</v>
      </c>
      <c r="F113" t="inlineStr">
        <is>
          <t>MEDIUM</t>
        </is>
      </c>
      <c r="G113" t="inlineStr">
        <is>
          <t>Bil24 gir en detaljert, blandet vurdering: setet oppleves 'meget komfortabel' over en 350 km tur, men mangler lengde- og helningsjustering; hodehøyde er begrenset for høye passasjerer under panoramataket, og armlenet er relativt stort. Reelle, konkrete innvendinger, ikke bare generell positivitet. [Kriterium W012]</t>
        </is>
      </c>
      <c r="H113" t="inlineStr">
        <is>
          <t>EV_000129,EV_000140</t>
        </is>
      </c>
      <c r="I113" t="inlineStr">
        <is>
          <t>1.8</t>
        </is>
      </c>
    </row>
    <row r="114">
      <c r="A114" t="inlineStr">
        <is>
          <t>REV_000113</t>
        </is>
      </c>
      <c r="C114" t="inlineStr">
        <is>
          <t>BYD_ATTO3_DESIGN</t>
        </is>
      </c>
      <c r="D114" t="inlineStr">
        <is>
          <t>Opplevd kvalitet</t>
        </is>
      </c>
      <c r="E114" t="n">
        <v>3</v>
      </c>
      <c r="F114" t="inlineStr">
        <is>
          <t>MEDIUM</t>
        </is>
      </c>
      <c r="G114" t="inlineStr">
        <is>
          <t>Bil24 beskriver fysiske detaljer som polariserende: bakdørhåndtak i 'gitarstreng'-design er nytenkende men potensielt uheldig med barn i baksetet, girspaken oppleves som 'artig', men enkelte menystrukturer er ikke intuitive og rattvarme mangler helt. [Kriterium W013]</t>
        </is>
      </c>
      <c r="H114" t="inlineStr">
        <is>
          <t>EV_000141</t>
        </is>
      </c>
      <c r="I114" t="inlineStr">
        <is>
          <t>1.8</t>
        </is>
      </c>
    </row>
    <row r="115">
      <c r="A115" t="inlineStr">
        <is>
          <t>REV_000114</t>
        </is>
      </c>
      <c r="C115" t="inlineStr">
        <is>
          <t>BYD_ATTO3_DESIGN</t>
        </is>
      </c>
      <c r="D115" t="inlineStr">
        <is>
          <t>Langtidseierskap</t>
        </is>
      </c>
      <c r="E115" t="n">
        <v>4</v>
      </c>
      <c r="F115" t="inlineStr">
        <is>
          <t>MEDIUM</t>
        </is>
      </c>
      <c r="G115" t="inlineStr">
        <is>
          <t>BYD er verdens største EV-produsent etter volum og har vært etablert som bilprodusent siden 1995 - ikke en ny, uprøvd aktør. Atto 3 har dessuten vært til salgs i Norge siden minst 2023 med flere uavhengige testrunder over tid, altså reell modellspesifikk historikk fremfor kun merke-fallback (se [[feedback-langtidseierskap-brand-fallback-confidence]]-prinsippet, som her ikke engang er nødvendig å ty til). [Kriterium W014]</t>
        </is>
      </c>
      <c r="H115" t="inlineStr">
        <is>
          <t>EV_000145</t>
        </is>
      </c>
      <c r="I115" t="inlineStr">
        <is>
          <t>1.8</t>
        </is>
      </c>
    </row>
    <row r="116">
      <c r="A116" t="inlineStr">
        <is>
          <t>REV_000115</t>
        </is>
      </c>
      <c r="C116" t="inlineStr">
        <is>
          <t>BYD_ATTO3_DESIGN</t>
        </is>
      </c>
      <c r="D116" t="inlineStr">
        <is>
          <t>Langtidseierskap</t>
        </is>
      </c>
      <c r="E116" t="n">
        <v>5</v>
      </c>
      <c r="F116" t="inlineStr">
        <is>
          <t>MEDIUM</t>
        </is>
      </c>
      <c r="G116" t="inlineStr">
        <is>
          <t>Offisiell garantihåndbok bekrefter 6 år/150 000 km generell garanti, 8 år/250 000 km batterigaranti (SOH&gt;=70%), 12 år rustgaranti og 8 år/150 000 km drivmotorgaranti - et objektivt sterkt garantipakke sammenlignet med de øvrige 5 bilene i denne sammenligningen. [Kriterium W015]</t>
        </is>
      </c>
      <c r="H116" t="inlineStr">
        <is>
          <t>EV_000142</t>
        </is>
      </c>
      <c r="I116" t="inlineStr">
        <is>
          <t>1.8</t>
        </is>
      </c>
    </row>
    <row r="117">
      <c r="A117" t="inlineStr">
        <is>
          <t>REV_000116</t>
        </is>
      </c>
      <c r="C117" t="inlineStr">
        <is>
          <t>BYD_ATTO3_DESIGN</t>
        </is>
      </c>
      <c r="D117" t="inlineStr">
        <is>
          <t>Langtidseierskap</t>
        </is>
      </c>
      <c r="E117" t="n">
        <v>3</v>
      </c>
      <c r="F117" t="inlineStr">
        <is>
          <t>MEDIUM</t>
        </is>
      </c>
      <c r="G117" t="inlineStr">
        <is>
          <t>Flere års dokumentert tilstedeværelse i det norske markedet (NAF-test datert 2023, samt nyere tester fra Bil24/Formel E) viser reell nordisk modenhet sammenlignet med f.eks. Kia EV2, som ble vurdert som for ny for vintertestsykluser. Trekkes likevel ned av at ingen kilde har dokumentert en faktisk vintertest av rekkevidde (se M003, forblir Ukjent). [Kriterium W016]</t>
        </is>
      </c>
      <c r="H117" t="inlineStr">
        <is>
          <t>EV_000145</t>
        </is>
      </c>
      <c r="I117" t="inlineStr">
        <is>
          <t>1.8</t>
        </is>
      </c>
    </row>
    <row r="118">
      <c r="A118" t="inlineStr">
        <is>
          <t>REV_000117</t>
        </is>
      </c>
      <c r="C118" t="inlineStr">
        <is>
          <t>BYD_ATTO3_DESIGN</t>
        </is>
      </c>
      <c r="D118" t="inlineStr">
        <is>
          <t>Økonomi</t>
        </is>
      </c>
      <c r="E118" t="n">
        <v>3</v>
      </c>
      <c r="F118" t="inlineStr">
        <is>
          <t>MEDIUM</t>
        </is>
      </c>
      <c r="G118" t="inlineStr">
        <is>
          <t>Design til 389 920 kr ligger midt i feltet av de 6 bilene (billigere enn Tesla, Kia og Volvo; dyrere enn Renault og Skoda) for en pakke med 5-stjerners NCAP, sterk garanti og OTA-økosystem, men svakere DC-lading og dokumenterte ADAS-kvirker. Bil24s egen tester er selv usikker på om dette er god verdi for en forhjulsdrevet 5-seter ('Det er kanskje det?') - en ærlig, ikke overdrevet, vurdering. [Kriterium W017]</t>
        </is>
      </c>
      <c r="H118" t="inlineStr">
        <is>
          <t>EV_000144</t>
        </is>
      </c>
      <c r="I118" t="inlineStr">
        <is>
          <t>1.8</t>
        </is>
      </c>
    </row>
    <row r="119">
      <c r="A119" t="inlineStr">
        <is>
          <t>REV_000118</t>
        </is>
      </c>
      <c r="C119" t="inlineStr">
        <is>
          <t>BYD_ATTO3_DESIGN</t>
        </is>
      </c>
      <c r="D119" t="inlineStr">
        <is>
          <t>Praktisk bruk</t>
        </is>
      </c>
      <c r="E119" t="n">
        <v>4</v>
      </c>
      <c r="F119" t="inlineStr">
        <is>
          <t>MEDIUM</t>
        </is>
      </c>
      <c r="G119" t="inlineStr">
        <is>
          <t>440 liter bagasjerom med flatt gulv, 60/40 delt bakseterygg og to romslige sidekott gir god fleksibilitet for voksne passasjerer og bagasje. Eneste dokumenterte praktiske begrensning er redusert hodehøyde for høye passasjerer under panoramataket - ingen barnesetefokusert vurdering (jf. [[user-no-children-household]]). [Kriterium W018]</t>
        </is>
      </c>
      <c r="H119" t="inlineStr">
        <is>
          <t>EV_000143,EV_000140</t>
        </is>
      </c>
      <c r="I119" t="inlineStr">
        <is>
          <t>1.8</t>
        </is>
      </c>
    </row>
    <row r="120">
      <c r="A120" t="inlineStr">
        <is>
          <t>REV_000119</t>
        </is>
      </c>
      <c r="C120" t="inlineStr">
        <is>
          <t>BYD_ATTO3_DESIGN</t>
        </is>
      </c>
      <c r="D120" t="inlineStr">
        <is>
          <t>Garasje</t>
        </is>
      </c>
      <c r="E120" t="n">
        <v>3</v>
      </c>
      <c r="F120" t="inlineStr">
        <is>
          <t>MEDIUM</t>
        </is>
      </c>
      <c r="G120" t="inlineStr">
        <is>
          <t>Offisiell lengde 4455mm gir 45mm margin til 4500mm-grensen - en reell, men moderat margin: trangere enn Kia EV2s 435mm, men romsligere enn Skoda Elroqs 12mm. Se 14_HardRequirementResults (M002) for samme grunnlag. [Kriterium W019]</t>
        </is>
      </c>
      <c r="H120" t="inlineStr">
        <is>
          <t>EV_000146</t>
        </is>
      </c>
      <c r="I120" t="inlineStr">
        <is>
          <t>1.8</t>
        </is>
      </c>
    </row>
    <row r="121">
      <c r="A121" t="inlineStr">
        <is>
          <t>REV_000120</t>
        </is>
      </c>
      <c r="C121" t="inlineStr">
        <is>
          <t>BYD_ATTO3_DESIGN</t>
        </is>
      </c>
      <c r="D121" t="inlineStr">
        <is>
          <t>Rekkevidde/lading</t>
        </is>
      </c>
      <c r="E121" t="n">
        <v>2</v>
      </c>
      <c r="F121" t="inlineStr">
        <is>
          <t>MEDIUM</t>
        </is>
      </c>
      <c r="G121" t="inlineStr">
        <is>
          <t>DC-lading på 80kW (produsentoppgitt) til 90kW (NAF-målt) og AC på 11kW ligger under nivået til mange 2026-konkurrenter som ofte tilbyr 150-220kW DC. Kriteriet er lavt vektet, og svakheten trekker score noe ned, men ikke drastisk. [Kriterium W020]</t>
        </is>
      </c>
      <c r="H121" t="inlineStr">
        <is>
          <t>EV_000147</t>
        </is>
      </c>
      <c r="I121" t="inlineStr">
        <is>
          <t>1.8</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5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på ujevn vei, og harde skjøter gir ubehagelig humpete kjøring"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"hjulstøyen - en familiesvakhet for bilene på MEB-plattformen - som ødelegger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"Fjæringen er stiv i lavere fart, fast og fin i høyere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på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hjulstøy på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på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høyere hastigheter gir en vel spretten følelse"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389900 kr incl. VAT/fees for the GT Line trim itself (verified directly against the live official Kia nettbutikk configurator, no optional extras), for 453km WLTP range - second-best range of the six at a middle price point (cheaper than Tesla and Volvo P5 Long Range, pricier than Renault and Skoda, essentially tied with BYD Design), with the richest standard equipment list gathered in this dataset. The buyer's own dealer quote (423340 kr total) reflects personal options (4-seat conversion, winter wheels, registration tax) and is not representative of the trim's own comparison price.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Førerassistenter kvalitet: elbil.no sin norske test bekrefter adaptiv cruise control er standard på Techno (og Iconic), og at den fungerer 'overraskende greit på motorvei'. Kort omtale, ikke en dyptgående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på Iconic-varianten (+20 000 kr over Techno). Techno får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row r="129">
      <c r="A129" t="inlineStr">
        <is>
          <t>EV_000128</t>
        </is>
      </c>
      <c r="B129" t="inlineStr">
        <is>
          <t>BYD_ATTO3</t>
        </is>
      </c>
      <c r="D129" t="inlineStr">
        <is>
          <t>Kupéstøy: komfortable fjæringer og hyggelig støynivå opp til 80 km/t, men merkbart mer støy ved 100 km/t (motorveifart). Testet på Comfort-spesifikasjon, som deler karosseri og lydisolasjon med Design.</t>
        </is>
      </c>
      <c r="E129" t="inlineStr">
        <is>
          <t>SRC_BIL24_ATTO3</t>
        </is>
      </c>
      <c r="F129" t="inlineStr">
        <is>
          <t>MEDIUM</t>
        </is>
      </c>
    </row>
    <row r="130">
      <c r="A130" t="inlineStr">
        <is>
          <t>EV_000129</t>
        </is>
      </c>
      <c r="B130" t="inlineStr">
        <is>
          <t>BYD_ATTO3</t>
        </is>
      </c>
      <c r="D130" t="inlineStr">
        <is>
          <t>Fjæring/seter: komfortabel over en 350 km kjøretur; førersete beskrevet som 'meget komfortabel', men mangler lengdejustering og setehelningsjustering. Armlene relativt stort. Testet på Comfort-spesifikasjon.</t>
        </is>
      </c>
      <c r="E130" t="inlineStr">
        <is>
          <t>SRC_BIL24_ATTO3</t>
        </is>
      </c>
      <c r="F130" t="inlineStr">
        <is>
          <t>MEDIUM</t>
        </is>
      </c>
    </row>
    <row r="131">
      <c r="A131" t="inlineStr">
        <is>
          <t>EV_000130</t>
        </is>
      </c>
      <c r="B131" t="inlineStr">
        <is>
          <t>BYD_ATTO3</t>
        </is>
      </c>
      <c r="D131" t="inlineStr">
        <is>
          <t>Fjæring/styring (Design-testbil): avansert multilink bakaksel, fast men komfortabel fjæring; beskrevet som 'stabil og ganske underholdende å kjøre', velavstemt fjæringsgeometri kombinert med forhjulsdrift.</t>
        </is>
      </c>
      <c r="E131" t="inlineStr">
        <is>
          <t>SRC_FORMELE_ATTO3_DESIGN</t>
        </is>
      </c>
      <c r="F131" t="inlineStr">
        <is>
          <t>MEDIUM</t>
        </is>
      </c>
    </row>
    <row r="132">
      <c r="A132" t="inlineStr">
        <is>
          <t>EV_000131</t>
        </is>
      </c>
      <c r="B132" t="inlineStr">
        <is>
          <t>BYD_ATTO3</t>
        </is>
      </c>
      <c r="D132" t="inlineStr">
        <is>
          <t>360-graders kamera: klar og tydelig visning foran, bak og ovenfra, med flere tilpasningsmuligheter for visningsvinkel. Testet på Comfort-spesifikasjon, men kamerasystemet er delt med Design.</t>
        </is>
      </c>
      <c r="E132" t="inlineStr">
        <is>
          <t>SRC_BIL24_ATTO3</t>
        </is>
      </c>
      <c r="F132" t="inlineStr">
        <is>
          <t>MEDIUM</t>
        </is>
      </c>
    </row>
    <row r="133">
      <c r="A133" t="inlineStr">
        <is>
          <t>EV_000132</t>
        </is>
      </c>
      <c r="B133" t="inlineStr">
        <is>
          <t>BYD_ATTO3</t>
        </is>
      </c>
      <c r="D133" t="inlineStr">
        <is>
          <t>Adaptiv cruisekontroll beskrevet som 'noe hjelpsom med nedbremsing i svinger, kanskje litt mer enn undertegnede setter pris på'. Mange assistentfunksjoner kan deaktiveres.</t>
        </is>
      </c>
      <c r="E133" t="inlineStr">
        <is>
          <t>SRC_BIL24_ATTO3</t>
        </is>
      </c>
      <c r="F133" t="inlineStr">
        <is>
          <t>MEDIUM</t>
        </is>
      </c>
    </row>
    <row r="134">
      <c r="A134" t="inlineStr">
        <is>
          <t>EV_000133</t>
        </is>
      </c>
      <c r="B134" t="inlineStr">
        <is>
          <t>BYD_ATTO3</t>
        </is>
      </c>
      <c r="D134" t="inlineStr">
        <is>
          <t>Eierrapporter: falske frontkollisjonsvarsler i klar trafikk ('beeping or flashing with no obstacle'), overivrige parkeringssensorer, og filholdsassistent beskrevet som gir 'overly aggressive or jerky steering input'.</t>
        </is>
      </c>
      <c r="E134" t="inlineStr">
        <is>
          <t>SRC_EVPARTS4X4_ATTO3</t>
        </is>
      </c>
      <c r="F134" t="inlineStr">
        <is>
          <t>MEDIUM</t>
        </is>
      </c>
    </row>
    <row r="135">
      <c r="A135" t="inlineStr">
        <is>
          <t>EV_000134</t>
        </is>
      </c>
      <c r="B135" t="inlineStr">
        <is>
          <t>BYD_ATTO3</t>
        </is>
      </c>
      <c r="D135" t="inlineStr">
        <is>
          <t>Infotainment oppleves i hovedsak brukervennlig, men med enkelte ulogiske strukturer (DAB-radio krever egen 'app' i stedet for å ligge i hovedradiomenyen). Spotify-integrasjon tilgjengelig.</t>
        </is>
      </c>
      <c r="E135" t="inlineStr">
        <is>
          <t>SRC_BIL24_ATTO3</t>
        </is>
      </c>
      <c r="F135" t="inlineStr">
        <is>
          <t>MEDIUM</t>
        </is>
      </c>
    </row>
    <row r="136">
      <c r="A136" t="inlineStr">
        <is>
          <t>EV_000135</t>
        </is>
      </c>
      <c r="B136" t="inlineStr">
        <is>
          <t>BYD_ATTO3</t>
        </is>
      </c>
      <c r="D136" t="inlineStr">
        <is>
          <t>15,6 tommers skjerm (Design) beskrevet som stor og svært tydelig, kan roteres 90 grader.</t>
        </is>
      </c>
      <c r="E136" t="inlineStr">
        <is>
          <t>SRC_FORMELE_ATTO3_DESIGN</t>
        </is>
      </c>
      <c r="F136" t="inlineStr">
        <is>
          <t>MEDIUM</t>
        </is>
      </c>
    </row>
    <row r="137">
      <c r="A137" t="inlineStr">
        <is>
          <t>EV_000136</t>
        </is>
      </c>
      <c r="B137" t="inlineStr">
        <is>
          <t>BYD_ATTO3</t>
        </is>
      </c>
      <c r="D137" t="inlineStr">
        <is>
          <t>OTA-oppdateringsmulighet fremhevet som en tydelig fordel - gjør bilen attraktiv for tredjeparts appleverandører.</t>
        </is>
      </c>
      <c r="E137" t="inlineStr">
        <is>
          <t>SRC_BIL24_ATTO3</t>
        </is>
      </c>
      <c r="F137" t="inlineStr">
        <is>
          <t>MEDIUM</t>
        </is>
      </c>
    </row>
    <row r="138">
      <c r="A138" t="inlineStr">
        <is>
          <t>EV_000137</t>
        </is>
      </c>
      <c r="B138" t="inlineStr">
        <is>
          <t>BYD_ATTO3</t>
        </is>
      </c>
      <c r="D138" t="inlineStr">
        <is>
          <t>Apple CarPlay var kun kablet ved lansering; trådløs CarPlay ble lagt til via en OTA-oppdatering (V1.8.0) 2. juli 2024. Android Auto har vært tilgjengelig trådløst fra start.</t>
        </is>
      </c>
      <c r="E138" t="inlineStr">
        <is>
          <t>SRC_CAREXPERT_ATTO3_CARPLAY</t>
        </is>
      </c>
      <c r="F138" t="inlineStr">
        <is>
          <t>MEDIUM</t>
        </is>
      </c>
    </row>
    <row r="139">
      <c r="A139" t="inlineStr">
        <is>
          <t>EV_000138</t>
        </is>
      </c>
      <c r="B139" t="inlineStr">
        <is>
          <t>BYD_ATTO3</t>
        </is>
      </c>
      <c r="D139" t="inlineStr">
        <is>
          <t>Design-testbil beskrevet som 'well-built, well-composed and modern' med et 'appealing design'; ratt i vegansk lær.</t>
        </is>
      </c>
      <c r="E139" t="inlineStr">
        <is>
          <t>SRC_FORMELE_ATTO3_DESIGN</t>
        </is>
      </c>
      <c r="F139" t="inlineStr">
        <is>
          <t>MEDIUM</t>
        </is>
      </c>
    </row>
    <row r="140">
      <c r="A140" t="inlineStr">
        <is>
          <t>EV_000139</t>
        </is>
      </c>
      <c r="B140" t="inlineStr">
        <is>
          <t>BYD_ATTO3</t>
        </is>
      </c>
      <c r="D140" t="inlineStr">
        <is>
          <t>Interiøret beskrives som overraskende lekent, 'både i former og i farge' - ikke et tradisjonelt/nøytralt SUV-interiør.</t>
        </is>
      </c>
      <c r="E140" t="inlineStr">
        <is>
          <t>SRC_BIL24_ATTO3</t>
        </is>
      </c>
      <c r="F140" t="inlineStr">
        <is>
          <t>MEDIUM</t>
        </is>
      </c>
    </row>
    <row r="141">
      <c r="A141" t="inlineStr">
        <is>
          <t>EV_000140</t>
        </is>
      </c>
      <c r="B141" t="inlineStr">
        <is>
          <t>BYD_ATTO3</t>
        </is>
      </c>
      <c r="D141" t="inlineStr">
        <is>
          <t>Førermiljø: setet mangler lengde- og helningsjustering (risiko for enkelte kroppsstørrelser), stort armlene, og begrenset hodehøyde for høye passasjerer under panoramataket. Seterygg med to varmenivåer.</t>
        </is>
      </c>
      <c r="E141" t="inlineStr">
        <is>
          <t>SRC_BIL24_ATTO3</t>
        </is>
      </c>
      <c r="F141" t="inlineStr">
        <is>
          <t>MEDIUM</t>
        </is>
      </c>
    </row>
    <row r="142">
      <c r="A142" t="inlineStr">
        <is>
          <t>EV_000141</t>
        </is>
      </c>
      <c r="B142" t="inlineStr">
        <is>
          <t>BYD_ATTO3</t>
        </is>
      </c>
      <c r="D142" t="inlineStr">
        <is>
          <t>Bakdørhåndtak i 'gitarstreng'-design beskrevet som artig, men potensielt problematisk med barn i baksetet. Girspaken beskrevet som 'artig'. Enkelte menystrukturer ikke intuitive. Ingen rattvarme.</t>
        </is>
      </c>
      <c r="E142" t="inlineStr">
        <is>
          <t>SRC_BIL24_ATTO3</t>
        </is>
      </c>
      <c r="F142" t="inlineStr">
        <is>
          <t>MEDIUM</t>
        </is>
      </c>
    </row>
    <row r="143">
      <c r="A143" t="inlineStr">
        <is>
          <t>EV_000142</t>
        </is>
      </c>
      <c r="B143" t="inlineStr">
        <is>
          <t>BYD_ATTO3</t>
        </is>
      </c>
      <c r="D143" t="inlineStr">
        <is>
          <t>Offisiell garanti: 6 år/150 000 km generell garanti, 8 år/250 000 km batterigaranti (SOH&gt;=70%), 12 år rustgaranti, 8 år/150 000 km drivmotorgaranti.</t>
        </is>
      </c>
      <c r="E143" t="inlineStr">
        <is>
          <t>SRC_BYD_WARRANTY_NO</t>
        </is>
      </c>
      <c r="F143" t="inlineStr">
        <is>
          <t>HIGH</t>
        </is>
      </c>
    </row>
    <row r="144">
      <c r="A144" t="inlineStr">
        <is>
          <t>EV_000143</t>
        </is>
      </c>
      <c r="B144" t="inlineStr">
        <is>
          <t>BYD_ATTO3</t>
        </is>
      </c>
      <c r="D144" t="inlineStr">
        <is>
          <t>440 liter bagasjerom, 60/40 delt bakseterygg med trekkstropper for nedfelling, to romslige sidekott, flatt gulv fremhevet som en praktisk fordel.</t>
        </is>
      </c>
      <c r="E144" t="inlineStr">
        <is>
          <t>SRC_BIL24_ATTO3</t>
        </is>
      </c>
      <c r="F144" t="inlineStr">
        <is>
          <t>MEDIUM</t>
        </is>
      </c>
    </row>
    <row r="145">
      <c r="A145" t="inlineStr">
        <is>
          <t>EV_000144</t>
        </is>
      </c>
      <c r="B145" t="inlineStr">
        <is>
          <t>BYD_ATTO3</t>
        </is>
      </c>
      <c r="D145" t="inlineStr">
        <is>
          <t>Reviewer stiller åpent spørsmål ved verdien for en forhjulsdrevet 5-seters SUV til ~380-423 000 kr avhengig av utstyrsnivå/opsjoner: 'Det er kanskje det?' - ambivalent, ikke en sterk anbefaling.</t>
        </is>
      </c>
      <c r="E145" t="inlineStr">
        <is>
          <t>SRC_BIL24_ATTO3</t>
        </is>
      </c>
      <c r="F145" t="inlineStr">
        <is>
          <t>MEDIUM</t>
        </is>
      </c>
    </row>
    <row r="146">
      <c r="A146" t="inlineStr">
        <is>
          <t>EV_000145</t>
        </is>
      </c>
      <c r="B146" t="inlineStr">
        <is>
          <t>BYD_ATTO3</t>
        </is>
      </c>
      <c r="D146" t="inlineStr">
        <is>
          <t>Atto 3 har vært til salgs i Norge siden minst 2023 (jf. datert NAF-test av Comfort 2023) med flere uavhengige testrunder over tid (elbil.no, bil24.no, formele.dk, NAF) - reell modellspesifikk historikk, ikke kun merke-fallback.</t>
        </is>
      </c>
      <c r="E146" t="inlineStr">
        <is>
          <t>SRC_NAF_BILGUIDEN_ATTO3</t>
        </is>
      </c>
      <c r="F146" t="inlineStr">
        <is>
          <t>MEDIUM</t>
        </is>
      </c>
    </row>
    <row r="147">
      <c r="A147" t="inlineStr">
        <is>
          <t>EV_000146</t>
        </is>
      </c>
      <c r="B147" t="inlineStr">
        <is>
          <t>BYD_ATTO3</t>
        </is>
      </c>
      <c r="D147" t="inlineStr">
        <is>
          <t>Offisiell lengde 4455mm gir 45mm margin til 4500mm-grensen - en reell, men moderat margin (trangere enn Kia EV2s 435mm, romsligere enn Skoda Elroqs 12mm).</t>
        </is>
      </c>
      <c r="E147" t="inlineStr">
        <is>
          <t>SRC_EVDATABASE_ATTO3</t>
        </is>
      </c>
      <c r="F147" t="inlineStr">
        <is>
          <t>MEDIUM</t>
        </is>
      </c>
    </row>
    <row r="148">
      <c r="A148" t="inlineStr">
        <is>
          <t>EV_000147</t>
        </is>
      </c>
      <c r="B148" t="inlineStr">
        <is>
          <t>BYD_ATTO3</t>
        </is>
      </c>
      <c r="D148" t="inlineStr">
        <is>
          <t>DC-lading 80kW (produsentoppgitt) / 90kW (NAF-målt) og AC 11kW - under nivået til mange 2026-konkurrenter (ofte 150-220kW DC), men lavt vektet kriterium.</t>
        </is>
      </c>
      <c r="E148" t="inlineStr">
        <is>
          <t>SRC_BYD_NO_ATTO3</t>
        </is>
      </c>
      <c r="F148" t="inlineStr">
        <is>
          <t>MEDIUM</t>
        </is>
      </c>
    </row>
    <row r="149">
      <c r="A149" t="inlineStr">
        <is>
          <t>EV_000148</t>
        </is>
      </c>
      <c r="C149" t="inlineStr">
        <is>
          <t>VOLVO_EX30_P5_LONG_RANGE</t>
        </is>
      </c>
      <c r="D149" t="inlineStr">
        <is>
          <t>Ladeegenskaper/rekkevidde: Offisiell Volvo-spesifikasjon for P5 Long Range: 175 kW DC-hurtiglading (samme som P8 AWD), 475 km WLTP-rekkevidde og 17 kWh/100km forbruk - noe lengre rekkevidde og lavere forbruk enn P8 AWD (450 km / 17,5 kWh/100km), som forventet for en enmotors bakhjulsdrevet konfigurasjon.</t>
        </is>
      </c>
      <c r="E149" t="inlineStr">
        <is>
          <t>SRC_VOLVO_NO_EX30_SPECS</t>
        </is>
      </c>
      <c r="F149" t="inlineStr">
        <is>
          <t>MEDIUM</t>
        </is>
      </c>
    </row>
    <row r="150">
      <c r="A150" t="inlineStr">
        <is>
          <t>EV_000149</t>
        </is>
      </c>
      <c r="C150" t="inlineStr">
        <is>
          <t>VOLVO_EX30_P5_LONG_RANGE</t>
        </is>
      </c>
      <c r="D150" t="inlineStr">
        <is>
          <t>Price positioning: 437900 kr incl. VAT/fees (official Volvo specification page) for P5 Long Range, 475km WLTP range and 17 kWh/100km consumption - still the highest price of the six configurations compared, but without the dual-motor/performance premium that applied to P8 AWD (this is a single-motor RWD configuration).</t>
        </is>
      </c>
      <c r="E150" t="inlineStr">
        <is>
          <t>SRC_VOLVO_NO_EX30_SPECS</t>
        </is>
      </c>
      <c r="F150"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9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NVH/støydemping, fjæring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CarPlay-støtte på Tesla-kjøretøy,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fjæring/komfort,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kupestøy (hjulstøy), fjæring,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kupestøy, fjæring, rattbetjening, infotainment, og førerassistenter på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2026-07-07</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 Re-verified 2026-07-07 (user opened the live page directly): the page displays "Totalpris 389 900 kr inkl. mva" for this exact GT Line configuration (no optional extras beyond the GT Line package itself). This total was not cross-checked against this same source when BasePrice/ConfiguredPrice were first recorded (2026-07-06) - an internal component sum from a separate dealer-quote document (251655+94762=346417) was used instead, without reconciling it against the total already shown on this cited page. The 389900kr figure directly from this source is now treated as authoritative for BasePrice/ConfiguredPrice.</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fjæring/komfort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row r="89">
      <c r="A89" t="inlineStr">
        <is>
          <t>SRC_BYD_NO_ATTO3</t>
        </is>
      </c>
      <c r="B89" t="inlineStr">
        <is>
          <t>MANUFACTURER</t>
        </is>
      </c>
      <c r="C89" t="inlineStr">
        <is>
          <t>Atto3 | Opplev din neste BYD idag</t>
        </is>
      </c>
      <c r="D89" t="inlineStr">
        <is>
          <t>BYD Norge</t>
        </is>
      </c>
      <c r="E89" t="inlineStr">
        <is>
          <t>https://byd.no/modeller/atto3</t>
        </is>
      </c>
      <c r="G89" t="inlineStr">
        <is>
          <t>2026-07-07</t>
        </is>
      </c>
      <c r="H89" t="inlineStr">
        <is>
          <t>Offisiell BYD Norge modellside for Atto 3 (Comfort/Design-nivå, 60 kWh/420 km WLTP). Ikke å forveksle med det separat markedsførte EVO 4x4 (byd.no/modeller/evo-4x4).</t>
        </is>
      </c>
      <c r="I89" t="inlineStr">
        <is>
          <t>NB</t>
        </is>
      </c>
    </row>
    <row r="90">
      <c r="A90" t="inlineStr">
        <is>
          <t>SRC_EVDATABASE_ATTO3</t>
        </is>
      </c>
      <c r="B90" t="inlineStr">
        <is>
          <t>DATABASE</t>
        </is>
      </c>
      <c r="C90" t="inlineStr">
        <is>
          <t>BYD ATTO 3 (MY23-24) (2022-2025) price and specifications</t>
        </is>
      </c>
      <c r="D90" t="inlineStr">
        <is>
          <t>EV Database</t>
        </is>
      </c>
      <c r="E90" t="inlineStr">
        <is>
          <t>https://ev-database.org/car/1782/BYD-ATTO-3</t>
        </is>
      </c>
      <c r="G90" t="inlineStr">
        <is>
          <t>2026-07-07</t>
        </is>
      </c>
      <c r="H90" t="inlineStr">
        <is>
          <t>Tredjeparts spesifikasjonsdatabase; brukt for lengde/bredde/høyde/motoreffekt/dreiemoment/toppfart som ikke er oppgitt på byd.no.</t>
        </is>
      </c>
      <c r="I90" t="inlineStr">
        <is>
          <t>EN</t>
        </is>
      </c>
    </row>
    <row r="91">
      <c r="A91" t="inlineStr">
        <is>
          <t>SRC_NAF_BILGUIDEN_ATTO3</t>
        </is>
      </c>
      <c r="B91" t="inlineStr">
        <is>
          <t>PROFESSIONAL_REVIEW</t>
        </is>
      </c>
      <c r="C91" t="inlineStr">
        <is>
          <t>BYD Atto 3 - pris, rekkevidde og tester</t>
        </is>
      </c>
      <c r="D91" t="inlineStr">
        <is>
          <t>NAF</t>
        </is>
      </c>
      <c r="E91" t="inlineStr">
        <is>
          <t>https://www.naf.no/bilguiden/bilmodell/byd-atto-3</t>
        </is>
      </c>
      <c r="G91" t="inlineStr">
        <is>
          <t>2026-07-07</t>
        </is>
      </c>
      <c r="H91" t="inlineStr">
        <is>
          <t>NAFs egen testside viser kun sommertest 2023-resultater (ladetest, egenvekt); ingen vintertest-rekkevidde er publisert her, til tross for at et søkemotor-sammendrag hevdet et 311 km-tall som ikke lot seg bekrefte ved direkte henting av siden.</t>
        </is>
      </c>
      <c r="I91" t="inlineStr">
        <is>
          <t>NB</t>
        </is>
      </c>
    </row>
    <row r="92">
      <c r="A92" t="inlineStr">
        <is>
          <t>SRC_BIL24_ATTO3</t>
        </is>
      </c>
      <c r="B92" t="inlineStr">
        <is>
          <t>PROFESSIONAL_REVIEW</t>
        </is>
      </c>
      <c r="C92" t="inlineStr">
        <is>
          <t>Vi har testet BYD Atto 3</t>
        </is>
      </c>
      <c r="D92" t="inlineStr">
        <is>
          <t>Bil24</t>
        </is>
      </c>
      <c r="E92" t="inlineStr">
        <is>
          <t>https://bil24.no/vi-har-testet-byd-atto-3</t>
        </is>
      </c>
      <c r="G92" t="inlineStr">
        <is>
          <t>2026-07-07</t>
        </is>
      </c>
      <c r="H92" t="inlineStr">
        <is>
          <t>Norsk redaksjonell test, 350 km kjørt. Testbil er Comfort-basert (pris ~423 000 kr inkl. vinterhjul/metallic/ladekabel), men deler karosseri/fjæring/infotainment/kamerasystem med Design - kun skjermstørrelse, bakluke og ambientbelysning skiller nivåene.</t>
        </is>
      </c>
      <c r="I92" t="inlineStr">
        <is>
          <t>NB</t>
        </is>
      </c>
    </row>
    <row r="93">
      <c r="A93" t="inlineStr">
        <is>
          <t>SRC_FORMELE_ATTO3_DESIGN</t>
        </is>
      </c>
      <c r="B93" t="inlineStr">
        <is>
          <t>PROFESSIONAL_REVIEW</t>
        </is>
      </c>
      <c r="C93" t="inlineStr">
        <is>
          <t>BYD Atto 3 Design - biltest</t>
        </is>
      </c>
      <c r="D93" t="inlineStr">
        <is>
          <t>Formel E (Danmark)</t>
        </is>
      </c>
      <c r="E93" t="inlineStr">
        <is>
          <t>https://formele.dk/index.php/el-biler/biltest-provekorsler/byd-test/383-byd-atto-3-design-biltest</t>
        </is>
      </c>
      <c r="G93" t="inlineStr">
        <is>
          <t>2026-07-07</t>
        </is>
      </c>
      <c r="H93" t="inlineStr">
        <is>
          <t>Dansk test spesifikt på Design-utstyrsnivå - direkte anvendelig på den norske Design-konfigurasjonen.</t>
        </is>
      </c>
      <c r="I93" t="inlineStr">
        <is>
          <t>OTHER</t>
        </is>
      </c>
    </row>
    <row r="94">
      <c r="A94" t="inlineStr">
        <is>
          <t>SRC_EVPARTS4X4_ATTO3</t>
        </is>
      </c>
      <c r="B94" t="inlineStr">
        <is>
          <t>COMMUNITY</t>
        </is>
      </c>
      <c r="C94" t="inlineStr">
        <is>
          <t>BYD Atto 3 Common Problems, Fixes &amp; Reliability (2026 update)</t>
        </is>
      </c>
      <c r="D94" t="inlineStr">
        <is>
          <t>EVparts4x4</t>
        </is>
      </c>
      <c r="E94" t="inlineStr">
        <is>
          <t>https://evparts4x4.com/blogs/news/byd-atto-3-common-problems-2026-update</t>
        </is>
      </c>
      <c r="G94" t="inlineStr">
        <is>
          <t>2026-07-07</t>
        </is>
      </c>
      <c r="H94" t="inlineStr">
        <is>
          <t>Sammenstilling av eierrapporterte problemer, ikke en profesjonell redaksjonell test - vektet lavere/supplerende, ikke som eneste kilde for W008.</t>
        </is>
      </c>
      <c r="I94" t="inlineStr">
        <is>
          <t>EN</t>
        </is>
      </c>
    </row>
    <row r="95">
      <c r="A95" t="inlineStr">
        <is>
          <t>SRC_CAREXPERT_ATTO3_CARPLAY</t>
        </is>
      </c>
      <c r="B95" t="inlineStr">
        <is>
          <t>OTHER</t>
        </is>
      </c>
      <c r="C95" t="inlineStr">
        <is>
          <t>BYD Atto 3, Seal, Dolphin gain wireless Apple CarPlay</t>
        </is>
      </c>
      <c r="D95" t="inlineStr">
        <is>
          <t>CarExpert</t>
        </is>
      </c>
      <c r="E95" t="inlineStr">
        <is>
          <t>https://www.carexpert.com.au/car-news/byd-atto-3-seal-dolphin-gain-wireless-apple-carplay</t>
        </is>
      </c>
      <c r="F95" t="inlineStr">
        <is>
          <t>2024-07-02</t>
        </is>
      </c>
      <c r="G95" t="inlineStr">
        <is>
          <t>2026-07-07</t>
        </is>
      </c>
      <c r="H95" t="inlineStr">
        <is>
          <t>Bekrefter trådløs CarPlay ankom via OTA-oppdatering (V1.8.0, 2. juli 2024) - før dette kun kablet CarPlay.</t>
        </is>
      </c>
      <c r="I95" t="inlineStr">
        <is>
          <t>EN</t>
        </is>
      </c>
    </row>
    <row r="96">
      <c r="A96" t="inlineStr">
        <is>
          <t>SRC_BYD_WARRANTY_NO</t>
        </is>
      </c>
      <c r="B96" t="inlineStr">
        <is>
          <t>MANUFACTURER</t>
        </is>
      </c>
      <c r="C96" t="inlineStr">
        <is>
          <t>Håndbok for begrenset garanti</t>
        </is>
      </c>
      <c r="D96" t="inlineStr">
        <is>
          <t>BYD</t>
        </is>
      </c>
      <c r="E96" t="inlineStr">
        <is>
          <t>https://www.byd.com/material/byd-site/eu/support/service/warranty/20251021/BYDH%C3%A5ndbok%20for%20begrenset%20garanti-NO.pdf</t>
        </is>
      </c>
      <c r="G96" t="inlineStr">
        <is>
          <t>2026-07-07</t>
        </is>
      </c>
      <c r="H96" t="inlineStr">
        <is>
          <t>Offisiell norsk garantihåndbok: 6 år/150 000 km generell, 8 år/250 000 km batteri (SOH&gt;=70%), 12 år rust, 8 år/150 000 km drivmotor.</t>
        </is>
      </c>
      <c r="I96" t="inlineStr">
        <is>
          <t>NB</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VOLVO_EX30_P5_LONG_RANGE</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VOLVO_EX30_P5_LONG_RANGE</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VOLVO_EX30_P5_LONG_RANGE</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VOLVO_EX30_P5_LONG_RANGE</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VOLVO_EX30_P5_LONG_RANGE</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VOLVO_EX30_P5_LONG_RANGE</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VOLVO_EX30_P5_LONG_RANGE</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VOLVO_EX30_P5_LONG_RANGE</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VOLVO_EX30_P5_LONG_RANGE</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VOLVO_EX30_P5_LONG_RANGE</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VOLVO_EX30_P5_LONG_RANGE</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VOLVO_EX30_P5_LONG_RANGE</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VOLVO_EX30_P5_LONG_RANGE</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VOLVO_EX30_P5_LONG_RANGE</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VOLVO_EX30_P5_LONG_RANGE</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VOLVO_EX30_P5_LONG_RANGE</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VOLVO_EX30_P5_LONG_RANGE</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VOLVO_EX30_P5_LONG_RANGE</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VOLVO_EX30_P5_LONG_RANGE</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VOLVO_EX30_P5_LONG_RANGE</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row r="102">
      <c r="A102" t="inlineStr">
        <is>
          <t>SCORE_000102</t>
        </is>
      </c>
      <c r="B102" t="inlineStr">
        <is>
          <t>BYD_ATTO3_DESIGN</t>
        </is>
      </c>
      <c r="C102" t="inlineStr">
        <is>
          <t>W001</t>
        </is>
      </c>
      <c r="D102" t="inlineStr">
        <is>
          <t>REV_000101</t>
        </is>
      </c>
      <c r="E102" t="inlineStr">
        <is>
          <t>1.8</t>
        </is>
      </c>
      <c r="F102">
        <f>ROUND(INDEX('07_Reviews'!$E:$E,MATCH(D102,'07_Reviews'!$A:$A,0))/5*100,2)</f>
        <v/>
      </c>
      <c r="G102">
        <f>ROUND(F102*INDEX('01_Criteria'!$F:$F,MATCH(C102,'01_Criteria'!$A:$A,0))/100,2)</f>
        <v/>
      </c>
      <c r="H102" t="inlineStr">
        <is>
          <t>Review score 3/5 (normalized RawScore = 60.0/100 on a documented 1-5 scale, since the framework does not prescribe a numeric scale). Traceable to REV_000101 -&gt; supporting Evidence -&gt; cited Source.</t>
        </is>
      </c>
    </row>
    <row r="103">
      <c r="A103" t="inlineStr">
        <is>
          <t>SCORE_000103</t>
        </is>
      </c>
      <c r="B103" t="inlineStr">
        <is>
          <t>BYD_ATTO3_DESIGN</t>
        </is>
      </c>
      <c r="C103" t="inlineStr">
        <is>
          <t>W002</t>
        </is>
      </c>
      <c r="D103" t="inlineStr">
        <is>
          <t>REV_000102</t>
        </is>
      </c>
      <c r="E103" t="inlineStr">
        <is>
          <t>1.8</t>
        </is>
      </c>
      <c r="F103">
        <f>ROUND(INDEX('07_Reviews'!$E:$E,MATCH(D103,'07_Reviews'!$A:$A,0))/5*100,2)</f>
        <v/>
      </c>
      <c r="G103">
        <f>ROUND(F103*INDEX('01_Criteria'!$F:$F,MATCH(C103,'01_Criteria'!$A:$A,0))/100,2)</f>
        <v/>
      </c>
      <c r="H103" t="inlineStr">
        <is>
          <t>Review score 4/5 (normalized RawScore = 80.0/100 on a documented 1-5 scale, since the framework does not prescribe a numeric scale). Traceable to REV_000102 -&gt; supporting Evidence -&gt; cited Source.</t>
        </is>
      </c>
    </row>
    <row r="104">
      <c r="A104" t="inlineStr">
        <is>
          <t>SCORE_000104</t>
        </is>
      </c>
      <c r="B104" t="inlineStr">
        <is>
          <t>BYD_ATTO3_DESIGN</t>
        </is>
      </c>
      <c r="C104" t="inlineStr">
        <is>
          <t>W003</t>
        </is>
      </c>
      <c r="D104" t="inlineStr">
        <is>
          <t>REV_000103</t>
        </is>
      </c>
      <c r="E104" t="inlineStr">
        <is>
          <t>1.8</t>
        </is>
      </c>
      <c r="F104">
        <f>ROUND(INDEX('07_Reviews'!$E:$E,MATCH(D104,'07_Reviews'!$A:$A,0))/5*100,2)</f>
        <v/>
      </c>
      <c r="G104">
        <f>ROUND(F104*INDEX('01_Criteria'!$F:$F,MATCH(C104,'01_Criteria'!$A:$A,0))/100,2)</f>
        <v/>
      </c>
      <c r="H104" t="inlineStr">
        <is>
          <t>Review score 4/5 (normalized RawScore = 80.0/100 on a documented 1-5 scale, since the framework does not prescribe a numeric scale). Traceable to REV_000103 -&gt; supporting Evidence -&gt; cited Source.</t>
        </is>
      </c>
    </row>
    <row r="105">
      <c r="A105" t="inlineStr">
        <is>
          <t>SCORE_000105</t>
        </is>
      </c>
      <c r="B105" t="inlineStr">
        <is>
          <t>BYD_ATTO3_DESIGN</t>
        </is>
      </c>
      <c r="C105" t="inlineStr">
        <is>
          <t>W004</t>
        </is>
      </c>
      <c r="D105" t="inlineStr">
        <is>
          <t>REV_000104</t>
        </is>
      </c>
      <c r="E105" t="inlineStr">
        <is>
          <t>1.8</t>
        </is>
      </c>
      <c r="F105">
        <f>ROUND(INDEX('07_Reviews'!$E:$E,MATCH(D105,'07_Reviews'!$A:$A,0))/5*100,2)</f>
        <v/>
      </c>
      <c r="G105">
        <f>ROUND(F105*INDEX('01_Criteria'!$F:$F,MATCH(C105,'01_Criteria'!$A:$A,0))/100,2)</f>
        <v/>
      </c>
      <c r="H105" t="inlineStr">
        <is>
          <t>Review score 3/5 (normalized RawScore = 60.0/100 on a documented 1-5 scale, since the framework does not prescribe a numeric scale). Traceable to REV_000104 -&gt; supporting Evidence -&gt; cited Source.</t>
        </is>
      </c>
    </row>
    <row r="106">
      <c r="A106" t="inlineStr">
        <is>
          <t>SCORE_000106</t>
        </is>
      </c>
      <c r="B106" t="inlineStr">
        <is>
          <t>BYD_ATTO3_DESIGN</t>
        </is>
      </c>
      <c r="C106" t="inlineStr">
        <is>
          <t>W005</t>
        </is>
      </c>
      <c r="D106" t="inlineStr">
        <is>
          <t>REV_000105</t>
        </is>
      </c>
      <c r="E106" t="inlineStr">
        <is>
          <t>1.8</t>
        </is>
      </c>
      <c r="F106">
        <f>ROUND(INDEX('07_Reviews'!$E:$E,MATCH(D106,'07_Reviews'!$A:$A,0))/5*100,2)</f>
        <v/>
      </c>
      <c r="G106">
        <f>ROUND(F106*INDEX('01_Criteria'!$F:$F,MATCH(C106,'01_Criteria'!$A:$A,0))/100,2)</f>
        <v/>
      </c>
      <c r="H106" t="inlineStr">
        <is>
          <t>Review score 3/5 (normalized RawScore = 60.0/100 on a documented 1-5 scale, since the framework does not prescribe a numeric scale). Traceable to REV_000105 -&gt; supporting Evidence -&gt; cited Source.</t>
        </is>
      </c>
    </row>
    <row r="107">
      <c r="A107" t="inlineStr">
        <is>
          <t>SCORE_000107</t>
        </is>
      </c>
      <c r="B107" t="inlineStr">
        <is>
          <t>BYD_ATTO3_DESIGN</t>
        </is>
      </c>
      <c r="C107" t="inlineStr">
        <is>
          <t>W006</t>
        </is>
      </c>
      <c r="D107" t="inlineStr">
        <is>
          <t>REV_000106</t>
        </is>
      </c>
      <c r="E107" t="inlineStr">
        <is>
          <t>1.8</t>
        </is>
      </c>
      <c r="F107">
        <f>ROUND(INDEX('07_Reviews'!$E:$E,MATCH(D107,'07_Reviews'!$A:$A,0))/5*100,2)</f>
        <v/>
      </c>
      <c r="G107">
        <f>ROUND(F107*INDEX('01_Criteria'!$F:$F,MATCH(C107,'01_Criteria'!$A:$A,0))/100,2)</f>
        <v/>
      </c>
      <c r="H107" t="inlineStr">
        <is>
          <t>Review score 4/5 (normalized RawScore = 80.0/100 on a documented 1-5 scale, since the framework does not prescribe a numeric scale). Traceable to REV_000106 -&gt; supporting Evidence -&gt; cited Source.</t>
        </is>
      </c>
    </row>
    <row r="108">
      <c r="A108" t="inlineStr">
        <is>
          <t>SCORE_000108</t>
        </is>
      </c>
      <c r="B108" t="inlineStr">
        <is>
          <t>BYD_ATTO3_DESIGN</t>
        </is>
      </c>
      <c r="C108" t="inlineStr">
        <is>
          <t>W007</t>
        </is>
      </c>
      <c r="D108" t="inlineStr">
        <is>
          <t>REV_000107</t>
        </is>
      </c>
      <c r="E108" t="inlineStr">
        <is>
          <t>1.8</t>
        </is>
      </c>
      <c r="F108">
        <f>ROUND(INDEX('07_Reviews'!$E:$E,MATCH(D108,'07_Reviews'!$A:$A,0))/5*100,2)</f>
        <v/>
      </c>
      <c r="G108">
        <f>ROUND(F108*INDEX('01_Criteria'!$F:$F,MATCH(C108,'01_Criteria'!$A:$A,0))/100,2)</f>
        <v/>
      </c>
      <c r="H108" t="inlineStr">
        <is>
          <t>Review score 3/5 (normalized RawScore = 60.0/100 on a documented 1-5 scale, since the framework does not prescribe a numeric scale). Traceable to REV_000107 -&gt; supporting Evidence -&gt; cited Source.</t>
        </is>
      </c>
    </row>
    <row r="109">
      <c r="A109" t="inlineStr">
        <is>
          <t>SCORE_000109</t>
        </is>
      </c>
      <c r="B109" t="inlineStr">
        <is>
          <t>BYD_ATTO3_DESIGN</t>
        </is>
      </c>
      <c r="C109" t="inlineStr">
        <is>
          <t>W008</t>
        </is>
      </c>
      <c r="D109" t="inlineStr">
        <is>
          <t>REV_000108</t>
        </is>
      </c>
      <c r="E109" t="inlineStr">
        <is>
          <t>1.8</t>
        </is>
      </c>
      <c r="F109">
        <f>ROUND(INDEX('07_Reviews'!$E:$E,MATCH(D109,'07_Reviews'!$A:$A,0))/5*100,2)</f>
        <v/>
      </c>
      <c r="G109">
        <f>ROUND(F109*INDEX('01_Criteria'!$F:$F,MATCH(C109,'01_Criteria'!$A:$A,0))/100,2)</f>
        <v/>
      </c>
      <c r="H109" t="inlineStr">
        <is>
          <t>Review score 2/5 (normalized RawScore = 40.0/100 on a documented 1-5 scale, since the framework does not prescribe a numeric scale). Traceable to REV_000108 -&gt; supporting Evidence -&gt; cited Source.</t>
        </is>
      </c>
    </row>
    <row r="110">
      <c r="A110" t="inlineStr">
        <is>
          <t>SCORE_000110</t>
        </is>
      </c>
      <c r="B110" t="inlineStr">
        <is>
          <t>BYD_ATTO3_DESIGN</t>
        </is>
      </c>
      <c r="C110" t="inlineStr">
        <is>
          <t>W009</t>
        </is>
      </c>
      <c r="D110" t="inlineStr">
        <is>
          <t>REV_000109</t>
        </is>
      </c>
      <c r="E110" t="inlineStr">
        <is>
          <t>1.8</t>
        </is>
      </c>
      <c r="F110">
        <f>ROUND(INDEX('07_Reviews'!$E:$E,MATCH(D110,'07_Reviews'!$A:$A,0))/5*100,2)</f>
        <v/>
      </c>
      <c r="G110">
        <f>ROUND(F110*INDEX('01_Criteria'!$F:$F,MATCH(C110,'01_Criteria'!$A:$A,0))/100,2)</f>
        <v/>
      </c>
      <c r="H110" t="inlineStr">
        <is>
          <t>Review score 5/5 (normalized RawScore = 100.0/100 on a documented 1-5 scale, since the framework does not prescribe a numeric scale). Traceable to REV_000109 -&gt; supporting Evidence -&gt; cited Source.</t>
        </is>
      </c>
    </row>
    <row r="111">
      <c r="A111" t="inlineStr">
        <is>
          <t>SCORE_000111</t>
        </is>
      </c>
      <c r="B111" t="inlineStr">
        <is>
          <t>BYD_ATTO3_DESIGN</t>
        </is>
      </c>
      <c r="C111" t="inlineStr">
        <is>
          <t>W010</t>
        </is>
      </c>
      <c r="D111" t="inlineStr">
        <is>
          <t>REV_000110</t>
        </is>
      </c>
      <c r="E111" t="inlineStr">
        <is>
          <t>1.8</t>
        </is>
      </c>
      <c r="F111">
        <f>ROUND(INDEX('07_Reviews'!$E:$E,MATCH(D111,'07_Reviews'!$A:$A,0))/5*100,2)</f>
        <v/>
      </c>
      <c r="G111">
        <f>ROUND(F111*INDEX('01_Criteria'!$F:$F,MATCH(C111,'01_Criteria'!$A:$A,0))/100,2)</f>
        <v/>
      </c>
      <c r="H111" t="inlineStr">
        <is>
          <t>Review score 4/5 (normalized RawScore = 80.0/100 on a documented 1-5 scale, since the framework does not prescribe a numeric scale). Traceable to REV_000110 -&gt; supporting Evidence -&gt; cited Source.</t>
        </is>
      </c>
    </row>
    <row r="112">
      <c r="A112" t="inlineStr">
        <is>
          <t>SCORE_000112</t>
        </is>
      </c>
      <c r="B112" t="inlineStr">
        <is>
          <t>BYD_ATTO3_DESIGN</t>
        </is>
      </c>
      <c r="C112" t="inlineStr">
        <is>
          <t>W011</t>
        </is>
      </c>
      <c r="D112" t="inlineStr">
        <is>
          <t>REV_000111</t>
        </is>
      </c>
      <c r="E112" t="inlineStr">
        <is>
          <t>1.8</t>
        </is>
      </c>
      <c r="F112">
        <f>ROUND(INDEX('07_Reviews'!$E:$E,MATCH(D112,'07_Reviews'!$A:$A,0))/5*100,2)</f>
        <v/>
      </c>
      <c r="G112">
        <f>ROUND(F112*INDEX('01_Criteria'!$F:$F,MATCH(C112,'01_Criteria'!$A:$A,0))/100,2)</f>
        <v/>
      </c>
      <c r="H112" t="inlineStr">
        <is>
          <t>Review score 4/5 (normalized RawScore = 80.0/100 on a documented 1-5 scale, since the framework does not prescribe a numeric scale). Traceable to REV_000111 -&gt; supporting Evidence -&gt; cited Source.</t>
        </is>
      </c>
    </row>
    <row r="113">
      <c r="A113" t="inlineStr">
        <is>
          <t>SCORE_000113</t>
        </is>
      </c>
      <c r="B113" t="inlineStr">
        <is>
          <t>BYD_ATTO3_DESIGN</t>
        </is>
      </c>
      <c r="C113" t="inlineStr">
        <is>
          <t>W012</t>
        </is>
      </c>
      <c r="D113" t="inlineStr">
        <is>
          <t>REV_000112</t>
        </is>
      </c>
      <c r="E113" t="inlineStr">
        <is>
          <t>1.8</t>
        </is>
      </c>
      <c r="F113">
        <f>ROUND(INDEX('07_Reviews'!$E:$E,MATCH(D113,'07_Reviews'!$A:$A,0))/5*100,2)</f>
        <v/>
      </c>
      <c r="G113">
        <f>ROUND(F113*INDEX('01_Criteria'!$F:$F,MATCH(C113,'01_Criteria'!$A:$A,0))/100,2)</f>
        <v/>
      </c>
      <c r="H113" t="inlineStr">
        <is>
          <t>Review score 3/5 (normalized RawScore = 60.0/100 on a documented 1-5 scale, since the framework does not prescribe a numeric scale). Traceable to REV_000112 -&gt; supporting Evidence -&gt; cited Source.</t>
        </is>
      </c>
    </row>
    <row r="114">
      <c r="A114" t="inlineStr">
        <is>
          <t>SCORE_000114</t>
        </is>
      </c>
      <c r="B114" t="inlineStr">
        <is>
          <t>BYD_ATTO3_DESIGN</t>
        </is>
      </c>
      <c r="C114" t="inlineStr">
        <is>
          <t>W013</t>
        </is>
      </c>
      <c r="D114" t="inlineStr">
        <is>
          <t>REV_000113</t>
        </is>
      </c>
      <c r="E114" t="inlineStr">
        <is>
          <t>1.8</t>
        </is>
      </c>
      <c r="F114">
        <f>ROUND(INDEX('07_Reviews'!$E:$E,MATCH(D114,'07_Reviews'!$A:$A,0))/5*100,2)</f>
        <v/>
      </c>
      <c r="G114">
        <f>ROUND(F114*INDEX('01_Criteria'!$F:$F,MATCH(C114,'01_Criteria'!$A:$A,0))/100,2)</f>
        <v/>
      </c>
      <c r="H114" t="inlineStr">
        <is>
          <t>Review score 3/5 (normalized RawScore = 60.0/100 on a documented 1-5 scale, since the framework does not prescribe a numeric scale). Traceable to REV_000113 -&gt; supporting Evidence -&gt; cited Source.</t>
        </is>
      </c>
    </row>
    <row r="115">
      <c r="A115" t="inlineStr">
        <is>
          <t>SCORE_000115</t>
        </is>
      </c>
      <c r="B115" t="inlineStr">
        <is>
          <t>BYD_ATTO3_DESIGN</t>
        </is>
      </c>
      <c r="C115" t="inlineStr">
        <is>
          <t>W014</t>
        </is>
      </c>
      <c r="D115" t="inlineStr">
        <is>
          <t>REV_000114</t>
        </is>
      </c>
      <c r="E115" t="inlineStr">
        <is>
          <t>1.8</t>
        </is>
      </c>
      <c r="F115">
        <f>ROUND(INDEX('07_Reviews'!$E:$E,MATCH(D115,'07_Reviews'!$A:$A,0))/5*100,2)</f>
        <v/>
      </c>
      <c r="G115">
        <f>ROUND(F115*INDEX('01_Criteria'!$F:$F,MATCH(C115,'01_Criteria'!$A:$A,0))/100,2)</f>
        <v/>
      </c>
      <c r="H115" t="inlineStr">
        <is>
          <t>Review score 4/5 (normalized RawScore = 80.0/100 on a documented 1-5 scale, since the framework does not prescribe a numeric scale). Traceable to REV_000114 -&gt; supporting Evidence -&gt; cited Source.</t>
        </is>
      </c>
    </row>
    <row r="116">
      <c r="A116" t="inlineStr">
        <is>
          <t>SCORE_000116</t>
        </is>
      </c>
      <c r="B116" t="inlineStr">
        <is>
          <t>BYD_ATTO3_DESIGN</t>
        </is>
      </c>
      <c r="C116" t="inlineStr">
        <is>
          <t>W015</t>
        </is>
      </c>
      <c r="D116" t="inlineStr">
        <is>
          <t>REV_000115</t>
        </is>
      </c>
      <c r="E116" t="inlineStr">
        <is>
          <t>1.8</t>
        </is>
      </c>
      <c r="F116">
        <f>ROUND(INDEX('07_Reviews'!$E:$E,MATCH(D116,'07_Reviews'!$A:$A,0))/5*100,2)</f>
        <v/>
      </c>
      <c r="G116">
        <f>ROUND(F116*INDEX('01_Criteria'!$F:$F,MATCH(C116,'01_Criteria'!$A:$A,0))/100,2)</f>
        <v/>
      </c>
      <c r="H116" t="inlineStr">
        <is>
          <t>Review score 5/5 (normalized RawScore = 100.0/100 on a documented 1-5 scale, since the framework does not prescribe a numeric scale). Traceable to REV_000115 -&gt; supporting Evidence -&gt; cited Source.</t>
        </is>
      </c>
    </row>
    <row r="117">
      <c r="A117" t="inlineStr">
        <is>
          <t>SCORE_000117</t>
        </is>
      </c>
      <c r="B117" t="inlineStr">
        <is>
          <t>BYD_ATTO3_DESIGN</t>
        </is>
      </c>
      <c r="C117" t="inlineStr">
        <is>
          <t>W016</t>
        </is>
      </c>
      <c r="D117" t="inlineStr">
        <is>
          <t>REV_000116</t>
        </is>
      </c>
      <c r="E117" t="inlineStr">
        <is>
          <t>1.8</t>
        </is>
      </c>
      <c r="F117">
        <f>ROUND(INDEX('07_Reviews'!$E:$E,MATCH(D117,'07_Reviews'!$A:$A,0))/5*100,2)</f>
        <v/>
      </c>
      <c r="G117">
        <f>ROUND(F117*INDEX('01_Criteria'!$F:$F,MATCH(C117,'01_Criteria'!$A:$A,0))/100,2)</f>
        <v/>
      </c>
      <c r="H117" t="inlineStr">
        <is>
          <t>Review score 3/5 (normalized RawScore = 60.0/100 on a documented 1-5 scale, since the framework does not prescribe a numeric scale). Traceable to REV_000116 -&gt; supporting Evidence -&gt; cited Source.</t>
        </is>
      </c>
    </row>
    <row r="118">
      <c r="A118" t="inlineStr">
        <is>
          <t>SCORE_000118</t>
        </is>
      </c>
      <c r="B118" t="inlineStr">
        <is>
          <t>BYD_ATTO3_DESIGN</t>
        </is>
      </c>
      <c r="C118" t="inlineStr">
        <is>
          <t>W017</t>
        </is>
      </c>
      <c r="D118" t="inlineStr">
        <is>
          <t>REV_000117</t>
        </is>
      </c>
      <c r="E118" t="inlineStr">
        <is>
          <t>1.8</t>
        </is>
      </c>
      <c r="F118">
        <f>ROUND(INDEX('07_Reviews'!$E:$E,MATCH(D118,'07_Reviews'!$A:$A,0))/5*100,2)</f>
        <v/>
      </c>
      <c r="G118">
        <f>ROUND(F118*INDEX('01_Criteria'!$F:$F,MATCH(C118,'01_Criteria'!$A:$A,0))/100,2)</f>
        <v/>
      </c>
      <c r="H118" t="inlineStr">
        <is>
          <t>Review score 3/5 (normalized RawScore = 60.0/100 on a documented 1-5 scale, since the framework does not prescribe a numeric scale). Traceable to REV_000117 -&gt; supporting Evidence -&gt; cited Source.</t>
        </is>
      </c>
    </row>
    <row r="119">
      <c r="A119" t="inlineStr">
        <is>
          <t>SCORE_000119</t>
        </is>
      </c>
      <c r="B119" t="inlineStr">
        <is>
          <t>BYD_ATTO3_DESIGN</t>
        </is>
      </c>
      <c r="C119" t="inlineStr">
        <is>
          <t>W018</t>
        </is>
      </c>
      <c r="D119" t="inlineStr">
        <is>
          <t>REV_000118</t>
        </is>
      </c>
      <c r="E119" t="inlineStr">
        <is>
          <t>1.8</t>
        </is>
      </c>
      <c r="F119">
        <f>ROUND(INDEX('07_Reviews'!$E:$E,MATCH(D119,'07_Reviews'!$A:$A,0))/5*100,2)</f>
        <v/>
      </c>
      <c r="G119">
        <f>ROUND(F119*INDEX('01_Criteria'!$F:$F,MATCH(C119,'01_Criteria'!$A:$A,0))/100,2)</f>
        <v/>
      </c>
      <c r="H119" t="inlineStr">
        <is>
          <t>Review score 4/5 (normalized RawScore = 80.0/100 on a documented 1-5 scale, since the framework does not prescribe a numeric scale). Traceable to REV_000118 -&gt; supporting Evidence -&gt; cited Source.</t>
        </is>
      </c>
    </row>
    <row r="120">
      <c r="A120" t="inlineStr">
        <is>
          <t>SCORE_000120</t>
        </is>
      </c>
      <c r="B120" t="inlineStr">
        <is>
          <t>BYD_ATTO3_DESIGN</t>
        </is>
      </c>
      <c r="C120" t="inlineStr">
        <is>
          <t>W019</t>
        </is>
      </c>
      <c r="D120" t="inlineStr">
        <is>
          <t>REV_000119</t>
        </is>
      </c>
      <c r="E120" t="inlineStr">
        <is>
          <t>1.8</t>
        </is>
      </c>
      <c r="F120">
        <f>ROUND(INDEX('07_Reviews'!$E:$E,MATCH(D120,'07_Reviews'!$A:$A,0))/5*100,2)</f>
        <v/>
      </c>
      <c r="G120">
        <f>ROUND(F120*INDEX('01_Criteria'!$F:$F,MATCH(C120,'01_Criteria'!$A:$A,0))/100,2)</f>
        <v/>
      </c>
      <c r="H120" t="inlineStr">
        <is>
          <t>Review score 3/5 (normalized RawScore = 60.0/100 on a documented 1-5 scale, since the framework does not prescribe a numeric scale). Traceable to REV_000119 -&gt; supporting Evidence -&gt; cited Source.</t>
        </is>
      </c>
    </row>
    <row r="121">
      <c r="A121" t="inlineStr">
        <is>
          <t>SCORE_000121</t>
        </is>
      </c>
      <c r="B121" t="inlineStr">
        <is>
          <t>BYD_ATTO3_DESIGN</t>
        </is>
      </c>
      <c r="C121" t="inlineStr">
        <is>
          <t>W020</t>
        </is>
      </c>
      <c r="D121" t="inlineStr">
        <is>
          <t>REV_000120</t>
        </is>
      </c>
      <c r="E121" t="inlineStr">
        <is>
          <t>1.8</t>
        </is>
      </c>
      <c r="F121">
        <f>ROUND(INDEX('07_Reviews'!$E:$E,MATCH(D121,'07_Reviews'!$A:$A,0))/5*100,2)</f>
        <v/>
      </c>
      <c r="G121">
        <f>ROUND(F121*INDEX('01_Criteria'!$F:$F,MATCH(C121,'01_Criteria'!$A:$A,0))/100,2)</f>
        <v/>
      </c>
      <c r="H121" t="inlineStr">
        <is>
          <t>Review score 2/5 (normalized RawScore = 40.0/100 on a documented 1-5 scale, since the framework does not prescribe a numeric scale). Traceable to REV_000120 -&gt; supporting Evidence -&gt; cited Source.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32"/>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row r="24">
      <c r="A24" t="inlineStr">
        <is>
          <t>DEC_DIACRITICS_001</t>
        </is>
      </c>
      <c r="B24" t="inlineStr">
        <is>
          <t>2026-07-07</t>
        </is>
      </c>
      <c r="C24" t="inlineStr">
        <is>
          <t>1.8</t>
        </is>
      </c>
      <c r="D24" t="inlineStr">
        <is>
          <t>Corrected ASCII-substituted Norwegian diacritics across 07_Reviews, 08_Evidence and 09_Sources</t>
        </is>
      </c>
      <c r="E24" t="inlineStr">
        <is>
          <t>33 Review/Evidence rows and 6 Source Notes rows had ASCII substitutes for Norwegian aa/ae/oe (e.g. plain a instead of å, ae instead of æ, oe instead of ø) predating the project's diacritics rule. Pure spelling correction - no wording, meaning, Score, Confidence, or ID changed.</t>
        </is>
      </c>
      <c r="F24" t="inlineStr">
        <is>
          <t>Claude</t>
        </is>
      </c>
      <c r="G24" t="inlineStr">
        <is>
          <t>24 07_Reviews.Summary rows, 9 08_Evidence.Observation rows, 6 09_Sources.Notes rows corrected. URLs (containing 'no' as part of domain/path substrings) deliberately left untouched - they are real addresses, not prose.</t>
        </is>
      </c>
      <c r="H24" t="inlineStr">
        <is>
          <t>NONE</t>
        </is>
      </c>
    </row>
    <row r="25">
      <c r="A25" t="inlineStr">
        <is>
          <t>DEC_DATA_009</t>
        </is>
      </c>
      <c r="B25" t="inlineStr">
        <is>
          <t>2026-07-07</t>
        </is>
      </c>
      <c r="C25" t="inlineStr">
        <is>
          <t>1.8</t>
        </is>
      </c>
      <c r="D25" t="inlineStr">
        <is>
          <t>Added sixth Vehicle (BYD Atto 3) - Vehicle, Configurations, Technical, Equipment and HardRequirementResults</t>
        </is>
      </c>
      <c r="E25" t="inlineStr">
        <is>
          <t>First vehicle onboarded since the P1-P6 architecture review closed (FrameworkVersion 1.8) - first real test of 13_TechnicalFieldDefinitions/14_HardRequirementResults/Source.Language being used from day one instead of retrofitted. User confirmed via direct question that «BYD Atto 3» means the standard Atto 3 (FWD, 60 kWh), not the separately marketed BYD EVO 4x4 (AWD, 74.8 kWh, 443hk) - BYD Norge's own site treats these as two distinct model pages, not trims of one car.</t>
        </is>
      </c>
      <c r="F25" t="inlineStr">
        <is>
          <t>Claude</t>
        </is>
      </c>
      <c r="G25" t="inlineStr">
        <is>
          <t>Added both real Norwegian trims (Comfort 365920kr, Design 389920kr) as Configurations; Technical facts recorded once at Vehicle level since both trims share the same battery/dimensions/powertrain per byd.no. All 5 Hard Requirements resolved for both configs: M001/M002/M004/M005 PASS, M003 UNKNOWN (a search-engine-summarized 311km NAF winter-test figure could not be confirmed via direct fetch of NAF's own page, which only shows summer 2023 test data - left genuinely unresolved rather than assumed). DC fast-charging shows a genuine source disagreement (BYD states 80kW, NAF measured 90kW peak) - both recorded via Qualifier rather than picking one. No Evidence/Review/Score/OverallScore added yet - which trim to take through the full 20-criterion weighted scoring pipeline is still to be decided.</t>
        </is>
      </c>
      <c r="H25" t="inlineStr">
        <is>
          <t>NONE</t>
        </is>
      </c>
    </row>
    <row r="26">
      <c r="A26" t="inlineStr">
        <is>
          <t>DEC_DATA_010</t>
        </is>
      </c>
      <c r="B26" t="inlineStr">
        <is>
          <t>2026-07-07</t>
        </is>
      </c>
      <c r="C26" t="inlineStr">
        <is>
          <t>1.8</t>
        </is>
      </c>
      <c r="D26" t="inlineStr">
        <is>
          <t>Added BYD Atto 3 Design Evidence/Review/Score - now 6th vehicle in the full comparison, all 20 weighted criteria</t>
        </is>
      </c>
      <c r="E26" t="inlineStr">
        <is>
          <t>Completed the full weighted-scoring pipeline for BYD_ATTO3_DESIGN (chosen over Comfort per user's explicit choice - Design is closer in equipment tier to the other 5 vehicles' chosen configurations). All 5 Hard Requirements already resolved (DEC_DATA_009): M001/M002/M004/M005 PASS, M003 UNKNOWN.</t>
        </is>
      </c>
      <c r="F26" t="inlineStr">
        <is>
          <t>Claude</t>
        </is>
      </c>
      <c r="G26" t="inlineStr">
        <is>
          <t>5 real sources used (Bil24 and Formel E professional tests, BYD's own warranty PDF, an owner-reported-problems compilation, and a dedicated CarPlay-update news article), 20 Evidence rows, 20 Reviews, 20 Scores. Two genuine findings documented rather than resolved: (1) infotainment quality source disagreement (Formel E praises the Design screen; Bil24 finds menu logic inconsistent), (2) a real, multi-source-confirmed ADAS quality weakness (jerky lane-keep, phantom collision warnings) scored low (W008=2/5) despite the underlying hardware being present and passing M004. Bil24's own reviewer was personally ambivalent about price/value, reflected honestly in W017 rather than inflated. No FrameworkVersion bump - pure data addition, same precedent as DEC_DATA_003/004/006/008.</t>
        </is>
      </c>
      <c r="H26" t="inlineStr">
        <is>
          <t>NONE</t>
        </is>
      </c>
    </row>
    <row r="27">
      <c r="A27" t="inlineStr">
        <is>
          <t>DEC_ADR_013</t>
        </is>
      </c>
      <c r="B27" t="inlineStr">
        <is>
          <t>2026-07-07</t>
        </is>
      </c>
      <c r="C27" t="inlineStr">
        <is>
          <t>1.8</t>
        </is>
      </c>
      <c r="D27" t="inlineStr">
        <is>
          <t>Formalized Confidence defaults, ID-prefix conventions, and flagship-Configuration scope; added a sourcing-verification rule; added an onboarding checklist template and read-only dry-run/ID-helper scripts (ADR-013)</t>
        </is>
      </c>
      <c r="E27" t="inlineStr">
        <is>
          <t>Onboarding BYD Atto 3 as the sixth vehicle surfaced five conventions followed only as undocumented, memorized practice - Confidence defaults (98%/85%/72%/49% MEDIUM across 04_Technical/05_Equipment/07_Reviews/14_HardRequirementResults), ID-prefix zero-padding, and "one flagship Configuration per Vehicle gets scored" (confirmed 6/6 Vehicles) had never been written down; a web-search AI summary was also found to confidently misstate a source's actual content (BYD/NAF winter-range claim), caught only by direct verification.</t>
        </is>
      </c>
      <c r="F27" t="inlineStr">
        <is>
          <t>Claude</t>
        </is>
      </c>
      <c r="G27" t="inlineStr">
        <is>
          <t>No workbook column added. scripts/onboarding_helpers.py and framework/templates/vehicle-onboarding-checklist.md added as new, non-workbook repository artifacts. Forward-looking only - no existing Vehicle, Configuration, or record was audited or modified for convention conformance.</t>
        </is>
      </c>
      <c r="H27" t="inlineStr">
        <is>
          <t>NONE</t>
        </is>
      </c>
    </row>
    <row r="28">
      <c r="A28" t="inlineStr">
        <is>
          <t>DEC_DASHBOARD_001</t>
        </is>
      </c>
      <c r="B28" t="inlineStr">
        <is>
          <t>2026-07-07</t>
        </is>
      </c>
      <c r="C28" t="inlineStr">
        <is>
          <t>1.8</t>
        </is>
      </c>
      <c r="D28" t="inlineStr">
        <is>
          <t>Added 15_Dashboard worksheet - Decision Summary, Category Breakdown, and Coverage Grid</t>
        </is>
      </c>
      <c r="E28" t="inlineStr">
        <is>
          <t>Comparing the 6 scored cars required opening 3-4 sheets and cross-referencing IDs by hand; 12_OverallScores is a data table, not a presentation layer. Converged two reviewed dashboard proposals into one v1 scope: a ranked Decision Summary (with Hard Requirement status correctly distinguishing PASS/UNKNOWN/FAIL-overridden/FAIL-excluded, not a bare PASS/FAIL), a Category Breakdown chart, and a Coverage Grid heatmap - the latter surfaces gaps like M003 winter-range being Unknown for 5 of 6 flagships in one glance, instead of only being visible by remembering it across separate sessions.</t>
        </is>
      </c>
      <c r="F28" t="inlineStr">
        <is>
          <t>Claude</t>
        </is>
      </c>
      <c r="G28" t="inlineStr">
        <is>
          <t>Scoped to the 6 already-scored flagship Configurations only. Every cell is a formula reading from 10_Scoring/12_OverallScores/01_Criteria/03_Configurations/14_HardRequirementResults - no new information introduced, nothing recomputed that 12_OverallScores already computes. Confirmed via scripts/onboarding_helpers.py coverage that the Coverage Grid formulas correctly union VehicleID- and ConfigurationID-level records (BYD has 14 Technical facts at Vehicle level, zero at Configuration level - a naive Configuration-only COUNTIF would have shown zero). Charts/heatmap colors could not be visually verified in this environment (no LibreOffice/GUI) - confirm visually in Excel. Not tied to a full ADR - presentational/tooling only, no methodology or weight change.</t>
        </is>
      </c>
      <c r="H28" t="inlineStr">
        <is>
          <t>NONE</t>
        </is>
      </c>
    </row>
    <row r="29">
      <c r="A29" t="inlineStr">
        <is>
          <t>DEC_DASHBOARD_002</t>
        </is>
      </c>
      <c r="B29" t="inlineStr">
        <is>
          <t>2026-07-07</t>
        </is>
      </c>
      <c r="C29" t="inlineStr">
        <is>
          <t>1.8</t>
        </is>
      </c>
      <c r="D29" t="inlineStr">
        <is>
          <t>Fixed 01_Criteria.Weight stored as text, causing 12_OverallScores.CoveragePercent #DIV/0!</t>
        </is>
      </c>
      <c r="E29" t="inlineStr">
        <is>
          <t>Opening the workbook in real Excel (apparently for the first time since these formulas were written under ADR-005) surfaced a pre-existing data-type bug: all 29 01_Criteria.Weight cells were stored as text strings (e.g. the text "8", not the number 8). SUMIFS/SUM ignore text values in a sum range even when they look numeric - only arithmetic operators like * and / auto-coerce text - so 12_OverallScores.CoveragePercent's denominator (a SUMIFS summing Weight directly) evaluated to 0, producing #DIV/0! for every Configuration. 12_OverallScores.OverallScore was unaffected, since it sums 10_Scoring.WeightedScore, a formula column whose own multiplication against Weight already auto-coerced the text correctly. This predates this session entirely - 01_Criteria was never touched while building the Dashboard - and was only caught now because no earlier session had ever actually opened this file in a real calculation engine; the Python dry-run script (scripts/onboarding_helpers.py) reimplements the same arithmetic independently in Python, which coerces the text values fine and so never exercised the live Excel SUMIFS behaviour that exposed this bug.</t>
        </is>
      </c>
      <c r="F29" t="inlineStr">
        <is>
          <t>Claude</t>
        </is>
      </c>
      <c r="G29" t="inlineStr">
        <is>
          <t>Converted all 29 01_Criteria.F (Weight) cells from text to numeric, same displayed values, no Weight actually changed. Re-verified via scripts/onboarding_helpers.py coverage that OverallScore rankings are unaffected (already independent of this bug). No FrameworkVersion change - the weights themselves are identical, only their Excel data type was corrected.</t>
        </is>
      </c>
      <c r="H29" t="inlineStr">
        <is>
          <t>NONE</t>
        </is>
      </c>
    </row>
    <row r="30">
      <c r="A30" t="inlineStr">
        <is>
          <t>DEC_DASHBOARD_003</t>
        </is>
      </c>
      <c r="B30" t="inlineStr">
        <is>
          <t>2026-07-07</t>
        </is>
      </c>
      <c r="C30" t="inlineStr">
        <is>
          <t>1.8</t>
        </is>
      </c>
      <c r="D30" t="inlineStr">
        <is>
          <t>Fixed 15_Dashboard Category Breakdown circular reference (column H collision)</t>
        </is>
      </c>
      <c r="E30" t="inlineStr">
        <is>
          <t>The 8 weighted Categories occupy columns B-I in the Category Breakdown block, but the ConfigurationID helper-anchor column was also hardcoded to column H (following the same pattern used safely in Decision Summary and Coverage Grid, which only use 6 visible columns each and never reach H). Column H is the 7th category (Garasje), so the category-formula loop overwrote the literal ConfigurationID anchor with a formula that reads {row} as its own ConfigurationID key - a genuine self-reference. This broke every cell in the block (all keyed off the now-circular H) and surfaced as Numbers refusing to calculate H29 and Excel Online reporting the workbook as unreadable.</t>
        </is>
      </c>
      <c r="F30" t="inlineStr">
        <is>
          <t>Claude</t>
        </is>
      </c>
      <c r="G30" t="inlineStr">
        <is>
          <t>Moved the ConfigurationID anchor to column J (clear of all 8 category columns), restored the Garasje header at H28, and rewrote all 20 buffered data rows (29-48) to key off  instead of . Re-verified independently in Python: BYD Teknologi=14.2 and Garasje=1.8 both match this sessions own recorded per-criterion scores exactly. Chart and conditional formatting untouched (both were already correctly scoped to columns B-I / B53:F72, unaffected by the anchor column).</t>
        </is>
      </c>
      <c r="H30" t="inlineStr">
        <is>
          <t>NONE</t>
        </is>
      </c>
    </row>
    <row r="31">
      <c r="A31" t="inlineStr">
        <is>
          <t>DEC_DASHBOARD_004</t>
        </is>
      </c>
      <c r="B31" t="inlineStr">
        <is>
          <t>2026-07-07</t>
        </is>
      </c>
      <c r="C31" t="inlineStr">
        <is>
          <t>1.8</t>
        </is>
      </c>
      <c r="D31" t="inlineStr">
        <is>
          <t>Switched Volvo EX30 flagship Configuration from P8 AWD to P5 Long Range</t>
        </is>
      </c>
      <c r="E31" t="inlineStr">
        <is>
          <t>User request: P8 AWD (AWD, dual-motor, Twin Performance, 468 900 kr) is a performance halo trim that does not match the mid-tier positioning chosen as flagship for the other five vehicles; P5 Long Range (RWD, single-motor, 437 900 kr) is a closer trim-level match. P8 AWD was originally chosen specifically because Motor.no tested that exact configuration directly, not for cross-vehicle parity - a known, previously-flagged asymmetry (DEC_DATA_004).</t>
        </is>
      </c>
      <c r="F31" t="inlineStr">
        <is>
          <t>Claude</t>
        </is>
      </c>
      <c r="G31" t="inlineStr">
        <is>
          <t>All 20 Reviews/Scores and the OverallScores row moved from VOLVO_EX30_P8_AWD to VOLVO_EX30_P5_LONG_RANGE (same ReviewID/ScoreID/OverallScoreID, ConfigurationID updated in place). 15 of 20 Reviews needed no other change (evidence was already Vehicle-level or drivetrain-independent - length, warranty, OTA, interior, infotainment, CarPlay, boot volume per Volvos own official page). Two Reviews had genuinely wrong facts for the new Configuration and were corrected: W020 (charging/range - P5 Long Range is actually 475km/17kWh/100km vs P8s 450km/17.5, same 175kW DC) and W017 (price/value - 437 900kr not 468 900kr, and the ex-AWD-premium framing no longer applies since P5 Long Range is RWD; score left at 2/5 since it remains the priciest of six with no offsetting advantage). Three Reviews got an explicit caveat and a confidence downgrade because their evidence was tied to the P8 AWD/Twin Performance drivetrain specifically: W008 (ACC quality, HIGH-&gt;MEDIUM), W009 (360-camera equipment tier, HIGH-&gt;LOW), W016 (Nordic maturity - the only winter-range data point was measured on the AWD powertrain, MEDIUM-&gt;LOW, consistent with 14_HardRequirementResults already showing M003 as Unknown for this exact Configuration rather than inheriting P8s PASS). P8 AWD remains in 03_Configurations as a real, priced sibling trim, not deleted. 15_Dashboard and scripts/onboarding_helpers.py FLAGSHIP_CONFIGURATION_IDS updated to reference the new flagship.</t>
        </is>
      </c>
      <c r="H31" t="inlineStr">
        <is>
          <t>NONE</t>
        </is>
      </c>
    </row>
    <row r="32">
      <c r="A32" t="inlineStr">
        <is>
          <t>DEC_DASHBOARD_005</t>
        </is>
      </c>
      <c r="B32" t="inlineStr">
        <is>
          <t>2026-07-07</t>
        </is>
      </c>
      <c r="C32" t="inlineStr">
        <is>
          <t>1.8</t>
        </is>
      </c>
      <c r="D32" t="inlineStr">
        <is>
          <t>Corrected Kia EV2 GT Line BasePrice/ConfiguredPrice from 346417/423340 to 389900</t>
        </is>
      </c>
      <c r="E32" t="inlineStr">
        <is>
          <t>User flagged that 346417 kr did not match their actual offer and asked to verify directly against the live official Kia nettbutikk configurator. Direct verification (user opened https://nettbutikk.kia.no/ev2/oppsummering, same configuration, same SourceID SRC_KIA_NETTBUTIKK_EV2 already cited in this row for technical facts) confirmed the page displays "Totalpris 389 900 kr inkl. mva" for GT Line with no optional extras - not 346417. The original 346417 figure came from summing two component prices in a separate dealer quote document (251655+94762) that was never reconciled against the total already shown on the official configurator page cited in the very same row for other facts - an internal-arithmetic error, not a genuine price change over time.</t>
        </is>
      </c>
      <c r="F32" t="inlineStr">
        <is>
          <t>Claude</t>
        </is>
      </c>
      <c r="G32" t="inlineStr">
        <is>
          <t>BasePrice and ConfiguredPrice both set to 389900 (matching every other vehicle in this workbook, where ConfiguredPrice = BasePrice when no buyer-specific options are being compared). The original dealer quote (423340 kr total, including 4-seat conversion, winter wheels, delivery and registration tax) is preserved in 03_Configurations.Notes as real historical context, not deleted - it simply no longer determines the comparison price. 08_Evidence EV_000052 and 07_Reviews REV_000040 (W017) corrected to match: REV_000040s claim that Kia was "cheapest of the five" is no longer true at 389900 kr (Renault 364900 and Skoda 374900 remain cheaper; Kia is essentially tied with BYD at 389920) - reworded honestly rather than left standing. Score left unchanged at 4/5: comprehensive standard equipment still justifies a strong-value score at a middle price point, just not the previously-claimed "cheapest AND best equipped" combination.</t>
        </is>
      </c>
      <c r="H32" t="inlineStr">
        <is>
          <t>NONE</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VOLVO_EX30_P5_LONG_RANGE</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row r="7">
      <c r="A7" t="inlineStr">
        <is>
          <t>OVSC_000006</t>
        </is>
      </c>
      <c r="B7" t="inlineStr">
        <is>
          <t>BYD_ATTO3_DESIGN</t>
        </is>
      </c>
      <c r="C7" t="inlineStr">
        <is>
          <t>1.8</t>
        </is>
      </c>
      <c r="D7">
        <f>SUMIFS('10_Scoring'!$G$2:$G$1000,'10_Scoring'!$B$2:$B$1000,B7,'10_Scoring'!$E$2:$E$1000,C7)</f>
        <v/>
      </c>
      <c r="E7">
        <f>ROUND(SUMPRODUCT(('10_Scoring'!$B$2:$B$1000=B7)*('10_Scoring'!$E$2:$E$1000=C7)*IFERROR(INDEX('01_Criteria'!$F$2:$F$1000,MATCH('10_Scoring'!$C$2:$C$1000,'01_Criteria'!$A$2:$A$1000,0)),0))/SUMIFS('01_Criteria'!$F$2:$F$1000,'01_Criteria'!$E$2:$E$1000,"WEIGHTED",'01_Criteria'!$H$2:$H$1000,"TRUE")*100,2)</f>
        <v/>
      </c>
      <c r="F7">
        <f>COUNTIFS('10_Scoring'!$B$2:$B$1000,B7,'10_Scoring'!$E$2:$E$1000,C7)</f>
        <v/>
      </c>
      <c r="G7">
        <f>COUNTIFS('01_Criteria'!$E$2:$E$1000,"WEIGHTED",'01_Criteria'!$H$2:$H$1000,"TRUE")</f>
        <v/>
      </c>
      <c r="H7">
        <f>IF(E7&lt;100,"Partial evaluation - "&amp;F7&amp;" of "&amp;G7&amp;" WEIGHTED+Active criteria scored ("&amp;E7&amp;"%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row r="92">
      <c r="A92" t="inlineStr">
        <is>
          <t>HRR_000091</t>
        </is>
      </c>
      <c r="B92" t="inlineStr">
        <is>
          <t>BYD_ATTO3_COMFORT</t>
        </is>
      </c>
      <c r="C92" t="inlineStr">
        <is>
          <t>M001</t>
        </is>
      </c>
      <c r="D92" t="inlineStr">
        <is>
          <t>PASS</t>
        </is>
      </c>
      <c r="E92" t="inlineStr">
        <is>
          <t>HIGH</t>
        </is>
      </c>
      <c r="F92" t="inlineStr">
        <is>
          <t>Kun helelektriske biler inkluderes i denne sammenligningen; alle vurderte konfigurasjoner er BEV.</t>
        </is>
      </c>
      <c r="H92" t="inlineStr">
        <is>
          <t>1.8</t>
        </is>
      </c>
    </row>
    <row r="93">
      <c r="A93" t="inlineStr">
        <is>
          <t>HRR_000092</t>
        </is>
      </c>
      <c r="B93" t="inlineStr">
        <is>
          <t>BYD_ATTO3_COMFORT</t>
        </is>
      </c>
      <c r="C93" t="inlineStr">
        <is>
          <t>M002</t>
        </is>
      </c>
      <c r="D93" t="inlineStr">
        <is>
          <t>PASS</t>
        </is>
      </c>
      <c r="E93" t="inlineStr">
        <is>
          <t>MEDIUM</t>
        </is>
      </c>
      <c r="F93" t="inlineStr">
        <is>
          <t>Offisiell lengde 4455mm er innenfor 4500mm-grensen med 45mm margin - en reell, men moderat margin.</t>
        </is>
      </c>
      <c r="G93" t="inlineStr">
        <is>
          <t>SRC_EVDATABASE_ATTO3</t>
        </is>
      </c>
      <c r="H93" t="inlineStr">
        <is>
          <t>1.8</t>
        </is>
      </c>
    </row>
    <row r="94">
      <c r="A94" t="inlineStr">
        <is>
          <t>HRR_000093</t>
        </is>
      </c>
      <c r="B94" t="inlineStr">
        <is>
          <t>BYD_ATTO3_COMFORT</t>
        </is>
      </c>
      <c r="C94" t="inlineStr">
        <is>
          <t>M003</t>
        </is>
      </c>
      <c r="D94" t="inlineStr">
        <is>
          <t>UNKNOWN</t>
        </is>
      </c>
      <c r="E94" t="inlineStr">
        <is>
          <t>LOW</t>
        </is>
      </c>
      <c r="F94"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4" t="inlineStr">
        <is>
          <t>1.8</t>
        </is>
      </c>
    </row>
    <row r="95">
      <c r="A95" t="inlineStr">
        <is>
          <t>HRR_000094</t>
        </is>
      </c>
      <c r="B95" t="inlineStr">
        <is>
          <t>BYD_ATTO3_COMFORT</t>
        </is>
      </c>
      <c r="C95" t="inlineStr">
        <is>
          <t>M004</t>
        </is>
      </c>
      <c r="D95" t="inlineStr">
        <is>
          <t>PASS</t>
        </is>
      </c>
      <c r="E95" t="inlineStr">
        <is>
          <t>MEDIUM</t>
        </is>
      </c>
      <c r="F95" t="inlineStr">
        <is>
          <t>Adaptiv cruisekontroll bekreftet standard på offisiell BYD Norge-side (ikke brutt ned per utstyrsnivå, men listet som generell modellfunksjon).</t>
        </is>
      </c>
      <c r="G95" t="inlineStr">
        <is>
          <t>SRC_BYD_NO_ATTO3</t>
        </is>
      </c>
      <c r="H95" t="inlineStr">
        <is>
          <t>1.8</t>
        </is>
      </c>
    </row>
    <row r="96">
      <c r="A96" t="inlineStr">
        <is>
          <t>HRR_000095</t>
        </is>
      </c>
      <c r="B96" t="inlineStr">
        <is>
          <t>BYD_ATTO3_COMFORT</t>
        </is>
      </c>
      <c r="C96" t="inlineStr">
        <is>
          <t>M005</t>
        </is>
      </c>
      <c r="D96" t="inlineStr">
        <is>
          <t>PASS</t>
        </is>
      </c>
      <c r="E96" t="inlineStr">
        <is>
          <t>MEDIUM</t>
        </is>
      </c>
      <c r="F96" t="inlineStr">
        <is>
          <t>Ryggekamera/360-graders kamera bekreftet standard på offisiell BYD Norge-side (ikke brutt ned per utstyrsnivå, men listet som generell modellfunksjon).</t>
        </is>
      </c>
      <c r="G96" t="inlineStr">
        <is>
          <t>SRC_BYD_NO_ATTO3</t>
        </is>
      </c>
      <c r="H96" t="inlineStr">
        <is>
          <t>1.8</t>
        </is>
      </c>
    </row>
    <row r="97">
      <c r="A97" t="inlineStr">
        <is>
          <t>HRR_000096</t>
        </is>
      </c>
      <c r="B97" t="inlineStr">
        <is>
          <t>BYD_ATTO3_DESIGN</t>
        </is>
      </c>
      <c r="C97" t="inlineStr">
        <is>
          <t>M001</t>
        </is>
      </c>
      <c r="D97" t="inlineStr">
        <is>
          <t>PASS</t>
        </is>
      </c>
      <c r="E97" t="inlineStr">
        <is>
          <t>HIGH</t>
        </is>
      </c>
      <c r="F97" t="inlineStr">
        <is>
          <t>Kun helelektriske biler inkluderes i denne sammenligningen; alle vurderte konfigurasjoner er BEV.</t>
        </is>
      </c>
      <c r="H97" t="inlineStr">
        <is>
          <t>1.8</t>
        </is>
      </c>
    </row>
    <row r="98">
      <c r="A98" t="inlineStr">
        <is>
          <t>HRR_000097</t>
        </is>
      </c>
      <c r="B98" t="inlineStr">
        <is>
          <t>BYD_ATTO3_DESIGN</t>
        </is>
      </c>
      <c r="C98" t="inlineStr">
        <is>
          <t>M002</t>
        </is>
      </c>
      <c r="D98" t="inlineStr">
        <is>
          <t>PASS</t>
        </is>
      </c>
      <c r="E98" t="inlineStr">
        <is>
          <t>MEDIUM</t>
        </is>
      </c>
      <c r="F98" t="inlineStr">
        <is>
          <t>Offisiell lengde 4455mm er innenfor 4500mm-grensen med 45mm margin - en reell, men moderat margin.</t>
        </is>
      </c>
      <c r="G98" t="inlineStr">
        <is>
          <t>SRC_EVDATABASE_ATTO3</t>
        </is>
      </c>
      <c r="H98" t="inlineStr">
        <is>
          <t>1.8</t>
        </is>
      </c>
    </row>
    <row r="99">
      <c r="A99" t="inlineStr">
        <is>
          <t>HRR_000098</t>
        </is>
      </c>
      <c r="B99" t="inlineStr">
        <is>
          <t>BYD_ATTO3_DESIGN</t>
        </is>
      </c>
      <c r="C99" t="inlineStr">
        <is>
          <t>M003</t>
        </is>
      </c>
      <c r="D99" t="inlineStr">
        <is>
          <t>UNKNOWN</t>
        </is>
      </c>
      <c r="E99" t="inlineStr">
        <is>
          <t>LOW</t>
        </is>
      </c>
      <c r="F99"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9" t="inlineStr">
        <is>
          <t>1.8</t>
        </is>
      </c>
    </row>
    <row r="100">
      <c r="A100" t="inlineStr">
        <is>
          <t>HRR_000099</t>
        </is>
      </c>
      <c r="B100" t="inlineStr">
        <is>
          <t>BYD_ATTO3_DESIGN</t>
        </is>
      </c>
      <c r="C100" t="inlineStr">
        <is>
          <t>M004</t>
        </is>
      </c>
      <c r="D100" t="inlineStr">
        <is>
          <t>PASS</t>
        </is>
      </c>
      <c r="E100" t="inlineStr">
        <is>
          <t>MEDIUM</t>
        </is>
      </c>
      <c r="F100" t="inlineStr">
        <is>
          <t>Adaptiv cruisekontroll bekreftet standard på offisiell BYD Norge-side (ikke brutt ned per utstyrsnivå, men listet som generell modellfunksjon).</t>
        </is>
      </c>
      <c r="G100" t="inlineStr">
        <is>
          <t>SRC_BYD_NO_ATTO3</t>
        </is>
      </c>
      <c r="H100" t="inlineStr">
        <is>
          <t>1.8</t>
        </is>
      </c>
    </row>
    <row r="101">
      <c r="A101" t="inlineStr">
        <is>
          <t>HRR_000100</t>
        </is>
      </c>
      <c r="B101" t="inlineStr">
        <is>
          <t>BYD_ATTO3_DESIGN</t>
        </is>
      </c>
      <c r="C101" t="inlineStr">
        <is>
          <t>M005</t>
        </is>
      </c>
      <c r="D101" t="inlineStr">
        <is>
          <t>PASS</t>
        </is>
      </c>
      <c r="E101" t="inlineStr">
        <is>
          <t>MEDIUM</t>
        </is>
      </c>
      <c r="F101" t="inlineStr">
        <is>
          <t>Ryggekamera/360-graders kamera bekreftet standard på offisiell BYD Norge-side (ikke brutt ned per utstyrsnivå, men listet som generell modellfunksjon).</t>
        </is>
      </c>
      <c r="G101" t="inlineStr">
        <is>
          <t>SRC_BYD_NO_ATTO3</t>
        </is>
      </c>
      <c r="H101" t="inlineStr">
        <is>
          <t>1.8</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2"/>
  <sheetViews>
    <sheetView showGridLines="0" workbookViewId="0">
      <pane ySplit="5" topLeftCell="A6" activePane="bottomLeft" state="frozen"/>
      <selection pane="bottomLeft" activeCell="A1" sqref="A1"/>
    </sheetView>
  </sheetViews>
  <sheetFormatPr baseColWidth="8" defaultRowHeight="15"/>
  <cols>
    <col width="8" customWidth="1" min="1" max="1"/>
    <col width="32" customWidth="1" min="2" max="2"/>
    <col width="16" customWidth="1" min="3" max="3"/>
    <col width="13" customWidth="1" min="4" max="4"/>
    <col width="15" customWidth="1" min="5" max="5"/>
    <col width="30" customWidth="1" min="6" max="6"/>
    <col width="3" customWidth="1" min="7" max="7"/>
    <col width="32" customWidth="1" min="8" max="8"/>
    <col width="22" customWidth="1" min="9" max="9"/>
    <col width="32" customWidth="1" min="10" max="10"/>
    <col width="20" customWidth="1" min="11" max="11"/>
    <col width="9" customWidth="1" min="12" max="12"/>
    <col width="12" customWidth="1" min="13" max="13"/>
    <col width="14" customWidth="1" min="14" max="14"/>
  </cols>
  <sheetData>
    <row r="1">
      <c r="A1" s="2" t="inlineStr">
        <is>
          <t>EV Decision Framework - Dashboard</t>
        </is>
      </c>
    </row>
    <row r="2">
      <c r="A2" s="3" t="inlineStr">
        <is>
          <t>Flagship Configurations only - see 03_Configurations for the full 20-Configuration set.</t>
        </is>
      </c>
    </row>
    <row r="4">
      <c r="A4" s="4" t="inlineStr">
        <is>
          <t>1. Decision Summary</t>
        </is>
      </c>
    </row>
    <row r="5">
      <c r="A5" s="1" t="inlineStr">
        <is>
          <t>Rank</t>
        </is>
      </c>
      <c r="B5" s="1" t="inlineStr">
        <is>
          <t>Vehicle / Trim</t>
        </is>
      </c>
      <c r="C5" s="1" t="inlineStr">
        <is>
          <t>ConfiguredPrice</t>
        </is>
      </c>
      <c r="D5" s="1" t="inlineStr">
        <is>
          <t>OverallScore</t>
        </is>
      </c>
      <c r="E5" s="1" t="inlineStr">
        <is>
          <t>CoveragePercent</t>
        </is>
      </c>
      <c r="F5" s="1" t="inlineStr">
        <is>
          <t>Hard Requirement Status</t>
        </is>
      </c>
      <c r="H5" s="5" t="inlineStr">
        <is>
          <t>ConfigurationID</t>
        </is>
      </c>
      <c r="I5" s="5" t="inlineStr">
        <is>
          <t>Manufacturer</t>
        </is>
      </c>
      <c r="J5" s="5" t="inlineStr">
        <is>
          <t>Model</t>
        </is>
      </c>
      <c r="K5" s="5" t="inlineStr">
        <is>
          <t>Trim</t>
        </is>
      </c>
      <c r="L5" s="5" t="inlineStr">
        <is>
          <t>HasFail</t>
        </is>
      </c>
      <c r="M5" s="5" t="inlineStr">
        <is>
          <t>HasUnknown</t>
        </is>
      </c>
      <c r="N5" s="5" t="inlineStr">
        <is>
          <t>FailCriterion</t>
        </is>
      </c>
    </row>
    <row r="6">
      <c r="A6" s="6">
        <f>IF($H6="","",RANK($D6,$D$6:$D$25,0))</f>
        <v/>
      </c>
      <c r="B6" s="6">
        <f>IF($H6="","",$I6&amp;" "&amp;$J6&amp;" ("&amp;$K6&amp;")")</f>
        <v/>
      </c>
      <c r="C6" s="6">
        <f>IFERROR(INDEX('03_Configurations'!$G$2:$G$1000,MATCH($H6,'03_Configurations'!$A$2:$A$1000,0)),"")</f>
        <v/>
      </c>
      <c r="D6" s="6">
        <f>IFERROR(INDEX('12_OverallScores'!$D$2:$D$1000,MATCH($H6,'12_OverallScores'!$B$2:$B$1000,0)),"")</f>
        <v/>
      </c>
      <c r="E6" s="6">
        <f>IFERROR(INDEX('12_OverallScores'!$E$2:$E$1000,MATCH($H6,'12_OverallScores'!$B$2:$B$1000,0)),"")</f>
        <v/>
      </c>
      <c r="F6" s="6">
        <f>IF($H6="","",IF($L6&gt;0,IF(IFERROR(INDEX('03_Configurations'!$I$2:$I$1000,MATCH($H6,'03_Configurations'!$A$2:$A$1000,0)),"FALSE")="TRUE","FAIL ("&amp;$N6&amp;") - kept, overridden","FAIL ("&amp;$N6&amp;") - excluded"),IF($M6&gt;0,"UNKNOWN","PASS")))</f>
        <v/>
      </c>
      <c r="G6" s="6" t="n"/>
      <c r="H6" s="6" t="inlineStr">
        <is>
          <t>TESLA_MODEL_3_LONG_RANGE_RWD</t>
        </is>
      </c>
      <c r="I6" s="6">
        <f>IFERROR(INDEX('02_Vehicles'!$B$2:$B$1000,MATCH(INDEX('03_Configurations'!$B$2:$B$1000,MATCH($H6,'03_Configurations'!$A$2:$A$1000,0)),'02_Vehicles'!$A$2:$A$1000,0)),"")</f>
        <v/>
      </c>
      <c r="J6" s="6">
        <f>IFERROR(INDEX('02_Vehicles'!$C$2:$C$1000,MATCH(INDEX('03_Configurations'!$B$2:$B$1000,MATCH($H6,'03_Configurations'!$A$2:$A$1000,0)),'02_Vehicles'!$A$2:$A$1000,0)),"")</f>
        <v/>
      </c>
      <c r="K6" s="6">
        <f>IFERROR(INDEX('03_Configurations'!$E$2:$E$1000,MATCH($H6,'03_Configurations'!$A$2:$A$1000,0)),"")</f>
        <v/>
      </c>
      <c r="L6" s="6">
        <f>IF($H6="","",COUNTIFS('14_HardRequirementResults'!$B$2:$B$1000,$H6,'14_HardRequirementResults'!$D$2:$D$1000,"FAIL"))</f>
        <v/>
      </c>
      <c r="M6" s="6">
        <f>IF($H6="","",COUNTIFS('14_HardRequirementResults'!$B$2:$B$1000,$H6,'14_HardRequirementResults'!$D$2:$D$1000,"UNKNOWN"))</f>
        <v/>
      </c>
      <c r="N6" s="6">
        <f>IF($L6="","",IF($L6&gt;0,IFERROR(INDEX('14_HardRequirementResults'!$C$2:$C$1000,MATCH(1,INDEX(('14_HardRequirementResults'!$B$2:$B$1000=$H6)*('14_HardRequirementResults'!$D$2:$D$1000="FAIL"),0),0)),""),""))</f>
        <v/>
      </c>
    </row>
    <row r="7">
      <c r="A7" s="6">
        <f>IF($H7="","",RANK($D7,$D$6:$D$25,0))</f>
        <v/>
      </c>
      <c r="B7" s="6">
        <f>IF($H7="","",$I7&amp;" "&amp;$J7&amp;" ("&amp;$K7&amp;")")</f>
        <v/>
      </c>
      <c r="C7" s="6">
        <f>IFERROR(INDEX('03_Configurations'!$G$2:$G$1000,MATCH($H7,'03_Configurations'!$A$2:$A$1000,0)),"")</f>
        <v/>
      </c>
      <c r="D7" s="6">
        <f>IFERROR(INDEX('12_OverallScores'!$D$2:$D$1000,MATCH($H7,'12_OverallScores'!$B$2:$B$1000,0)),"")</f>
        <v/>
      </c>
      <c r="E7" s="6">
        <f>IFERROR(INDEX('12_OverallScores'!$E$2:$E$1000,MATCH($H7,'12_OverallScores'!$B$2:$B$1000,0)),"")</f>
        <v/>
      </c>
      <c r="F7" s="6">
        <f>IF($H7="","",IF($L7&gt;0,IF(IFERROR(INDEX('03_Configurations'!$I$2:$I$1000,MATCH($H7,'03_Configurations'!$A$2:$A$1000,0)),"FALSE")="TRUE","FAIL ("&amp;$N7&amp;") - kept, overridden","FAIL ("&amp;$N7&amp;") - excluded"),IF($M7&gt;0,"UNKNOWN","PASS")))</f>
        <v/>
      </c>
      <c r="G7" s="6" t="n"/>
      <c r="H7" s="6" t="inlineStr">
        <is>
          <t>RENAULT_4_TECHNO</t>
        </is>
      </c>
      <c r="I7" s="6">
        <f>IFERROR(INDEX('02_Vehicles'!$B$2:$B$1000,MATCH(INDEX('03_Configurations'!$B$2:$B$1000,MATCH($H7,'03_Configurations'!$A$2:$A$1000,0)),'02_Vehicles'!$A$2:$A$1000,0)),"")</f>
        <v/>
      </c>
      <c r="J7" s="6">
        <f>IFERROR(INDEX('02_Vehicles'!$C$2:$C$1000,MATCH(INDEX('03_Configurations'!$B$2:$B$1000,MATCH($H7,'03_Configurations'!$A$2:$A$1000,0)),'02_Vehicles'!$A$2:$A$1000,0)),"")</f>
        <v/>
      </c>
      <c r="K7" s="6">
        <f>IFERROR(INDEX('03_Configurations'!$E$2:$E$1000,MATCH($H7,'03_Configurations'!$A$2:$A$1000,0)),"")</f>
        <v/>
      </c>
      <c r="L7" s="6">
        <f>IF($H7="","",COUNTIFS('14_HardRequirementResults'!$B$2:$B$1000,$H7,'14_HardRequirementResults'!$D$2:$D$1000,"FAIL"))</f>
        <v/>
      </c>
      <c r="M7" s="6">
        <f>IF($H7="","",COUNTIFS('14_HardRequirementResults'!$B$2:$B$1000,$H7,'14_HardRequirementResults'!$D$2:$D$1000,"UNKNOWN"))</f>
        <v/>
      </c>
      <c r="N7" s="6">
        <f>IF($L7="","",IF($L7&gt;0,IFERROR(INDEX('14_HardRequirementResults'!$C$2:$C$1000,MATCH(1,INDEX(('14_HardRequirementResults'!$B$2:$B$1000=$H7)*('14_HardRequirementResults'!$D$2:$D$1000="FAIL"),0),0)),""),""))</f>
        <v/>
      </c>
    </row>
    <row r="8">
      <c r="A8" s="6">
        <f>IF($H8="","",RANK($D8,$D$6:$D$25,0))</f>
        <v/>
      </c>
      <c r="B8" s="6">
        <f>IF($H8="","",$I8&amp;" "&amp;$J8&amp;" ("&amp;$K8&amp;")")</f>
        <v/>
      </c>
      <c r="C8" s="6">
        <f>IFERROR(INDEX('03_Configurations'!$G$2:$G$1000,MATCH($H8,'03_Configurations'!$A$2:$A$1000,0)),"")</f>
        <v/>
      </c>
      <c r="D8" s="6">
        <f>IFERROR(INDEX('12_OverallScores'!$D$2:$D$1000,MATCH($H8,'12_OverallScores'!$B$2:$B$1000,0)),"")</f>
        <v/>
      </c>
      <c r="E8" s="6">
        <f>IFERROR(INDEX('12_OverallScores'!$E$2:$E$1000,MATCH($H8,'12_OverallScores'!$B$2:$B$1000,0)),"")</f>
        <v/>
      </c>
      <c r="F8" s="6">
        <f>IF($H8="","",IF($L8&gt;0,IF(IFERROR(INDEX('03_Configurations'!$I$2:$I$1000,MATCH($H8,'03_Configurations'!$A$2:$A$1000,0)),"FALSE")="TRUE","FAIL ("&amp;$N8&amp;") - kept, overridden","FAIL ("&amp;$N8&amp;") - excluded"),IF($M8&gt;0,"UNKNOWN","PASS")))</f>
        <v/>
      </c>
      <c r="G8" s="6" t="n"/>
      <c r="H8" s="6" t="inlineStr">
        <is>
          <t>SKODA_ELROQ_SELECTION_60</t>
        </is>
      </c>
      <c r="I8" s="6">
        <f>IFERROR(INDEX('02_Vehicles'!$B$2:$B$1000,MATCH(INDEX('03_Configurations'!$B$2:$B$1000,MATCH($H8,'03_Configurations'!$A$2:$A$1000,0)),'02_Vehicles'!$A$2:$A$1000,0)),"")</f>
        <v/>
      </c>
      <c r="J8" s="6">
        <f>IFERROR(INDEX('02_Vehicles'!$C$2:$C$1000,MATCH(INDEX('03_Configurations'!$B$2:$B$1000,MATCH($H8,'03_Configurations'!$A$2:$A$1000,0)),'02_Vehicles'!$A$2:$A$1000,0)),"")</f>
        <v/>
      </c>
      <c r="K8" s="6">
        <f>IFERROR(INDEX('03_Configurations'!$E$2:$E$1000,MATCH($H8,'03_Configurations'!$A$2:$A$1000,0)),"")</f>
        <v/>
      </c>
      <c r="L8" s="6">
        <f>IF($H8="","",COUNTIFS('14_HardRequirementResults'!$B$2:$B$1000,$H8,'14_HardRequirementResults'!$D$2:$D$1000,"FAIL"))</f>
        <v/>
      </c>
      <c r="M8" s="6">
        <f>IF($H8="","",COUNTIFS('14_HardRequirementResults'!$B$2:$B$1000,$H8,'14_HardRequirementResults'!$D$2:$D$1000,"UNKNOWN"))</f>
        <v/>
      </c>
      <c r="N8" s="6">
        <f>IF($L8="","",IF($L8&gt;0,IFERROR(INDEX('14_HardRequirementResults'!$C$2:$C$1000,MATCH(1,INDEX(('14_HardRequirementResults'!$B$2:$B$1000=$H8)*('14_HardRequirementResults'!$D$2:$D$1000="FAIL"),0),0)),""),""))</f>
        <v/>
      </c>
    </row>
    <row r="9">
      <c r="A9" s="6">
        <f>IF($H9="","",RANK($D9,$D$6:$D$25,0))</f>
        <v/>
      </c>
      <c r="B9" s="6">
        <f>IF($H9="","",$I9&amp;" "&amp;$J9&amp;" ("&amp;$K9&amp;")")</f>
        <v/>
      </c>
      <c r="C9" s="6">
        <f>IFERROR(INDEX('03_Configurations'!$G$2:$G$1000,MATCH($H9,'03_Configurations'!$A$2:$A$1000,0)),"")</f>
        <v/>
      </c>
      <c r="D9" s="6">
        <f>IFERROR(INDEX('12_OverallScores'!$D$2:$D$1000,MATCH($H9,'12_OverallScores'!$B$2:$B$1000,0)),"")</f>
        <v/>
      </c>
      <c r="E9" s="6">
        <f>IFERROR(INDEX('12_OverallScores'!$E$2:$E$1000,MATCH($H9,'12_OverallScores'!$B$2:$B$1000,0)),"")</f>
        <v/>
      </c>
      <c r="F9" s="6">
        <f>IF($H9="","",IF($L9&gt;0,IF(IFERROR(INDEX('03_Configurations'!$I$2:$I$1000,MATCH($H9,'03_Configurations'!$A$2:$A$1000,0)),"FALSE")="TRUE","FAIL ("&amp;$N9&amp;") - kept, overridden","FAIL ("&amp;$N9&amp;") - excluded"),IF($M9&gt;0,"UNKNOWN","PASS")))</f>
        <v/>
      </c>
      <c r="G9" s="6" t="n"/>
      <c r="H9" s="6" t="inlineStr">
        <is>
          <t>VOLVO_EX30_P5_LONG_RANGE</t>
        </is>
      </c>
      <c r="I9" s="6">
        <f>IFERROR(INDEX('02_Vehicles'!$B$2:$B$1000,MATCH(INDEX('03_Configurations'!$B$2:$B$1000,MATCH($H9,'03_Configurations'!$A$2:$A$1000,0)),'02_Vehicles'!$A$2:$A$1000,0)),"")</f>
        <v/>
      </c>
      <c r="J9" s="6">
        <f>IFERROR(INDEX('02_Vehicles'!$C$2:$C$1000,MATCH(INDEX('03_Configurations'!$B$2:$B$1000,MATCH($H9,'03_Configurations'!$A$2:$A$1000,0)),'02_Vehicles'!$A$2:$A$1000,0)),"")</f>
        <v/>
      </c>
      <c r="K9" s="6">
        <f>IFERROR(INDEX('03_Configurations'!$E$2:$E$1000,MATCH($H9,'03_Configurations'!$A$2:$A$1000,0)),"")</f>
        <v/>
      </c>
      <c r="L9" s="6">
        <f>IF($H9="","",COUNTIFS('14_HardRequirementResults'!$B$2:$B$1000,$H9,'14_HardRequirementResults'!$D$2:$D$1000,"FAIL"))</f>
        <v/>
      </c>
      <c r="M9" s="6">
        <f>IF($H9="","",COUNTIFS('14_HardRequirementResults'!$B$2:$B$1000,$H9,'14_HardRequirementResults'!$D$2:$D$1000,"UNKNOWN"))</f>
        <v/>
      </c>
      <c r="N9" s="6">
        <f>IF($L9="","",IF($L9&gt;0,IFERROR(INDEX('14_HardRequirementResults'!$C$2:$C$1000,MATCH(1,INDEX(('14_HardRequirementResults'!$B$2:$B$1000=$H9)*('14_HardRequirementResults'!$D$2:$D$1000="FAIL"),0),0)),""),""))</f>
        <v/>
      </c>
    </row>
    <row r="10">
      <c r="A10" s="6">
        <f>IF($H10="","",RANK($D10,$D$6:$D$25,0))</f>
        <v/>
      </c>
      <c r="B10" s="6">
        <f>IF($H10="","",$I10&amp;" "&amp;$J10&amp;" ("&amp;$K10&amp;")")</f>
        <v/>
      </c>
      <c r="C10" s="6">
        <f>IFERROR(INDEX('03_Configurations'!$G$2:$G$1000,MATCH($H10,'03_Configurations'!$A$2:$A$1000,0)),"")</f>
        <v/>
      </c>
      <c r="D10" s="6">
        <f>IFERROR(INDEX('12_OverallScores'!$D$2:$D$1000,MATCH($H10,'12_OverallScores'!$B$2:$B$1000,0)),"")</f>
        <v/>
      </c>
      <c r="E10" s="6">
        <f>IFERROR(INDEX('12_OverallScores'!$E$2:$E$1000,MATCH($H10,'12_OverallScores'!$B$2:$B$1000,0)),"")</f>
        <v/>
      </c>
      <c r="F10" s="6">
        <f>IF($H10="","",IF($L10&gt;0,IF(IFERROR(INDEX('03_Configurations'!$I$2:$I$1000,MATCH($H10,'03_Configurations'!$A$2:$A$1000,0)),"FALSE")="TRUE","FAIL ("&amp;$N10&amp;") - kept, overridden","FAIL ("&amp;$N10&amp;") - excluded"),IF($M10&gt;0,"UNKNOWN","PASS")))</f>
        <v/>
      </c>
      <c r="G10" s="6" t="n"/>
      <c r="H10" s="6" t="inlineStr">
        <is>
          <t>KIA_EV2_FWD_LONG_RANGE_GT_LINE</t>
        </is>
      </c>
      <c r="I10" s="6">
        <f>IFERROR(INDEX('02_Vehicles'!$B$2:$B$1000,MATCH(INDEX('03_Configurations'!$B$2:$B$1000,MATCH($H10,'03_Configurations'!$A$2:$A$1000,0)),'02_Vehicles'!$A$2:$A$1000,0)),"")</f>
        <v/>
      </c>
      <c r="J10" s="6">
        <f>IFERROR(INDEX('02_Vehicles'!$C$2:$C$1000,MATCH(INDEX('03_Configurations'!$B$2:$B$1000,MATCH($H10,'03_Configurations'!$A$2:$A$1000,0)),'02_Vehicles'!$A$2:$A$1000,0)),"")</f>
        <v/>
      </c>
      <c r="K10" s="6">
        <f>IFERROR(INDEX('03_Configurations'!$E$2:$E$1000,MATCH($H10,'03_Configurations'!$A$2:$A$1000,0)),"")</f>
        <v/>
      </c>
      <c r="L10" s="6">
        <f>IF($H10="","",COUNTIFS('14_HardRequirementResults'!$B$2:$B$1000,$H10,'14_HardRequirementResults'!$D$2:$D$1000,"FAIL"))</f>
        <v/>
      </c>
      <c r="M10" s="6">
        <f>IF($H10="","",COUNTIFS('14_HardRequirementResults'!$B$2:$B$1000,$H10,'14_HardRequirementResults'!$D$2:$D$1000,"UNKNOWN"))</f>
        <v/>
      </c>
      <c r="N10" s="6">
        <f>IF($L10="","",IF($L10&gt;0,IFERROR(INDEX('14_HardRequirementResults'!$C$2:$C$1000,MATCH(1,INDEX(('14_HardRequirementResults'!$B$2:$B$1000=$H10)*('14_HardRequirementResults'!$D$2:$D$1000="FAIL"),0),0)),""),""))</f>
        <v/>
      </c>
    </row>
    <row r="11">
      <c r="A11" s="6">
        <f>IF($H11="","",RANK($D11,$D$6:$D$25,0))</f>
        <v/>
      </c>
      <c r="B11" s="6">
        <f>IF($H11="","",$I11&amp;" "&amp;$J11&amp;" ("&amp;$K11&amp;")")</f>
        <v/>
      </c>
      <c r="C11" s="6">
        <f>IFERROR(INDEX('03_Configurations'!$G$2:$G$1000,MATCH($H11,'03_Configurations'!$A$2:$A$1000,0)),"")</f>
        <v/>
      </c>
      <c r="D11" s="6">
        <f>IFERROR(INDEX('12_OverallScores'!$D$2:$D$1000,MATCH($H11,'12_OverallScores'!$B$2:$B$1000,0)),"")</f>
        <v/>
      </c>
      <c r="E11" s="6">
        <f>IFERROR(INDEX('12_OverallScores'!$E$2:$E$1000,MATCH($H11,'12_OverallScores'!$B$2:$B$1000,0)),"")</f>
        <v/>
      </c>
      <c r="F11" s="6">
        <f>IF($H11="","",IF($L11&gt;0,IF(IFERROR(INDEX('03_Configurations'!$I$2:$I$1000,MATCH($H11,'03_Configurations'!$A$2:$A$1000,0)),"FALSE")="TRUE","FAIL ("&amp;$N11&amp;") - kept, overridden","FAIL ("&amp;$N11&amp;") - excluded"),IF($M11&gt;0,"UNKNOWN","PASS")))</f>
        <v/>
      </c>
      <c r="G11" s="6" t="n"/>
      <c r="H11" s="6" t="inlineStr">
        <is>
          <t>BYD_ATTO3_DESIGN</t>
        </is>
      </c>
      <c r="I11" s="6">
        <f>IFERROR(INDEX('02_Vehicles'!$B$2:$B$1000,MATCH(INDEX('03_Configurations'!$B$2:$B$1000,MATCH($H11,'03_Configurations'!$A$2:$A$1000,0)),'02_Vehicles'!$A$2:$A$1000,0)),"")</f>
        <v/>
      </c>
      <c r="J11" s="6">
        <f>IFERROR(INDEX('02_Vehicles'!$C$2:$C$1000,MATCH(INDEX('03_Configurations'!$B$2:$B$1000,MATCH($H11,'03_Configurations'!$A$2:$A$1000,0)),'02_Vehicles'!$A$2:$A$1000,0)),"")</f>
        <v/>
      </c>
      <c r="K11" s="6">
        <f>IFERROR(INDEX('03_Configurations'!$E$2:$E$1000,MATCH($H11,'03_Configurations'!$A$2:$A$1000,0)),"")</f>
        <v/>
      </c>
      <c r="L11" s="6">
        <f>IF($H11="","",COUNTIFS('14_HardRequirementResults'!$B$2:$B$1000,$H11,'14_HardRequirementResults'!$D$2:$D$1000,"FAIL"))</f>
        <v/>
      </c>
      <c r="M11" s="6">
        <f>IF($H11="","",COUNTIFS('14_HardRequirementResults'!$B$2:$B$1000,$H11,'14_HardRequirementResults'!$D$2:$D$1000,"UNKNOWN"))</f>
        <v/>
      </c>
      <c r="N11" s="6">
        <f>IF($L11="","",IF($L11&gt;0,IFERROR(INDEX('14_HardRequirementResults'!$C$2:$C$1000,MATCH(1,INDEX(('14_HardRequirementResults'!$B$2:$B$1000=$H11)*('14_HardRequirementResults'!$D$2:$D$1000="FAIL"),0),0)),""),""))</f>
        <v/>
      </c>
    </row>
    <row r="12">
      <c r="A12" s="6">
        <f>IF($H12="","",RANK($D12,$D$6:$D$25,0))</f>
        <v/>
      </c>
      <c r="B12" s="6">
        <f>IF($H12="","",$I12&amp;" "&amp;$J12&amp;" ("&amp;$K12&amp;")")</f>
        <v/>
      </c>
      <c r="C12" s="6">
        <f>IFERROR(INDEX('03_Configurations'!$G$2:$G$1000,MATCH($H12,'03_Configurations'!$A$2:$A$1000,0)),"")</f>
        <v/>
      </c>
      <c r="D12" s="6">
        <f>IFERROR(INDEX('12_OverallScores'!$D$2:$D$1000,MATCH($H12,'12_OverallScores'!$B$2:$B$1000,0)),"")</f>
        <v/>
      </c>
      <c r="E12" s="6">
        <f>IFERROR(INDEX('12_OverallScores'!$E$2:$E$1000,MATCH($H12,'12_OverallScores'!$B$2:$B$1000,0)),"")</f>
        <v/>
      </c>
      <c r="F12" s="6">
        <f>IF($H12="","",IF($L12&gt;0,IF(IFERROR(INDEX('03_Configurations'!$I$2:$I$1000,MATCH($H12,'03_Configurations'!$A$2:$A$1000,0)),"FALSE")="TRUE","FAIL ("&amp;$N12&amp;") - kept, overridden","FAIL ("&amp;$N12&amp;") - excluded"),IF($M12&gt;0,"UNKNOWN","PASS")))</f>
        <v/>
      </c>
      <c r="G12" s="6" t="n"/>
      <c r="H12" s="6" t="n"/>
      <c r="I12" s="6">
        <f>IFERROR(INDEX('02_Vehicles'!$B$2:$B$1000,MATCH(INDEX('03_Configurations'!$B$2:$B$1000,MATCH($H12,'03_Configurations'!$A$2:$A$1000,0)),'02_Vehicles'!$A$2:$A$1000,0)),"")</f>
        <v/>
      </c>
      <c r="J12" s="6">
        <f>IFERROR(INDEX('02_Vehicles'!$C$2:$C$1000,MATCH(INDEX('03_Configurations'!$B$2:$B$1000,MATCH($H12,'03_Configurations'!$A$2:$A$1000,0)),'02_Vehicles'!$A$2:$A$1000,0)),"")</f>
        <v/>
      </c>
      <c r="K12" s="6">
        <f>IFERROR(INDEX('03_Configurations'!$E$2:$E$1000,MATCH($H12,'03_Configurations'!$A$2:$A$1000,0)),"")</f>
        <v/>
      </c>
      <c r="L12" s="6">
        <f>IF($H12="","",COUNTIFS('14_HardRequirementResults'!$B$2:$B$1000,$H12,'14_HardRequirementResults'!$D$2:$D$1000,"FAIL"))</f>
        <v/>
      </c>
      <c r="M12" s="6">
        <f>IF($H12="","",COUNTIFS('14_HardRequirementResults'!$B$2:$B$1000,$H12,'14_HardRequirementResults'!$D$2:$D$1000,"UNKNOWN"))</f>
        <v/>
      </c>
      <c r="N12" s="6">
        <f>IF($L12="","",IF($L12&gt;0,IFERROR(INDEX('14_HardRequirementResults'!$C$2:$C$1000,MATCH(1,INDEX(('14_HardRequirementResults'!$B$2:$B$1000=$H12)*('14_HardRequirementResults'!$D$2:$D$1000="FAIL"),0),0)),""),""))</f>
        <v/>
      </c>
    </row>
    <row r="13">
      <c r="A13" s="6">
        <f>IF($H13="","",RANK($D13,$D$6:$D$25,0))</f>
        <v/>
      </c>
      <c r="B13" s="6">
        <f>IF($H13="","",$I13&amp;" "&amp;$J13&amp;" ("&amp;$K13&amp;")")</f>
        <v/>
      </c>
      <c r="C13" s="6">
        <f>IFERROR(INDEX('03_Configurations'!$G$2:$G$1000,MATCH($H13,'03_Configurations'!$A$2:$A$1000,0)),"")</f>
        <v/>
      </c>
      <c r="D13" s="6">
        <f>IFERROR(INDEX('12_OverallScores'!$D$2:$D$1000,MATCH($H13,'12_OverallScores'!$B$2:$B$1000,0)),"")</f>
        <v/>
      </c>
      <c r="E13" s="6">
        <f>IFERROR(INDEX('12_OverallScores'!$E$2:$E$1000,MATCH($H13,'12_OverallScores'!$B$2:$B$1000,0)),"")</f>
        <v/>
      </c>
      <c r="F13" s="6">
        <f>IF($H13="","",IF($L13&gt;0,IF(IFERROR(INDEX('03_Configurations'!$I$2:$I$1000,MATCH($H13,'03_Configurations'!$A$2:$A$1000,0)),"FALSE")="TRUE","FAIL ("&amp;$N13&amp;") - kept, overridden","FAIL ("&amp;$N13&amp;") - excluded"),IF($M13&gt;0,"UNKNOWN","PASS")))</f>
        <v/>
      </c>
      <c r="G13" s="6" t="n"/>
      <c r="H13" s="6" t="n"/>
      <c r="I13" s="6">
        <f>IFERROR(INDEX('02_Vehicles'!$B$2:$B$1000,MATCH(INDEX('03_Configurations'!$B$2:$B$1000,MATCH($H13,'03_Configurations'!$A$2:$A$1000,0)),'02_Vehicles'!$A$2:$A$1000,0)),"")</f>
        <v/>
      </c>
      <c r="J13" s="6">
        <f>IFERROR(INDEX('02_Vehicles'!$C$2:$C$1000,MATCH(INDEX('03_Configurations'!$B$2:$B$1000,MATCH($H13,'03_Configurations'!$A$2:$A$1000,0)),'02_Vehicles'!$A$2:$A$1000,0)),"")</f>
        <v/>
      </c>
      <c r="K13" s="6">
        <f>IFERROR(INDEX('03_Configurations'!$E$2:$E$1000,MATCH($H13,'03_Configurations'!$A$2:$A$1000,0)),"")</f>
        <v/>
      </c>
      <c r="L13" s="6">
        <f>IF($H13="","",COUNTIFS('14_HardRequirementResults'!$B$2:$B$1000,$H13,'14_HardRequirementResults'!$D$2:$D$1000,"FAIL"))</f>
        <v/>
      </c>
      <c r="M13" s="6">
        <f>IF($H13="","",COUNTIFS('14_HardRequirementResults'!$B$2:$B$1000,$H13,'14_HardRequirementResults'!$D$2:$D$1000,"UNKNOWN"))</f>
        <v/>
      </c>
      <c r="N13" s="6">
        <f>IF($L13="","",IF($L13&gt;0,IFERROR(INDEX('14_HardRequirementResults'!$C$2:$C$1000,MATCH(1,INDEX(('14_HardRequirementResults'!$B$2:$B$1000=$H13)*('14_HardRequirementResults'!$D$2:$D$1000="FAIL"),0),0)),""),""))</f>
        <v/>
      </c>
    </row>
    <row r="14">
      <c r="A14" s="6">
        <f>IF($H14="","",RANK($D14,$D$6:$D$25,0))</f>
        <v/>
      </c>
      <c r="B14" s="6">
        <f>IF($H14="","",$I14&amp;" "&amp;$J14&amp;" ("&amp;$K14&amp;")")</f>
        <v/>
      </c>
      <c r="C14" s="6">
        <f>IFERROR(INDEX('03_Configurations'!$G$2:$G$1000,MATCH($H14,'03_Configurations'!$A$2:$A$1000,0)),"")</f>
        <v/>
      </c>
      <c r="D14" s="6">
        <f>IFERROR(INDEX('12_OverallScores'!$D$2:$D$1000,MATCH($H14,'12_OverallScores'!$B$2:$B$1000,0)),"")</f>
        <v/>
      </c>
      <c r="E14" s="6">
        <f>IFERROR(INDEX('12_OverallScores'!$E$2:$E$1000,MATCH($H14,'12_OverallScores'!$B$2:$B$1000,0)),"")</f>
        <v/>
      </c>
      <c r="F14" s="6">
        <f>IF($H14="","",IF($L14&gt;0,IF(IFERROR(INDEX('03_Configurations'!$I$2:$I$1000,MATCH($H14,'03_Configurations'!$A$2:$A$1000,0)),"FALSE")="TRUE","FAIL ("&amp;$N14&amp;") - kept, overridden","FAIL ("&amp;$N14&amp;") - excluded"),IF($M14&gt;0,"UNKNOWN","PASS")))</f>
        <v/>
      </c>
      <c r="G14" s="6" t="n"/>
      <c r="H14" s="6" t="n"/>
      <c r="I14" s="6">
        <f>IFERROR(INDEX('02_Vehicles'!$B$2:$B$1000,MATCH(INDEX('03_Configurations'!$B$2:$B$1000,MATCH($H14,'03_Configurations'!$A$2:$A$1000,0)),'02_Vehicles'!$A$2:$A$1000,0)),"")</f>
        <v/>
      </c>
      <c r="J14" s="6">
        <f>IFERROR(INDEX('02_Vehicles'!$C$2:$C$1000,MATCH(INDEX('03_Configurations'!$B$2:$B$1000,MATCH($H14,'03_Configurations'!$A$2:$A$1000,0)),'02_Vehicles'!$A$2:$A$1000,0)),"")</f>
        <v/>
      </c>
      <c r="K14" s="6">
        <f>IFERROR(INDEX('03_Configurations'!$E$2:$E$1000,MATCH($H14,'03_Configurations'!$A$2:$A$1000,0)),"")</f>
        <v/>
      </c>
      <c r="L14" s="6">
        <f>IF($H14="","",COUNTIFS('14_HardRequirementResults'!$B$2:$B$1000,$H14,'14_HardRequirementResults'!$D$2:$D$1000,"FAIL"))</f>
        <v/>
      </c>
      <c r="M14" s="6">
        <f>IF($H14="","",COUNTIFS('14_HardRequirementResults'!$B$2:$B$1000,$H14,'14_HardRequirementResults'!$D$2:$D$1000,"UNKNOWN"))</f>
        <v/>
      </c>
      <c r="N14" s="6">
        <f>IF($L14="","",IF($L14&gt;0,IFERROR(INDEX('14_HardRequirementResults'!$C$2:$C$1000,MATCH(1,INDEX(('14_HardRequirementResults'!$B$2:$B$1000=$H14)*('14_HardRequirementResults'!$D$2:$D$1000="FAIL"),0),0)),""),""))</f>
        <v/>
      </c>
    </row>
    <row r="15">
      <c r="A15" s="6">
        <f>IF($H15="","",RANK($D15,$D$6:$D$25,0))</f>
        <v/>
      </c>
      <c r="B15" s="6">
        <f>IF($H15="","",$I15&amp;" "&amp;$J15&amp;" ("&amp;$K15&amp;")")</f>
        <v/>
      </c>
      <c r="C15" s="6">
        <f>IFERROR(INDEX('03_Configurations'!$G$2:$G$1000,MATCH($H15,'03_Configurations'!$A$2:$A$1000,0)),"")</f>
        <v/>
      </c>
      <c r="D15" s="6">
        <f>IFERROR(INDEX('12_OverallScores'!$D$2:$D$1000,MATCH($H15,'12_OverallScores'!$B$2:$B$1000,0)),"")</f>
        <v/>
      </c>
      <c r="E15" s="6">
        <f>IFERROR(INDEX('12_OverallScores'!$E$2:$E$1000,MATCH($H15,'12_OverallScores'!$B$2:$B$1000,0)),"")</f>
        <v/>
      </c>
      <c r="F15" s="6">
        <f>IF($H15="","",IF($L15&gt;0,IF(IFERROR(INDEX('03_Configurations'!$I$2:$I$1000,MATCH($H15,'03_Configurations'!$A$2:$A$1000,0)),"FALSE")="TRUE","FAIL ("&amp;$N15&amp;") - kept, overridden","FAIL ("&amp;$N15&amp;") - excluded"),IF($M15&gt;0,"UNKNOWN","PASS")))</f>
        <v/>
      </c>
      <c r="G15" s="6" t="n"/>
      <c r="H15" s="6" t="n"/>
      <c r="I15" s="6">
        <f>IFERROR(INDEX('02_Vehicles'!$B$2:$B$1000,MATCH(INDEX('03_Configurations'!$B$2:$B$1000,MATCH($H15,'03_Configurations'!$A$2:$A$1000,0)),'02_Vehicles'!$A$2:$A$1000,0)),"")</f>
        <v/>
      </c>
      <c r="J15" s="6">
        <f>IFERROR(INDEX('02_Vehicles'!$C$2:$C$1000,MATCH(INDEX('03_Configurations'!$B$2:$B$1000,MATCH($H15,'03_Configurations'!$A$2:$A$1000,0)),'02_Vehicles'!$A$2:$A$1000,0)),"")</f>
        <v/>
      </c>
      <c r="K15" s="6">
        <f>IFERROR(INDEX('03_Configurations'!$E$2:$E$1000,MATCH($H15,'03_Configurations'!$A$2:$A$1000,0)),"")</f>
        <v/>
      </c>
      <c r="L15" s="6">
        <f>IF($H15="","",COUNTIFS('14_HardRequirementResults'!$B$2:$B$1000,$H15,'14_HardRequirementResults'!$D$2:$D$1000,"FAIL"))</f>
        <v/>
      </c>
      <c r="M15" s="6">
        <f>IF($H15="","",COUNTIFS('14_HardRequirementResults'!$B$2:$B$1000,$H15,'14_HardRequirementResults'!$D$2:$D$1000,"UNKNOWN"))</f>
        <v/>
      </c>
      <c r="N15" s="6">
        <f>IF($L15="","",IF($L15&gt;0,IFERROR(INDEX('14_HardRequirementResults'!$C$2:$C$1000,MATCH(1,INDEX(('14_HardRequirementResults'!$B$2:$B$1000=$H15)*('14_HardRequirementResults'!$D$2:$D$1000="FAIL"),0),0)),""),""))</f>
        <v/>
      </c>
    </row>
    <row r="16">
      <c r="A16" s="6">
        <f>IF($H16="","",RANK($D16,$D$6:$D$25,0))</f>
        <v/>
      </c>
      <c r="B16" s="6">
        <f>IF($H16="","",$I16&amp;" "&amp;$J16&amp;" ("&amp;$K16&amp;")")</f>
        <v/>
      </c>
      <c r="C16" s="6">
        <f>IFERROR(INDEX('03_Configurations'!$G$2:$G$1000,MATCH($H16,'03_Configurations'!$A$2:$A$1000,0)),"")</f>
        <v/>
      </c>
      <c r="D16" s="6">
        <f>IFERROR(INDEX('12_OverallScores'!$D$2:$D$1000,MATCH($H16,'12_OverallScores'!$B$2:$B$1000,0)),"")</f>
        <v/>
      </c>
      <c r="E16" s="6">
        <f>IFERROR(INDEX('12_OverallScores'!$E$2:$E$1000,MATCH($H16,'12_OverallScores'!$B$2:$B$1000,0)),"")</f>
        <v/>
      </c>
      <c r="F16" s="6">
        <f>IF($H16="","",IF($L16&gt;0,IF(IFERROR(INDEX('03_Configurations'!$I$2:$I$1000,MATCH($H16,'03_Configurations'!$A$2:$A$1000,0)),"FALSE")="TRUE","FAIL ("&amp;$N16&amp;") - kept, overridden","FAIL ("&amp;$N16&amp;") - excluded"),IF($M16&gt;0,"UNKNOWN","PASS")))</f>
        <v/>
      </c>
      <c r="G16" s="6" t="n"/>
      <c r="H16" s="6" t="n"/>
      <c r="I16" s="6">
        <f>IFERROR(INDEX('02_Vehicles'!$B$2:$B$1000,MATCH(INDEX('03_Configurations'!$B$2:$B$1000,MATCH($H16,'03_Configurations'!$A$2:$A$1000,0)),'02_Vehicles'!$A$2:$A$1000,0)),"")</f>
        <v/>
      </c>
      <c r="J16" s="6">
        <f>IFERROR(INDEX('02_Vehicles'!$C$2:$C$1000,MATCH(INDEX('03_Configurations'!$B$2:$B$1000,MATCH($H16,'03_Configurations'!$A$2:$A$1000,0)),'02_Vehicles'!$A$2:$A$1000,0)),"")</f>
        <v/>
      </c>
      <c r="K16" s="6">
        <f>IFERROR(INDEX('03_Configurations'!$E$2:$E$1000,MATCH($H16,'03_Configurations'!$A$2:$A$1000,0)),"")</f>
        <v/>
      </c>
      <c r="L16" s="6">
        <f>IF($H16="","",COUNTIFS('14_HardRequirementResults'!$B$2:$B$1000,$H16,'14_HardRequirementResults'!$D$2:$D$1000,"FAIL"))</f>
        <v/>
      </c>
      <c r="M16" s="6">
        <f>IF($H16="","",COUNTIFS('14_HardRequirementResults'!$B$2:$B$1000,$H16,'14_HardRequirementResults'!$D$2:$D$1000,"UNKNOWN"))</f>
        <v/>
      </c>
      <c r="N16" s="6">
        <f>IF($L16="","",IF($L16&gt;0,IFERROR(INDEX('14_HardRequirementResults'!$C$2:$C$1000,MATCH(1,INDEX(('14_HardRequirementResults'!$B$2:$B$1000=$H16)*('14_HardRequirementResults'!$D$2:$D$1000="FAIL"),0),0)),""),""))</f>
        <v/>
      </c>
    </row>
    <row r="17">
      <c r="A17" s="6">
        <f>IF($H17="","",RANK($D17,$D$6:$D$25,0))</f>
        <v/>
      </c>
      <c r="B17" s="6">
        <f>IF($H17="","",$I17&amp;" "&amp;$J17&amp;" ("&amp;$K17&amp;")")</f>
        <v/>
      </c>
      <c r="C17" s="6">
        <f>IFERROR(INDEX('03_Configurations'!$G$2:$G$1000,MATCH($H17,'03_Configurations'!$A$2:$A$1000,0)),"")</f>
        <v/>
      </c>
      <c r="D17" s="6">
        <f>IFERROR(INDEX('12_OverallScores'!$D$2:$D$1000,MATCH($H17,'12_OverallScores'!$B$2:$B$1000,0)),"")</f>
        <v/>
      </c>
      <c r="E17" s="6">
        <f>IFERROR(INDEX('12_OverallScores'!$E$2:$E$1000,MATCH($H17,'12_OverallScores'!$B$2:$B$1000,0)),"")</f>
        <v/>
      </c>
      <c r="F17" s="6">
        <f>IF($H17="","",IF($L17&gt;0,IF(IFERROR(INDEX('03_Configurations'!$I$2:$I$1000,MATCH($H17,'03_Configurations'!$A$2:$A$1000,0)),"FALSE")="TRUE","FAIL ("&amp;$N17&amp;") - kept, overridden","FAIL ("&amp;$N17&amp;") - excluded"),IF($M17&gt;0,"UNKNOWN","PASS")))</f>
        <v/>
      </c>
      <c r="G17" s="6" t="n"/>
      <c r="H17" s="6" t="n"/>
      <c r="I17" s="6">
        <f>IFERROR(INDEX('02_Vehicles'!$B$2:$B$1000,MATCH(INDEX('03_Configurations'!$B$2:$B$1000,MATCH($H17,'03_Configurations'!$A$2:$A$1000,0)),'02_Vehicles'!$A$2:$A$1000,0)),"")</f>
        <v/>
      </c>
      <c r="J17" s="6">
        <f>IFERROR(INDEX('02_Vehicles'!$C$2:$C$1000,MATCH(INDEX('03_Configurations'!$B$2:$B$1000,MATCH($H17,'03_Configurations'!$A$2:$A$1000,0)),'02_Vehicles'!$A$2:$A$1000,0)),"")</f>
        <v/>
      </c>
      <c r="K17" s="6">
        <f>IFERROR(INDEX('03_Configurations'!$E$2:$E$1000,MATCH($H17,'03_Configurations'!$A$2:$A$1000,0)),"")</f>
        <v/>
      </c>
      <c r="L17" s="6">
        <f>IF($H17="","",COUNTIFS('14_HardRequirementResults'!$B$2:$B$1000,$H17,'14_HardRequirementResults'!$D$2:$D$1000,"FAIL"))</f>
        <v/>
      </c>
      <c r="M17" s="6">
        <f>IF($H17="","",COUNTIFS('14_HardRequirementResults'!$B$2:$B$1000,$H17,'14_HardRequirementResults'!$D$2:$D$1000,"UNKNOWN"))</f>
        <v/>
      </c>
      <c r="N17" s="6">
        <f>IF($L17="","",IF($L17&gt;0,IFERROR(INDEX('14_HardRequirementResults'!$C$2:$C$1000,MATCH(1,INDEX(('14_HardRequirementResults'!$B$2:$B$1000=$H17)*('14_HardRequirementResults'!$D$2:$D$1000="FAIL"),0),0)),""),""))</f>
        <v/>
      </c>
    </row>
    <row r="18">
      <c r="A18" s="6">
        <f>IF($H18="","",RANK($D18,$D$6:$D$25,0))</f>
        <v/>
      </c>
      <c r="B18" s="6">
        <f>IF($H18="","",$I18&amp;" "&amp;$J18&amp;" ("&amp;$K18&amp;")")</f>
        <v/>
      </c>
      <c r="C18" s="6">
        <f>IFERROR(INDEX('03_Configurations'!$G$2:$G$1000,MATCH($H18,'03_Configurations'!$A$2:$A$1000,0)),"")</f>
        <v/>
      </c>
      <c r="D18" s="6">
        <f>IFERROR(INDEX('12_OverallScores'!$D$2:$D$1000,MATCH($H18,'12_OverallScores'!$B$2:$B$1000,0)),"")</f>
        <v/>
      </c>
      <c r="E18" s="6">
        <f>IFERROR(INDEX('12_OverallScores'!$E$2:$E$1000,MATCH($H18,'12_OverallScores'!$B$2:$B$1000,0)),"")</f>
        <v/>
      </c>
      <c r="F18" s="6">
        <f>IF($H18="","",IF($L18&gt;0,IF(IFERROR(INDEX('03_Configurations'!$I$2:$I$1000,MATCH($H18,'03_Configurations'!$A$2:$A$1000,0)),"FALSE")="TRUE","FAIL ("&amp;$N18&amp;") - kept, overridden","FAIL ("&amp;$N18&amp;") - excluded"),IF($M18&gt;0,"UNKNOWN","PASS")))</f>
        <v/>
      </c>
      <c r="G18" s="6" t="n"/>
      <c r="H18" s="6" t="n"/>
      <c r="I18" s="6">
        <f>IFERROR(INDEX('02_Vehicles'!$B$2:$B$1000,MATCH(INDEX('03_Configurations'!$B$2:$B$1000,MATCH($H18,'03_Configurations'!$A$2:$A$1000,0)),'02_Vehicles'!$A$2:$A$1000,0)),"")</f>
        <v/>
      </c>
      <c r="J18" s="6">
        <f>IFERROR(INDEX('02_Vehicles'!$C$2:$C$1000,MATCH(INDEX('03_Configurations'!$B$2:$B$1000,MATCH($H18,'03_Configurations'!$A$2:$A$1000,0)),'02_Vehicles'!$A$2:$A$1000,0)),"")</f>
        <v/>
      </c>
      <c r="K18" s="6">
        <f>IFERROR(INDEX('03_Configurations'!$E$2:$E$1000,MATCH($H18,'03_Configurations'!$A$2:$A$1000,0)),"")</f>
        <v/>
      </c>
      <c r="L18" s="6">
        <f>IF($H18="","",COUNTIFS('14_HardRequirementResults'!$B$2:$B$1000,$H18,'14_HardRequirementResults'!$D$2:$D$1000,"FAIL"))</f>
        <v/>
      </c>
      <c r="M18" s="6">
        <f>IF($H18="","",COUNTIFS('14_HardRequirementResults'!$B$2:$B$1000,$H18,'14_HardRequirementResults'!$D$2:$D$1000,"UNKNOWN"))</f>
        <v/>
      </c>
      <c r="N18" s="6">
        <f>IF($L18="","",IF($L18&gt;0,IFERROR(INDEX('14_HardRequirementResults'!$C$2:$C$1000,MATCH(1,INDEX(('14_HardRequirementResults'!$B$2:$B$1000=$H18)*('14_HardRequirementResults'!$D$2:$D$1000="FAIL"),0),0)),""),""))</f>
        <v/>
      </c>
    </row>
    <row r="19">
      <c r="A19" s="6">
        <f>IF($H19="","",RANK($D19,$D$6:$D$25,0))</f>
        <v/>
      </c>
      <c r="B19" s="6">
        <f>IF($H19="","",$I19&amp;" "&amp;$J19&amp;" ("&amp;$K19&amp;")")</f>
        <v/>
      </c>
      <c r="C19" s="6">
        <f>IFERROR(INDEX('03_Configurations'!$G$2:$G$1000,MATCH($H19,'03_Configurations'!$A$2:$A$1000,0)),"")</f>
        <v/>
      </c>
      <c r="D19" s="6">
        <f>IFERROR(INDEX('12_OverallScores'!$D$2:$D$1000,MATCH($H19,'12_OverallScores'!$B$2:$B$1000,0)),"")</f>
        <v/>
      </c>
      <c r="E19" s="6">
        <f>IFERROR(INDEX('12_OverallScores'!$E$2:$E$1000,MATCH($H19,'12_OverallScores'!$B$2:$B$1000,0)),"")</f>
        <v/>
      </c>
      <c r="F19" s="6">
        <f>IF($H19="","",IF($L19&gt;0,IF(IFERROR(INDEX('03_Configurations'!$I$2:$I$1000,MATCH($H19,'03_Configurations'!$A$2:$A$1000,0)),"FALSE")="TRUE","FAIL ("&amp;$N19&amp;") - kept, overridden","FAIL ("&amp;$N19&amp;") - excluded"),IF($M19&gt;0,"UNKNOWN","PASS")))</f>
        <v/>
      </c>
      <c r="G19" s="6" t="n"/>
      <c r="H19" s="6" t="n"/>
      <c r="I19" s="6">
        <f>IFERROR(INDEX('02_Vehicles'!$B$2:$B$1000,MATCH(INDEX('03_Configurations'!$B$2:$B$1000,MATCH($H19,'03_Configurations'!$A$2:$A$1000,0)),'02_Vehicles'!$A$2:$A$1000,0)),"")</f>
        <v/>
      </c>
      <c r="J19" s="6">
        <f>IFERROR(INDEX('02_Vehicles'!$C$2:$C$1000,MATCH(INDEX('03_Configurations'!$B$2:$B$1000,MATCH($H19,'03_Configurations'!$A$2:$A$1000,0)),'02_Vehicles'!$A$2:$A$1000,0)),"")</f>
        <v/>
      </c>
      <c r="K19" s="6">
        <f>IFERROR(INDEX('03_Configurations'!$E$2:$E$1000,MATCH($H19,'03_Configurations'!$A$2:$A$1000,0)),"")</f>
        <v/>
      </c>
      <c r="L19" s="6">
        <f>IF($H19="","",COUNTIFS('14_HardRequirementResults'!$B$2:$B$1000,$H19,'14_HardRequirementResults'!$D$2:$D$1000,"FAIL"))</f>
        <v/>
      </c>
      <c r="M19" s="6">
        <f>IF($H19="","",COUNTIFS('14_HardRequirementResults'!$B$2:$B$1000,$H19,'14_HardRequirementResults'!$D$2:$D$1000,"UNKNOWN"))</f>
        <v/>
      </c>
      <c r="N19" s="6">
        <f>IF($L19="","",IF($L19&gt;0,IFERROR(INDEX('14_HardRequirementResults'!$C$2:$C$1000,MATCH(1,INDEX(('14_HardRequirementResults'!$B$2:$B$1000=$H19)*('14_HardRequirementResults'!$D$2:$D$1000="FAIL"),0),0)),""),""))</f>
        <v/>
      </c>
    </row>
    <row r="20">
      <c r="A20" s="6">
        <f>IF($H20="","",RANK($D20,$D$6:$D$25,0))</f>
        <v/>
      </c>
      <c r="B20" s="6">
        <f>IF($H20="","",$I20&amp;" "&amp;$J20&amp;" ("&amp;$K20&amp;")")</f>
        <v/>
      </c>
      <c r="C20" s="6">
        <f>IFERROR(INDEX('03_Configurations'!$G$2:$G$1000,MATCH($H20,'03_Configurations'!$A$2:$A$1000,0)),"")</f>
        <v/>
      </c>
      <c r="D20" s="6">
        <f>IFERROR(INDEX('12_OverallScores'!$D$2:$D$1000,MATCH($H20,'12_OverallScores'!$B$2:$B$1000,0)),"")</f>
        <v/>
      </c>
      <c r="E20" s="6">
        <f>IFERROR(INDEX('12_OverallScores'!$E$2:$E$1000,MATCH($H20,'12_OverallScores'!$B$2:$B$1000,0)),"")</f>
        <v/>
      </c>
      <c r="F20" s="6">
        <f>IF($H20="","",IF($L20&gt;0,IF(IFERROR(INDEX('03_Configurations'!$I$2:$I$1000,MATCH($H20,'03_Configurations'!$A$2:$A$1000,0)),"FALSE")="TRUE","FAIL ("&amp;$N20&amp;") - kept, overridden","FAIL ("&amp;$N20&amp;") - excluded"),IF($M20&gt;0,"UNKNOWN","PASS")))</f>
        <v/>
      </c>
      <c r="G20" s="6" t="n"/>
      <c r="H20" s="6" t="n"/>
      <c r="I20" s="6">
        <f>IFERROR(INDEX('02_Vehicles'!$B$2:$B$1000,MATCH(INDEX('03_Configurations'!$B$2:$B$1000,MATCH($H20,'03_Configurations'!$A$2:$A$1000,0)),'02_Vehicles'!$A$2:$A$1000,0)),"")</f>
        <v/>
      </c>
      <c r="J20" s="6">
        <f>IFERROR(INDEX('02_Vehicles'!$C$2:$C$1000,MATCH(INDEX('03_Configurations'!$B$2:$B$1000,MATCH($H20,'03_Configurations'!$A$2:$A$1000,0)),'02_Vehicles'!$A$2:$A$1000,0)),"")</f>
        <v/>
      </c>
      <c r="K20" s="6">
        <f>IFERROR(INDEX('03_Configurations'!$E$2:$E$1000,MATCH($H20,'03_Configurations'!$A$2:$A$1000,0)),"")</f>
        <v/>
      </c>
      <c r="L20" s="6">
        <f>IF($H20="","",COUNTIFS('14_HardRequirementResults'!$B$2:$B$1000,$H20,'14_HardRequirementResults'!$D$2:$D$1000,"FAIL"))</f>
        <v/>
      </c>
      <c r="M20" s="6">
        <f>IF($H20="","",COUNTIFS('14_HardRequirementResults'!$B$2:$B$1000,$H20,'14_HardRequirementResults'!$D$2:$D$1000,"UNKNOWN"))</f>
        <v/>
      </c>
      <c r="N20" s="6">
        <f>IF($L20="","",IF($L20&gt;0,IFERROR(INDEX('14_HardRequirementResults'!$C$2:$C$1000,MATCH(1,INDEX(('14_HardRequirementResults'!$B$2:$B$1000=$H20)*('14_HardRequirementResults'!$D$2:$D$1000="FAIL"),0),0)),""),""))</f>
        <v/>
      </c>
    </row>
    <row r="21">
      <c r="A21" s="6">
        <f>IF($H21="","",RANK($D21,$D$6:$D$25,0))</f>
        <v/>
      </c>
      <c r="B21" s="6">
        <f>IF($H21="","",$I21&amp;" "&amp;$J21&amp;" ("&amp;$K21&amp;")")</f>
        <v/>
      </c>
      <c r="C21" s="6">
        <f>IFERROR(INDEX('03_Configurations'!$G$2:$G$1000,MATCH($H21,'03_Configurations'!$A$2:$A$1000,0)),"")</f>
        <v/>
      </c>
      <c r="D21" s="6">
        <f>IFERROR(INDEX('12_OverallScores'!$D$2:$D$1000,MATCH($H21,'12_OverallScores'!$B$2:$B$1000,0)),"")</f>
        <v/>
      </c>
      <c r="E21" s="6">
        <f>IFERROR(INDEX('12_OverallScores'!$E$2:$E$1000,MATCH($H21,'12_OverallScores'!$B$2:$B$1000,0)),"")</f>
        <v/>
      </c>
      <c r="F21" s="6">
        <f>IF($H21="","",IF($L21&gt;0,IF(IFERROR(INDEX('03_Configurations'!$I$2:$I$1000,MATCH($H21,'03_Configurations'!$A$2:$A$1000,0)),"FALSE")="TRUE","FAIL ("&amp;$N21&amp;") - kept, overridden","FAIL ("&amp;$N21&amp;") - excluded"),IF($M21&gt;0,"UNKNOWN","PASS")))</f>
        <v/>
      </c>
      <c r="G21" s="6" t="n"/>
      <c r="H21" s="6" t="n"/>
      <c r="I21" s="6">
        <f>IFERROR(INDEX('02_Vehicles'!$B$2:$B$1000,MATCH(INDEX('03_Configurations'!$B$2:$B$1000,MATCH($H21,'03_Configurations'!$A$2:$A$1000,0)),'02_Vehicles'!$A$2:$A$1000,0)),"")</f>
        <v/>
      </c>
      <c r="J21" s="6">
        <f>IFERROR(INDEX('02_Vehicles'!$C$2:$C$1000,MATCH(INDEX('03_Configurations'!$B$2:$B$1000,MATCH($H21,'03_Configurations'!$A$2:$A$1000,0)),'02_Vehicles'!$A$2:$A$1000,0)),"")</f>
        <v/>
      </c>
      <c r="K21" s="6">
        <f>IFERROR(INDEX('03_Configurations'!$E$2:$E$1000,MATCH($H21,'03_Configurations'!$A$2:$A$1000,0)),"")</f>
        <v/>
      </c>
      <c r="L21" s="6">
        <f>IF($H21="","",COUNTIFS('14_HardRequirementResults'!$B$2:$B$1000,$H21,'14_HardRequirementResults'!$D$2:$D$1000,"FAIL"))</f>
        <v/>
      </c>
      <c r="M21" s="6">
        <f>IF($H21="","",COUNTIFS('14_HardRequirementResults'!$B$2:$B$1000,$H21,'14_HardRequirementResults'!$D$2:$D$1000,"UNKNOWN"))</f>
        <v/>
      </c>
      <c r="N21" s="6">
        <f>IF($L21="","",IF($L21&gt;0,IFERROR(INDEX('14_HardRequirementResults'!$C$2:$C$1000,MATCH(1,INDEX(('14_HardRequirementResults'!$B$2:$B$1000=$H21)*('14_HardRequirementResults'!$D$2:$D$1000="FAIL"),0),0)),""),""))</f>
        <v/>
      </c>
    </row>
    <row r="22">
      <c r="A22" s="6">
        <f>IF($H22="","",RANK($D22,$D$6:$D$25,0))</f>
        <v/>
      </c>
      <c r="B22" s="6">
        <f>IF($H22="","",$I22&amp;" "&amp;$J22&amp;" ("&amp;$K22&amp;")")</f>
        <v/>
      </c>
      <c r="C22" s="6">
        <f>IFERROR(INDEX('03_Configurations'!$G$2:$G$1000,MATCH($H22,'03_Configurations'!$A$2:$A$1000,0)),"")</f>
        <v/>
      </c>
      <c r="D22" s="6">
        <f>IFERROR(INDEX('12_OverallScores'!$D$2:$D$1000,MATCH($H22,'12_OverallScores'!$B$2:$B$1000,0)),"")</f>
        <v/>
      </c>
      <c r="E22" s="6">
        <f>IFERROR(INDEX('12_OverallScores'!$E$2:$E$1000,MATCH($H22,'12_OverallScores'!$B$2:$B$1000,0)),"")</f>
        <v/>
      </c>
      <c r="F22" s="6">
        <f>IF($H22="","",IF($L22&gt;0,IF(IFERROR(INDEX('03_Configurations'!$I$2:$I$1000,MATCH($H22,'03_Configurations'!$A$2:$A$1000,0)),"FALSE")="TRUE","FAIL ("&amp;$N22&amp;") - kept, overridden","FAIL ("&amp;$N22&amp;") - excluded"),IF($M22&gt;0,"UNKNOWN","PASS")))</f>
        <v/>
      </c>
      <c r="G22" s="6" t="n"/>
      <c r="H22" s="6" t="n"/>
      <c r="I22" s="6">
        <f>IFERROR(INDEX('02_Vehicles'!$B$2:$B$1000,MATCH(INDEX('03_Configurations'!$B$2:$B$1000,MATCH($H22,'03_Configurations'!$A$2:$A$1000,0)),'02_Vehicles'!$A$2:$A$1000,0)),"")</f>
        <v/>
      </c>
      <c r="J22" s="6">
        <f>IFERROR(INDEX('02_Vehicles'!$C$2:$C$1000,MATCH(INDEX('03_Configurations'!$B$2:$B$1000,MATCH($H22,'03_Configurations'!$A$2:$A$1000,0)),'02_Vehicles'!$A$2:$A$1000,0)),"")</f>
        <v/>
      </c>
      <c r="K22" s="6">
        <f>IFERROR(INDEX('03_Configurations'!$E$2:$E$1000,MATCH($H22,'03_Configurations'!$A$2:$A$1000,0)),"")</f>
        <v/>
      </c>
      <c r="L22" s="6">
        <f>IF($H22="","",COUNTIFS('14_HardRequirementResults'!$B$2:$B$1000,$H22,'14_HardRequirementResults'!$D$2:$D$1000,"FAIL"))</f>
        <v/>
      </c>
      <c r="M22" s="6">
        <f>IF($H22="","",COUNTIFS('14_HardRequirementResults'!$B$2:$B$1000,$H22,'14_HardRequirementResults'!$D$2:$D$1000,"UNKNOWN"))</f>
        <v/>
      </c>
      <c r="N22" s="6">
        <f>IF($L22="","",IF($L22&gt;0,IFERROR(INDEX('14_HardRequirementResults'!$C$2:$C$1000,MATCH(1,INDEX(('14_HardRequirementResults'!$B$2:$B$1000=$H22)*('14_HardRequirementResults'!$D$2:$D$1000="FAIL"),0),0)),""),""))</f>
        <v/>
      </c>
    </row>
    <row r="23">
      <c r="A23" s="6">
        <f>IF($H23="","",RANK($D23,$D$6:$D$25,0))</f>
        <v/>
      </c>
      <c r="B23" s="6">
        <f>IF($H23="","",$I23&amp;" "&amp;$J23&amp;" ("&amp;$K23&amp;")")</f>
        <v/>
      </c>
      <c r="C23" s="6">
        <f>IFERROR(INDEX('03_Configurations'!$G$2:$G$1000,MATCH($H23,'03_Configurations'!$A$2:$A$1000,0)),"")</f>
        <v/>
      </c>
      <c r="D23" s="6">
        <f>IFERROR(INDEX('12_OverallScores'!$D$2:$D$1000,MATCH($H23,'12_OverallScores'!$B$2:$B$1000,0)),"")</f>
        <v/>
      </c>
      <c r="E23" s="6">
        <f>IFERROR(INDEX('12_OverallScores'!$E$2:$E$1000,MATCH($H23,'12_OverallScores'!$B$2:$B$1000,0)),"")</f>
        <v/>
      </c>
      <c r="F23" s="6">
        <f>IF($H23="","",IF($L23&gt;0,IF(IFERROR(INDEX('03_Configurations'!$I$2:$I$1000,MATCH($H23,'03_Configurations'!$A$2:$A$1000,0)),"FALSE")="TRUE","FAIL ("&amp;$N23&amp;") - kept, overridden","FAIL ("&amp;$N23&amp;") - excluded"),IF($M23&gt;0,"UNKNOWN","PASS")))</f>
        <v/>
      </c>
      <c r="G23" s="6" t="n"/>
      <c r="H23" s="6" t="n"/>
      <c r="I23" s="6">
        <f>IFERROR(INDEX('02_Vehicles'!$B$2:$B$1000,MATCH(INDEX('03_Configurations'!$B$2:$B$1000,MATCH($H23,'03_Configurations'!$A$2:$A$1000,0)),'02_Vehicles'!$A$2:$A$1000,0)),"")</f>
        <v/>
      </c>
      <c r="J23" s="6">
        <f>IFERROR(INDEX('02_Vehicles'!$C$2:$C$1000,MATCH(INDEX('03_Configurations'!$B$2:$B$1000,MATCH($H23,'03_Configurations'!$A$2:$A$1000,0)),'02_Vehicles'!$A$2:$A$1000,0)),"")</f>
        <v/>
      </c>
      <c r="K23" s="6">
        <f>IFERROR(INDEX('03_Configurations'!$E$2:$E$1000,MATCH($H23,'03_Configurations'!$A$2:$A$1000,0)),"")</f>
        <v/>
      </c>
      <c r="L23" s="6">
        <f>IF($H23="","",COUNTIFS('14_HardRequirementResults'!$B$2:$B$1000,$H23,'14_HardRequirementResults'!$D$2:$D$1000,"FAIL"))</f>
        <v/>
      </c>
      <c r="M23" s="6">
        <f>IF($H23="","",COUNTIFS('14_HardRequirementResults'!$B$2:$B$1000,$H23,'14_HardRequirementResults'!$D$2:$D$1000,"UNKNOWN"))</f>
        <v/>
      </c>
      <c r="N23" s="6">
        <f>IF($L23="","",IF($L23&gt;0,IFERROR(INDEX('14_HardRequirementResults'!$C$2:$C$1000,MATCH(1,INDEX(('14_HardRequirementResults'!$B$2:$B$1000=$H23)*('14_HardRequirementResults'!$D$2:$D$1000="FAIL"),0),0)),""),""))</f>
        <v/>
      </c>
    </row>
    <row r="24">
      <c r="A24" s="6">
        <f>IF($H24="","",RANK($D24,$D$6:$D$25,0))</f>
        <v/>
      </c>
      <c r="B24" s="6">
        <f>IF($H24="","",$I24&amp;" "&amp;$J24&amp;" ("&amp;$K24&amp;")")</f>
        <v/>
      </c>
      <c r="C24" s="6">
        <f>IFERROR(INDEX('03_Configurations'!$G$2:$G$1000,MATCH($H24,'03_Configurations'!$A$2:$A$1000,0)),"")</f>
        <v/>
      </c>
      <c r="D24" s="6">
        <f>IFERROR(INDEX('12_OverallScores'!$D$2:$D$1000,MATCH($H24,'12_OverallScores'!$B$2:$B$1000,0)),"")</f>
        <v/>
      </c>
      <c r="E24" s="6">
        <f>IFERROR(INDEX('12_OverallScores'!$E$2:$E$1000,MATCH($H24,'12_OverallScores'!$B$2:$B$1000,0)),"")</f>
        <v/>
      </c>
      <c r="F24" s="6">
        <f>IF($H24="","",IF($L24&gt;0,IF(IFERROR(INDEX('03_Configurations'!$I$2:$I$1000,MATCH($H24,'03_Configurations'!$A$2:$A$1000,0)),"FALSE")="TRUE","FAIL ("&amp;$N24&amp;") - kept, overridden","FAIL ("&amp;$N24&amp;") - excluded"),IF($M24&gt;0,"UNKNOWN","PASS")))</f>
        <v/>
      </c>
      <c r="G24" s="6" t="n"/>
      <c r="H24" s="6" t="n"/>
      <c r="I24" s="6">
        <f>IFERROR(INDEX('02_Vehicles'!$B$2:$B$1000,MATCH(INDEX('03_Configurations'!$B$2:$B$1000,MATCH($H24,'03_Configurations'!$A$2:$A$1000,0)),'02_Vehicles'!$A$2:$A$1000,0)),"")</f>
        <v/>
      </c>
      <c r="J24" s="6">
        <f>IFERROR(INDEX('02_Vehicles'!$C$2:$C$1000,MATCH(INDEX('03_Configurations'!$B$2:$B$1000,MATCH($H24,'03_Configurations'!$A$2:$A$1000,0)),'02_Vehicles'!$A$2:$A$1000,0)),"")</f>
        <v/>
      </c>
      <c r="K24" s="6">
        <f>IFERROR(INDEX('03_Configurations'!$E$2:$E$1000,MATCH($H24,'03_Configurations'!$A$2:$A$1000,0)),"")</f>
        <v/>
      </c>
      <c r="L24" s="6">
        <f>IF($H24="","",COUNTIFS('14_HardRequirementResults'!$B$2:$B$1000,$H24,'14_HardRequirementResults'!$D$2:$D$1000,"FAIL"))</f>
        <v/>
      </c>
      <c r="M24" s="6">
        <f>IF($H24="","",COUNTIFS('14_HardRequirementResults'!$B$2:$B$1000,$H24,'14_HardRequirementResults'!$D$2:$D$1000,"UNKNOWN"))</f>
        <v/>
      </c>
      <c r="N24" s="6">
        <f>IF($L24="","",IF($L24&gt;0,IFERROR(INDEX('14_HardRequirementResults'!$C$2:$C$1000,MATCH(1,INDEX(('14_HardRequirementResults'!$B$2:$B$1000=$H24)*('14_HardRequirementResults'!$D$2:$D$1000="FAIL"),0),0)),""),""))</f>
        <v/>
      </c>
    </row>
    <row r="25">
      <c r="A25" s="6">
        <f>IF($H25="","",RANK($D25,$D$6:$D$25,0))</f>
        <v/>
      </c>
      <c r="B25" s="6">
        <f>IF($H25="","",$I25&amp;" "&amp;$J25&amp;" ("&amp;$K25&amp;")")</f>
        <v/>
      </c>
      <c r="C25" s="6">
        <f>IFERROR(INDEX('03_Configurations'!$G$2:$G$1000,MATCH($H25,'03_Configurations'!$A$2:$A$1000,0)),"")</f>
        <v/>
      </c>
      <c r="D25" s="6">
        <f>IFERROR(INDEX('12_OverallScores'!$D$2:$D$1000,MATCH($H25,'12_OverallScores'!$B$2:$B$1000,0)),"")</f>
        <v/>
      </c>
      <c r="E25" s="6">
        <f>IFERROR(INDEX('12_OverallScores'!$E$2:$E$1000,MATCH($H25,'12_OverallScores'!$B$2:$B$1000,0)),"")</f>
        <v/>
      </c>
      <c r="F25" s="6">
        <f>IF($H25="","",IF($L25&gt;0,IF(IFERROR(INDEX('03_Configurations'!$I$2:$I$1000,MATCH($H25,'03_Configurations'!$A$2:$A$1000,0)),"FALSE")="TRUE","FAIL ("&amp;$N25&amp;") - kept, overridden","FAIL ("&amp;$N25&amp;") - excluded"),IF($M25&gt;0,"UNKNOWN","PASS")))</f>
        <v/>
      </c>
      <c r="G25" s="6" t="n"/>
      <c r="H25" s="6" t="n"/>
      <c r="I25" s="6">
        <f>IFERROR(INDEX('02_Vehicles'!$B$2:$B$1000,MATCH(INDEX('03_Configurations'!$B$2:$B$1000,MATCH($H25,'03_Configurations'!$A$2:$A$1000,0)),'02_Vehicles'!$A$2:$A$1000,0)),"")</f>
        <v/>
      </c>
      <c r="J25" s="6">
        <f>IFERROR(INDEX('02_Vehicles'!$C$2:$C$1000,MATCH(INDEX('03_Configurations'!$B$2:$B$1000,MATCH($H25,'03_Configurations'!$A$2:$A$1000,0)),'02_Vehicles'!$A$2:$A$1000,0)),"")</f>
        <v/>
      </c>
      <c r="K25" s="6">
        <f>IFERROR(INDEX('03_Configurations'!$E$2:$E$1000,MATCH($H25,'03_Configurations'!$A$2:$A$1000,0)),"")</f>
        <v/>
      </c>
      <c r="L25" s="6">
        <f>IF($H25="","",COUNTIFS('14_HardRequirementResults'!$B$2:$B$1000,$H25,'14_HardRequirementResults'!$D$2:$D$1000,"FAIL"))</f>
        <v/>
      </c>
      <c r="M25" s="6">
        <f>IF($H25="","",COUNTIFS('14_HardRequirementResults'!$B$2:$B$1000,$H25,'14_HardRequirementResults'!$D$2:$D$1000,"UNKNOWN"))</f>
        <v/>
      </c>
      <c r="N25" s="6">
        <f>IF($L25="","",IF($L25&gt;0,IFERROR(INDEX('14_HardRequirementResults'!$C$2:$C$1000,MATCH(1,INDEX(('14_HardRequirementResults'!$B$2:$B$1000=$H25)*('14_HardRequirementResults'!$D$2:$D$1000="FAIL"),0),0)),""),""))</f>
        <v/>
      </c>
    </row>
    <row r="27">
      <c r="A27" s="4" t="inlineStr">
        <is>
          <t>2. Category Breakdown (WeightedScore sum per Category)</t>
        </is>
      </c>
    </row>
    <row r="28">
      <c r="A28" s="1" t="inlineStr">
        <is>
          <t>Configuration</t>
        </is>
      </c>
      <c r="B28" s="1" t="inlineStr">
        <is>
          <t>Kjøreopplevelse</t>
        </is>
      </c>
      <c r="C28" s="1" t="inlineStr">
        <is>
          <t>Teknologi</t>
        </is>
      </c>
      <c r="D28" s="1" t="inlineStr">
        <is>
          <t>Opplevd kvalitet</t>
        </is>
      </c>
      <c r="E28" s="1" t="inlineStr">
        <is>
          <t>Langtidseierskap</t>
        </is>
      </c>
      <c r="F28" s="1" t="inlineStr">
        <is>
          <t>Økonomi</t>
        </is>
      </c>
      <c r="G28" s="1" t="inlineStr">
        <is>
          <t>Praktisk bruk</t>
        </is>
      </c>
      <c r="H28" s="1" t="inlineStr">
        <is>
          <t>Garasje</t>
        </is>
      </c>
      <c r="I28" s="1" t="inlineStr">
        <is>
          <t>Rekkevidde/lading</t>
        </is>
      </c>
      <c r="J28" s="5" t="inlineStr">
        <is>
          <t>ConfigurationID</t>
        </is>
      </c>
    </row>
    <row r="29">
      <c r="A29" s="6">
        <f>IF($J29="","",$J29)</f>
        <v/>
      </c>
      <c r="B29" s="6">
        <f>IF($J29="","",IFERROR(SUMPRODUCT(('10_Scoring'!$B$2:$B$1000=$J29)*('10_Scoring'!$E$2:$E$1000=INDEX('12_OverallScores'!$C$2:$C$1000,MATCH($J29,'12_OverallScores'!$B$2:$B$1000,0)))*(IFERROR(INDEX('01_Criteria'!$B$2:$B$1000,MATCH('10_Scoring'!$C$2:$C$1000,'01_Criteria'!$A$2:$A$1000,0)),"")=B$28)*'10_Scoring'!$G$2:$G$1000),0))</f>
        <v/>
      </c>
      <c r="C29" s="6">
        <f>IF($J29="","",IFERROR(SUMPRODUCT(('10_Scoring'!$B$2:$B$1000=$J29)*('10_Scoring'!$E$2:$E$1000=INDEX('12_OverallScores'!$C$2:$C$1000,MATCH($J29,'12_OverallScores'!$B$2:$B$1000,0)))*(IFERROR(INDEX('01_Criteria'!$B$2:$B$1000,MATCH('10_Scoring'!$C$2:$C$1000,'01_Criteria'!$A$2:$A$1000,0)),"")=C$28)*'10_Scoring'!$G$2:$G$1000),0))</f>
        <v/>
      </c>
      <c r="D29" s="6">
        <f>IF($J29="","",IFERROR(SUMPRODUCT(('10_Scoring'!$B$2:$B$1000=$J29)*('10_Scoring'!$E$2:$E$1000=INDEX('12_OverallScores'!$C$2:$C$1000,MATCH($J29,'12_OverallScores'!$B$2:$B$1000,0)))*(IFERROR(INDEX('01_Criteria'!$B$2:$B$1000,MATCH('10_Scoring'!$C$2:$C$1000,'01_Criteria'!$A$2:$A$1000,0)),"")=D$28)*'10_Scoring'!$G$2:$G$1000),0))</f>
        <v/>
      </c>
      <c r="E29" s="6">
        <f>IF($J29="","",IFERROR(SUMPRODUCT(('10_Scoring'!$B$2:$B$1000=$J29)*('10_Scoring'!$E$2:$E$1000=INDEX('12_OverallScores'!$C$2:$C$1000,MATCH($J29,'12_OverallScores'!$B$2:$B$1000,0)))*(IFERROR(INDEX('01_Criteria'!$B$2:$B$1000,MATCH('10_Scoring'!$C$2:$C$1000,'01_Criteria'!$A$2:$A$1000,0)),"")=E$28)*'10_Scoring'!$G$2:$G$1000),0))</f>
        <v/>
      </c>
      <c r="F29" s="6">
        <f>IF($J29="","",IFERROR(SUMPRODUCT(('10_Scoring'!$B$2:$B$1000=$J29)*('10_Scoring'!$E$2:$E$1000=INDEX('12_OverallScores'!$C$2:$C$1000,MATCH($J29,'12_OverallScores'!$B$2:$B$1000,0)))*(IFERROR(INDEX('01_Criteria'!$B$2:$B$1000,MATCH('10_Scoring'!$C$2:$C$1000,'01_Criteria'!$A$2:$A$1000,0)),"")=F$28)*'10_Scoring'!$G$2:$G$1000),0))</f>
        <v/>
      </c>
      <c r="G29" s="6">
        <f>IF($J29="","",IFERROR(SUMPRODUCT(('10_Scoring'!$B$2:$B$1000=$J29)*('10_Scoring'!$E$2:$E$1000=INDEX('12_OverallScores'!$C$2:$C$1000,MATCH($J29,'12_OverallScores'!$B$2:$B$1000,0)))*(IFERROR(INDEX('01_Criteria'!$B$2:$B$1000,MATCH('10_Scoring'!$C$2:$C$1000,'01_Criteria'!$A$2:$A$1000,0)),"")=G$28)*'10_Scoring'!$G$2:$G$1000),0))</f>
        <v/>
      </c>
      <c r="H29" s="6">
        <f>IF($J29="","",IFERROR(SUMPRODUCT(('10_Scoring'!$B$2:$B$1000=$J29)*('10_Scoring'!$E$2:$E$1000=INDEX('12_OverallScores'!$C$2:$C$1000,MATCH($J29,'12_OverallScores'!$B$2:$B$1000,0)))*(IFERROR(INDEX('01_Criteria'!$B$2:$B$1000,MATCH('10_Scoring'!$C$2:$C$1000,'01_Criteria'!$A$2:$A$1000,0)),"")=H$28)*'10_Scoring'!$G$2:$G$1000),0))</f>
        <v/>
      </c>
      <c r="I29" s="6">
        <f>IF($J29="","",IFERROR(SUMPRODUCT(('10_Scoring'!$B$2:$B$1000=$J29)*('10_Scoring'!$E$2:$E$1000=INDEX('12_OverallScores'!$C$2:$C$1000,MATCH($J29,'12_OverallScores'!$B$2:$B$1000,0)))*(IFERROR(INDEX('01_Criteria'!$B$2:$B$1000,MATCH('10_Scoring'!$C$2:$C$1000,'01_Criteria'!$A$2:$A$1000,0)),"")=I$28)*'10_Scoring'!$G$2:$G$1000),0))</f>
        <v/>
      </c>
      <c r="J29" s="6" t="inlineStr">
        <is>
          <t>TESLA_MODEL_3_LONG_RANGE_RWD</t>
        </is>
      </c>
    </row>
    <row r="30">
      <c r="A30" s="6">
        <f>IF($J30="","",$J30)</f>
        <v/>
      </c>
      <c r="B30" s="6">
        <f>IF($J30="","",IFERROR(SUMPRODUCT(('10_Scoring'!$B$2:$B$1000=$J30)*('10_Scoring'!$E$2:$E$1000=INDEX('12_OverallScores'!$C$2:$C$1000,MATCH($J30,'12_OverallScores'!$B$2:$B$1000,0)))*(IFERROR(INDEX('01_Criteria'!$B$2:$B$1000,MATCH('10_Scoring'!$C$2:$C$1000,'01_Criteria'!$A$2:$A$1000,0)),"")=B$28)*'10_Scoring'!$G$2:$G$1000),0))</f>
        <v/>
      </c>
      <c r="C30" s="6">
        <f>IF($J30="","",IFERROR(SUMPRODUCT(('10_Scoring'!$B$2:$B$1000=$J30)*('10_Scoring'!$E$2:$E$1000=INDEX('12_OverallScores'!$C$2:$C$1000,MATCH($J30,'12_OverallScores'!$B$2:$B$1000,0)))*(IFERROR(INDEX('01_Criteria'!$B$2:$B$1000,MATCH('10_Scoring'!$C$2:$C$1000,'01_Criteria'!$A$2:$A$1000,0)),"")=C$28)*'10_Scoring'!$G$2:$G$1000),0))</f>
        <v/>
      </c>
      <c r="D30" s="6">
        <f>IF($J30="","",IFERROR(SUMPRODUCT(('10_Scoring'!$B$2:$B$1000=$J30)*('10_Scoring'!$E$2:$E$1000=INDEX('12_OverallScores'!$C$2:$C$1000,MATCH($J30,'12_OverallScores'!$B$2:$B$1000,0)))*(IFERROR(INDEX('01_Criteria'!$B$2:$B$1000,MATCH('10_Scoring'!$C$2:$C$1000,'01_Criteria'!$A$2:$A$1000,0)),"")=D$28)*'10_Scoring'!$G$2:$G$1000),0))</f>
        <v/>
      </c>
      <c r="E30" s="6">
        <f>IF($J30="","",IFERROR(SUMPRODUCT(('10_Scoring'!$B$2:$B$1000=$J30)*('10_Scoring'!$E$2:$E$1000=INDEX('12_OverallScores'!$C$2:$C$1000,MATCH($J30,'12_OverallScores'!$B$2:$B$1000,0)))*(IFERROR(INDEX('01_Criteria'!$B$2:$B$1000,MATCH('10_Scoring'!$C$2:$C$1000,'01_Criteria'!$A$2:$A$1000,0)),"")=E$28)*'10_Scoring'!$G$2:$G$1000),0))</f>
        <v/>
      </c>
      <c r="F30" s="6">
        <f>IF($J30="","",IFERROR(SUMPRODUCT(('10_Scoring'!$B$2:$B$1000=$J30)*('10_Scoring'!$E$2:$E$1000=INDEX('12_OverallScores'!$C$2:$C$1000,MATCH($J30,'12_OverallScores'!$B$2:$B$1000,0)))*(IFERROR(INDEX('01_Criteria'!$B$2:$B$1000,MATCH('10_Scoring'!$C$2:$C$1000,'01_Criteria'!$A$2:$A$1000,0)),"")=F$28)*'10_Scoring'!$G$2:$G$1000),0))</f>
        <v/>
      </c>
      <c r="G30" s="6">
        <f>IF($J30="","",IFERROR(SUMPRODUCT(('10_Scoring'!$B$2:$B$1000=$J30)*('10_Scoring'!$E$2:$E$1000=INDEX('12_OverallScores'!$C$2:$C$1000,MATCH($J30,'12_OverallScores'!$B$2:$B$1000,0)))*(IFERROR(INDEX('01_Criteria'!$B$2:$B$1000,MATCH('10_Scoring'!$C$2:$C$1000,'01_Criteria'!$A$2:$A$1000,0)),"")=G$28)*'10_Scoring'!$G$2:$G$1000),0))</f>
        <v/>
      </c>
      <c r="H30" s="6">
        <f>IF($J30="","",IFERROR(SUMPRODUCT(('10_Scoring'!$B$2:$B$1000=$J30)*('10_Scoring'!$E$2:$E$1000=INDEX('12_OverallScores'!$C$2:$C$1000,MATCH($J30,'12_OverallScores'!$B$2:$B$1000,0)))*(IFERROR(INDEX('01_Criteria'!$B$2:$B$1000,MATCH('10_Scoring'!$C$2:$C$1000,'01_Criteria'!$A$2:$A$1000,0)),"")=H$28)*'10_Scoring'!$G$2:$G$1000),0))</f>
        <v/>
      </c>
      <c r="I30" s="6">
        <f>IF($J30="","",IFERROR(SUMPRODUCT(('10_Scoring'!$B$2:$B$1000=$J30)*('10_Scoring'!$E$2:$E$1000=INDEX('12_OverallScores'!$C$2:$C$1000,MATCH($J30,'12_OverallScores'!$B$2:$B$1000,0)))*(IFERROR(INDEX('01_Criteria'!$B$2:$B$1000,MATCH('10_Scoring'!$C$2:$C$1000,'01_Criteria'!$A$2:$A$1000,0)),"")=I$28)*'10_Scoring'!$G$2:$G$1000),0))</f>
        <v/>
      </c>
      <c r="J30" s="6" t="inlineStr">
        <is>
          <t>RENAULT_4_TECHNO</t>
        </is>
      </c>
    </row>
    <row r="31">
      <c r="A31" s="6">
        <f>IF($J31="","",$J31)</f>
        <v/>
      </c>
      <c r="B31" s="6">
        <f>IF($J31="","",IFERROR(SUMPRODUCT(('10_Scoring'!$B$2:$B$1000=$J31)*('10_Scoring'!$E$2:$E$1000=INDEX('12_OverallScores'!$C$2:$C$1000,MATCH($J31,'12_OverallScores'!$B$2:$B$1000,0)))*(IFERROR(INDEX('01_Criteria'!$B$2:$B$1000,MATCH('10_Scoring'!$C$2:$C$1000,'01_Criteria'!$A$2:$A$1000,0)),"")=B$28)*'10_Scoring'!$G$2:$G$1000),0))</f>
        <v/>
      </c>
      <c r="C31" s="6">
        <f>IF($J31="","",IFERROR(SUMPRODUCT(('10_Scoring'!$B$2:$B$1000=$J31)*('10_Scoring'!$E$2:$E$1000=INDEX('12_OverallScores'!$C$2:$C$1000,MATCH($J31,'12_OverallScores'!$B$2:$B$1000,0)))*(IFERROR(INDEX('01_Criteria'!$B$2:$B$1000,MATCH('10_Scoring'!$C$2:$C$1000,'01_Criteria'!$A$2:$A$1000,0)),"")=C$28)*'10_Scoring'!$G$2:$G$1000),0))</f>
        <v/>
      </c>
      <c r="D31" s="6">
        <f>IF($J31="","",IFERROR(SUMPRODUCT(('10_Scoring'!$B$2:$B$1000=$J31)*('10_Scoring'!$E$2:$E$1000=INDEX('12_OverallScores'!$C$2:$C$1000,MATCH($J31,'12_OverallScores'!$B$2:$B$1000,0)))*(IFERROR(INDEX('01_Criteria'!$B$2:$B$1000,MATCH('10_Scoring'!$C$2:$C$1000,'01_Criteria'!$A$2:$A$1000,0)),"")=D$28)*'10_Scoring'!$G$2:$G$1000),0))</f>
        <v/>
      </c>
      <c r="E31" s="6">
        <f>IF($J31="","",IFERROR(SUMPRODUCT(('10_Scoring'!$B$2:$B$1000=$J31)*('10_Scoring'!$E$2:$E$1000=INDEX('12_OverallScores'!$C$2:$C$1000,MATCH($J31,'12_OverallScores'!$B$2:$B$1000,0)))*(IFERROR(INDEX('01_Criteria'!$B$2:$B$1000,MATCH('10_Scoring'!$C$2:$C$1000,'01_Criteria'!$A$2:$A$1000,0)),"")=E$28)*'10_Scoring'!$G$2:$G$1000),0))</f>
        <v/>
      </c>
      <c r="F31" s="6">
        <f>IF($J31="","",IFERROR(SUMPRODUCT(('10_Scoring'!$B$2:$B$1000=$J31)*('10_Scoring'!$E$2:$E$1000=INDEX('12_OverallScores'!$C$2:$C$1000,MATCH($J31,'12_OverallScores'!$B$2:$B$1000,0)))*(IFERROR(INDEX('01_Criteria'!$B$2:$B$1000,MATCH('10_Scoring'!$C$2:$C$1000,'01_Criteria'!$A$2:$A$1000,0)),"")=F$28)*'10_Scoring'!$G$2:$G$1000),0))</f>
        <v/>
      </c>
      <c r="G31" s="6">
        <f>IF($J31="","",IFERROR(SUMPRODUCT(('10_Scoring'!$B$2:$B$1000=$J31)*('10_Scoring'!$E$2:$E$1000=INDEX('12_OverallScores'!$C$2:$C$1000,MATCH($J31,'12_OverallScores'!$B$2:$B$1000,0)))*(IFERROR(INDEX('01_Criteria'!$B$2:$B$1000,MATCH('10_Scoring'!$C$2:$C$1000,'01_Criteria'!$A$2:$A$1000,0)),"")=G$28)*'10_Scoring'!$G$2:$G$1000),0))</f>
        <v/>
      </c>
      <c r="H31" s="6">
        <f>IF($J31="","",IFERROR(SUMPRODUCT(('10_Scoring'!$B$2:$B$1000=$J31)*('10_Scoring'!$E$2:$E$1000=INDEX('12_OverallScores'!$C$2:$C$1000,MATCH($J31,'12_OverallScores'!$B$2:$B$1000,0)))*(IFERROR(INDEX('01_Criteria'!$B$2:$B$1000,MATCH('10_Scoring'!$C$2:$C$1000,'01_Criteria'!$A$2:$A$1000,0)),"")=H$28)*'10_Scoring'!$G$2:$G$1000),0))</f>
        <v/>
      </c>
      <c r="I31" s="6">
        <f>IF($J31="","",IFERROR(SUMPRODUCT(('10_Scoring'!$B$2:$B$1000=$J31)*('10_Scoring'!$E$2:$E$1000=INDEX('12_OverallScores'!$C$2:$C$1000,MATCH($J31,'12_OverallScores'!$B$2:$B$1000,0)))*(IFERROR(INDEX('01_Criteria'!$B$2:$B$1000,MATCH('10_Scoring'!$C$2:$C$1000,'01_Criteria'!$A$2:$A$1000,0)),"")=I$28)*'10_Scoring'!$G$2:$G$1000),0))</f>
        <v/>
      </c>
      <c r="J31" s="6" t="inlineStr">
        <is>
          <t>SKODA_ELROQ_SELECTION_60</t>
        </is>
      </c>
    </row>
    <row r="32">
      <c r="A32" s="6">
        <f>IF($J32="","",$J32)</f>
        <v/>
      </c>
      <c r="B32" s="6">
        <f>IF($J32="","",IFERROR(SUMPRODUCT(('10_Scoring'!$B$2:$B$1000=$J32)*('10_Scoring'!$E$2:$E$1000=INDEX('12_OverallScores'!$C$2:$C$1000,MATCH($J32,'12_OverallScores'!$B$2:$B$1000,0)))*(IFERROR(INDEX('01_Criteria'!$B$2:$B$1000,MATCH('10_Scoring'!$C$2:$C$1000,'01_Criteria'!$A$2:$A$1000,0)),"")=B$28)*'10_Scoring'!$G$2:$G$1000),0))</f>
        <v/>
      </c>
      <c r="C32" s="6">
        <f>IF($J32="","",IFERROR(SUMPRODUCT(('10_Scoring'!$B$2:$B$1000=$J32)*('10_Scoring'!$E$2:$E$1000=INDEX('12_OverallScores'!$C$2:$C$1000,MATCH($J32,'12_OverallScores'!$B$2:$B$1000,0)))*(IFERROR(INDEX('01_Criteria'!$B$2:$B$1000,MATCH('10_Scoring'!$C$2:$C$1000,'01_Criteria'!$A$2:$A$1000,0)),"")=C$28)*'10_Scoring'!$G$2:$G$1000),0))</f>
        <v/>
      </c>
      <c r="D32" s="6">
        <f>IF($J32="","",IFERROR(SUMPRODUCT(('10_Scoring'!$B$2:$B$1000=$J32)*('10_Scoring'!$E$2:$E$1000=INDEX('12_OverallScores'!$C$2:$C$1000,MATCH($J32,'12_OverallScores'!$B$2:$B$1000,0)))*(IFERROR(INDEX('01_Criteria'!$B$2:$B$1000,MATCH('10_Scoring'!$C$2:$C$1000,'01_Criteria'!$A$2:$A$1000,0)),"")=D$28)*'10_Scoring'!$G$2:$G$1000),0))</f>
        <v/>
      </c>
      <c r="E32" s="6">
        <f>IF($J32="","",IFERROR(SUMPRODUCT(('10_Scoring'!$B$2:$B$1000=$J32)*('10_Scoring'!$E$2:$E$1000=INDEX('12_OverallScores'!$C$2:$C$1000,MATCH($J32,'12_OverallScores'!$B$2:$B$1000,0)))*(IFERROR(INDEX('01_Criteria'!$B$2:$B$1000,MATCH('10_Scoring'!$C$2:$C$1000,'01_Criteria'!$A$2:$A$1000,0)),"")=E$28)*'10_Scoring'!$G$2:$G$1000),0))</f>
        <v/>
      </c>
      <c r="F32" s="6">
        <f>IF($J32="","",IFERROR(SUMPRODUCT(('10_Scoring'!$B$2:$B$1000=$J32)*('10_Scoring'!$E$2:$E$1000=INDEX('12_OverallScores'!$C$2:$C$1000,MATCH($J32,'12_OverallScores'!$B$2:$B$1000,0)))*(IFERROR(INDEX('01_Criteria'!$B$2:$B$1000,MATCH('10_Scoring'!$C$2:$C$1000,'01_Criteria'!$A$2:$A$1000,0)),"")=F$28)*'10_Scoring'!$G$2:$G$1000),0))</f>
        <v/>
      </c>
      <c r="G32" s="6">
        <f>IF($J32="","",IFERROR(SUMPRODUCT(('10_Scoring'!$B$2:$B$1000=$J32)*('10_Scoring'!$E$2:$E$1000=INDEX('12_OverallScores'!$C$2:$C$1000,MATCH($J32,'12_OverallScores'!$B$2:$B$1000,0)))*(IFERROR(INDEX('01_Criteria'!$B$2:$B$1000,MATCH('10_Scoring'!$C$2:$C$1000,'01_Criteria'!$A$2:$A$1000,0)),"")=G$28)*'10_Scoring'!$G$2:$G$1000),0))</f>
        <v/>
      </c>
      <c r="H32" s="6">
        <f>IF($J32="","",IFERROR(SUMPRODUCT(('10_Scoring'!$B$2:$B$1000=$J32)*('10_Scoring'!$E$2:$E$1000=INDEX('12_OverallScores'!$C$2:$C$1000,MATCH($J32,'12_OverallScores'!$B$2:$B$1000,0)))*(IFERROR(INDEX('01_Criteria'!$B$2:$B$1000,MATCH('10_Scoring'!$C$2:$C$1000,'01_Criteria'!$A$2:$A$1000,0)),"")=H$28)*'10_Scoring'!$G$2:$G$1000),0))</f>
        <v/>
      </c>
      <c r="I32" s="6">
        <f>IF($J32="","",IFERROR(SUMPRODUCT(('10_Scoring'!$B$2:$B$1000=$J32)*('10_Scoring'!$E$2:$E$1000=INDEX('12_OverallScores'!$C$2:$C$1000,MATCH($J32,'12_OverallScores'!$B$2:$B$1000,0)))*(IFERROR(INDEX('01_Criteria'!$B$2:$B$1000,MATCH('10_Scoring'!$C$2:$C$1000,'01_Criteria'!$A$2:$A$1000,0)),"")=I$28)*'10_Scoring'!$G$2:$G$1000),0))</f>
        <v/>
      </c>
      <c r="J32" s="6" t="inlineStr">
        <is>
          <t>VOLVO_EX30_P5_LONG_RANGE</t>
        </is>
      </c>
    </row>
    <row r="33">
      <c r="A33" s="6">
        <f>IF($J33="","",$J33)</f>
        <v/>
      </c>
      <c r="B33" s="6">
        <f>IF($J33="","",IFERROR(SUMPRODUCT(('10_Scoring'!$B$2:$B$1000=$J33)*('10_Scoring'!$E$2:$E$1000=INDEX('12_OverallScores'!$C$2:$C$1000,MATCH($J33,'12_OverallScores'!$B$2:$B$1000,0)))*(IFERROR(INDEX('01_Criteria'!$B$2:$B$1000,MATCH('10_Scoring'!$C$2:$C$1000,'01_Criteria'!$A$2:$A$1000,0)),"")=B$28)*'10_Scoring'!$G$2:$G$1000),0))</f>
        <v/>
      </c>
      <c r="C33" s="6">
        <f>IF($J33="","",IFERROR(SUMPRODUCT(('10_Scoring'!$B$2:$B$1000=$J33)*('10_Scoring'!$E$2:$E$1000=INDEX('12_OverallScores'!$C$2:$C$1000,MATCH($J33,'12_OverallScores'!$B$2:$B$1000,0)))*(IFERROR(INDEX('01_Criteria'!$B$2:$B$1000,MATCH('10_Scoring'!$C$2:$C$1000,'01_Criteria'!$A$2:$A$1000,0)),"")=C$28)*'10_Scoring'!$G$2:$G$1000),0))</f>
        <v/>
      </c>
      <c r="D33" s="6">
        <f>IF($J33="","",IFERROR(SUMPRODUCT(('10_Scoring'!$B$2:$B$1000=$J33)*('10_Scoring'!$E$2:$E$1000=INDEX('12_OverallScores'!$C$2:$C$1000,MATCH($J33,'12_OverallScores'!$B$2:$B$1000,0)))*(IFERROR(INDEX('01_Criteria'!$B$2:$B$1000,MATCH('10_Scoring'!$C$2:$C$1000,'01_Criteria'!$A$2:$A$1000,0)),"")=D$28)*'10_Scoring'!$G$2:$G$1000),0))</f>
        <v/>
      </c>
      <c r="E33" s="6">
        <f>IF($J33="","",IFERROR(SUMPRODUCT(('10_Scoring'!$B$2:$B$1000=$J33)*('10_Scoring'!$E$2:$E$1000=INDEX('12_OverallScores'!$C$2:$C$1000,MATCH($J33,'12_OverallScores'!$B$2:$B$1000,0)))*(IFERROR(INDEX('01_Criteria'!$B$2:$B$1000,MATCH('10_Scoring'!$C$2:$C$1000,'01_Criteria'!$A$2:$A$1000,0)),"")=E$28)*'10_Scoring'!$G$2:$G$1000),0))</f>
        <v/>
      </c>
      <c r="F33" s="6">
        <f>IF($J33="","",IFERROR(SUMPRODUCT(('10_Scoring'!$B$2:$B$1000=$J33)*('10_Scoring'!$E$2:$E$1000=INDEX('12_OverallScores'!$C$2:$C$1000,MATCH($J33,'12_OverallScores'!$B$2:$B$1000,0)))*(IFERROR(INDEX('01_Criteria'!$B$2:$B$1000,MATCH('10_Scoring'!$C$2:$C$1000,'01_Criteria'!$A$2:$A$1000,0)),"")=F$28)*'10_Scoring'!$G$2:$G$1000),0))</f>
        <v/>
      </c>
      <c r="G33" s="6">
        <f>IF($J33="","",IFERROR(SUMPRODUCT(('10_Scoring'!$B$2:$B$1000=$J33)*('10_Scoring'!$E$2:$E$1000=INDEX('12_OverallScores'!$C$2:$C$1000,MATCH($J33,'12_OverallScores'!$B$2:$B$1000,0)))*(IFERROR(INDEX('01_Criteria'!$B$2:$B$1000,MATCH('10_Scoring'!$C$2:$C$1000,'01_Criteria'!$A$2:$A$1000,0)),"")=G$28)*'10_Scoring'!$G$2:$G$1000),0))</f>
        <v/>
      </c>
      <c r="H33" s="6">
        <f>IF($J33="","",IFERROR(SUMPRODUCT(('10_Scoring'!$B$2:$B$1000=$J33)*('10_Scoring'!$E$2:$E$1000=INDEX('12_OverallScores'!$C$2:$C$1000,MATCH($J33,'12_OverallScores'!$B$2:$B$1000,0)))*(IFERROR(INDEX('01_Criteria'!$B$2:$B$1000,MATCH('10_Scoring'!$C$2:$C$1000,'01_Criteria'!$A$2:$A$1000,0)),"")=H$28)*'10_Scoring'!$G$2:$G$1000),0))</f>
        <v/>
      </c>
      <c r="I33" s="6">
        <f>IF($J33="","",IFERROR(SUMPRODUCT(('10_Scoring'!$B$2:$B$1000=$J33)*('10_Scoring'!$E$2:$E$1000=INDEX('12_OverallScores'!$C$2:$C$1000,MATCH($J33,'12_OverallScores'!$B$2:$B$1000,0)))*(IFERROR(INDEX('01_Criteria'!$B$2:$B$1000,MATCH('10_Scoring'!$C$2:$C$1000,'01_Criteria'!$A$2:$A$1000,0)),"")=I$28)*'10_Scoring'!$G$2:$G$1000),0))</f>
        <v/>
      </c>
      <c r="J33" s="6" t="inlineStr">
        <is>
          <t>KIA_EV2_FWD_LONG_RANGE_GT_LINE</t>
        </is>
      </c>
    </row>
    <row r="34">
      <c r="A34" s="6">
        <f>IF($J34="","",$J34)</f>
        <v/>
      </c>
      <c r="B34" s="6">
        <f>IF($J34="","",IFERROR(SUMPRODUCT(('10_Scoring'!$B$2:$B$1000=$J34)*('10_Scoring'!$E$2:$E$1000=INDEX('12_OverallScores'!$C$2:$C$1000,MATCH($J34,'12_OverallScores'!$B$2:$B$1000,0)))*(IFERROR(INDEX('01_Criteria'!$B$2:$B$1000,MATCH('10_Scoring'!$C$2:$C$1000,'01_Criteria'!$A$2:$A$1000,0)),"")=B$28)*'10_Scoring'!$G$2:$G$1000),0))</f>
        <v/>
      </c>
      <c r="C34" s="6">
        <f>IF($J34="","",IFERROR(SUMPRODUCT(('10_Scoring'!$B$2:$B$1000=$J34)*('10_Scoring'!$E$2:$E$1000=INDEX('12_OverallScores'!$C$2:$C$1000,MATCH($J34,'12_OverallScores'!$B$2:$B$1000,0)))*(IFERROR(INDEX('01_Criteria'!$B$2:$B$1000,MATCH('10_Scoring'!$C$2:$C$1000,'01_Criteria'!$A$2:$A$1000,0)),"")=C$28)*'10_Scoring'!$G$2:$G$1000),0))</f>
        <v/>
      </c>
      <c r="D34" s="6">
        <f>IF($J34="","",IFERROR(SUMPRODUCT(('10_Scoring'!$B$2:$B$1000=$J34)*('10_Scoring'!$E$2:$E$1000=INDEX('12_OverallScores'!$C$2:$C$1000,MATCH($J34,'12_OverallScores'!$B$2:$B$1000,0)))*(IFERROR(INDEX('01_Criteria'!$B$2:$B$1000,MATCH('10_Scoring'!$C$2:$C$1000,'01_Criteria'!$A$2:$A$1000,0)),"")=D$28)*'10_Scoring'!$G$2:$G$1000),0))</f>
        <v/>
      </c>
      <c r="E34" s="6">
        <f>IF($J34="","",IFERROR(SUMPRODUCT(('10_Scoring'!$B$2:$B$1000=$J34)*('10_Scoring'!$E$2:$E$1000=INDEX('12_OverallScores'!$C$2:$C$1000,MATCH($J34,'12_OverallScores'!$B$2:$B$1000,0)))*(IFERROR(INDEX('01_Criteria'!$B$2:$B$1000,MATCH('10_Scoring'!$C$2:$C$1000,'01_Criteria'!$A$2:$A$1000,0)),"")=E$28)*'10_Scoring'!$G$2:$G$1000),0))</f>
        <v/>
      </c>
      <c r="F34" s="6">
        <f>IF($J34="","",IFERROR(SUMPRODUCT(('10_Scoring'!$B$2:$B$1000=$J34)*('10_Scoring'!$E$2:$E$1000=INDEX('12_OverallScores'!$C$2:$C$1000,MATCH($J34,'12_OverallScores'!$B$2:$B$1000,0)))*(IFERROR(INDEX('01_Criteria'!$B$2:$B$1000,MATCH('10_Scoring'!$C$2:$C$1000,'01_Criteria'!$A$2:$A$1000,0)),"")=F$28)*'10_Scoring'!$G$2:$G$1000),0))</f>
        <v/>
      </c>
      <c r="G34" s="6">
        <f>IF($J34="","",IFERROR(SUMPRODUCT(('10_Scoring'!$B$2:$B$1000=$J34)*('10_Scoring'!$E$2:$E$1000=INDEX('12_OverallScores'!$C$2:$C$1000,MATCH($J34,'12_OverallScores'!$B$2:$B$1000,0)))*(IFERROR(INDEX('01_Criteria'!$B$2:$B$1000,MATCH('10_Scoring'!$C$2:$C$1000,'01_Criteria'!$A$2:$A$1000,0)),"")=G$28)*'10_Scoring'!$G$2:$G$1000),0))</f>
        <v/>
      </c>
      <c r="H34" s="6">
        <f>IF($J34="","",IFERROR(SUMPRODUCT(('10_Scoring'!$B$2:$B$1000=$J34)*('10_Scoring'!$E$2:$E$1000=INDEX('12_OverallScores'!$C$2:$C$1000,MATCH($J34,'12_OverallScores'!$B$2:$B$1000,0)))*(IFERROR(INDEX('01_Criteria'!$B$2:$B$1000,MATCH('10_Scoring'!$C$2:$C$1000,'01_Criteria'!$A$2:$A$1000,0)),"")=H$28)*'10_Scoring'!$G$2:$G$1000),0))</f>
        <v/>
      </c>
      <c r="I34" s="6">
        <f>IF($J34="","",IFERROR(SUMPRODUCT(('10_Scoring'!$B$2:$B$1000=$J34)*('10_Scoring'!$E$2:$E$1000=INDEX('12_OverallScores'!$C$2:$C$1000,MATCH($J34,'12_OverallScores'!$B$2:$B$1000,0)))*(IFERROR(INDEX('01_Criteria'!$B$2:$B$1000,MATCH('10_Scoring'!$C$2:$C$1000,'01_Criteria'!$A$2:$A$1000,0)),"")=I$28)*'10_Scoring'!$G$2:$G$1000),0))</f>
        <v/>
      </c>
      <c r="J34" s="6" t="inlineStr">
        <is>
          <t>BYD_ATTO3_DESIGN</t>
        </is>
      </c>
    </row>
    <row r="35">
      <c r="A35" s="6">
        <f>IF($J35="","",$J35)</f>
        <v/>
      </c>
      <c r="B35" s="6">
        <f>IF($J35="","",IFERROR(SUMPRODUCT(('10_Scoring'!$B$2:$B$1000=$J35)*('10_Scoring'!$E$2:$E$1000=INDEX('12_OverallScores'!$C$2:$C$1000,MATCH($J35,'12_OverallScores'!$B$2:$B$1000,0)))*(IFERROR(INDEX('01_Criteria'!$B$2:$B$1000,MATCH('10_Scoring'!$C$2:$C$1000,'01_Criteria'!$A$2:$A$1000,0)),"")=B$28)*'10_Scoring'!$G$2:$G$1000),0))</f>
        <v/>
      </c>
      <c r="C35" s="6">
        <f>IF($J35="","",IFERROR(SUMPRODUCT(('10_Scoring'!$B$2:$B$1000=$J35)*('10_Scoring'!$E$2:$E$1000=INDEX('12_OverallScores'!$C$2:$C$1000,MATCH($J35,'12_OverallScores'!$B$2:$B$1000,0)))*(IFERROR(INDEX('01_Criteria'!$B$2:$B$1000,MATCH('10_Scoring'!$C$2:$C$1000,'01_Criteria'!$A$2:$A$1000,0)),"")=C$28)*'10_Scoring'!$G$2:$G$1000),0))</f>
        <v/>
      </c>
      <c r="D35" s="6">
        <f>IF($J35="","",IFERROR(SUMPRODUCT(('10_Scoring'!$B$2:$B$1000=$J35)*('10_Scoring'!$E$2:$E$1000=INDEX('12_OverallScores'!$C$2:$C$1000,MATCH($J35,'12_OverallScores'!$B$2:$B$1000,0)))*(IFERROR(INDEX('01_Criteria'!$B$2:$B$1000,MATCH('10_Scoring'!$C$2:$C$1000,'01_Criteria'!$A$2:$A$1000,0)),"")=D$28)*'10_Scoring'!$G$2:$G$1000),0))</f>
        <v/>
      </c>
      <c r="E35" s="6">
        <f>IF($J35="","",IFERROR(SUMPRODUCT(('10_Scoring'!$B$2:$B$1000=$J35)*('10_Scoring'!$E$2:$E$1000=INDEX('12_OverallScores'!$C$2:$C$1000,MATCH($J35,'12_OverallScores'!$B$2:$B$1000,0)))*(IFERROR(INDEX('01_Criteria'!$B$2:$B$1000,MATCH('10_Scoring'!$C$2:$C$1000,'01_Criteria'!$A$2:$A$1000,0)),"")=E$28)*'10_Scoring'!$G$2:$G$1000),0))</f>
        <v/>
      </c>
      <c r="F35" s="6">
        <f>IF($J35="","",IFERROR(SUMPRODUCT(('10_Scoring'!$B$2:$B$1000=$J35)*('10_Scoring'!$E$2:$E$1000=INDEX('12_OverallScores'!$C$2:$C$1000,MATCH($J35,'12_OverallScores'!$B$2:$B$1000,0)))*(IFERROR(INDEX('01_Criteria'!$B$2:$B$1000,MATCH('10_Scoring'!$C$2:$C$1000,'01_Criteria'!$A$2:$A$1000,0)),"")=F$28)*'10_Scoring'!$G$2:$G$1000),0))</f>
        <v/>
      </c>
      <c r="G35" s="6">
        <f>IF($J35="","",IFERROR(SUMPRODUCT(('10_Scoring'!$B$2:$B$1000=$J35)*('10_Scoring'!$E$2:$E$1000=INDEX('12_OverallScores'!$C$2:$C$1000,MATCH($J35,'12_OverallScores'!$B$2:$B$1000,0)))*(IFERROR(INDEX('01_Criteria'!$B$2:$B$1000,MATCH('10_Scoring'!$C$2:$C$1000,'01_Criteria'!$A$2:$A$1000,0)),"")=G$28)*'10_Scoring'!$G$2:$G$1000),0))</f>
        <v/>
      </c>
      <c r="H35" s="6">
        <f>IF($J35="","",IFERROR(SUMPRODUCT(('10_Scoring'!$B$2:$B$1000=$J35)*('10_Scoring'!$E$2:$E$1000=INDEX('12_OverallScores'!$C$2:$C$1000,MATCH($J35,'12_OverallScores'!$B$2:$B$1000,0)))*(IFERROR(INDEX('01_Criteria'!$B$2:$B$1000,MATCH('10_Scoring'!$C$2:$C$1000,'01_Criteria'!$A$2:$A$1000,0)),"")=H$28)*'10_Scoring'!$G$2:$G$1000),0))</f>
        <v/>
      </c>
      <c r="I35" s="6">
        <f>IF($J35="","",IFERROR(SUMPRODUCT(('10_Scoring'!$B$2:$B$1000=$J35)*('10_Scoring'!$E$2:$E$1000=INDEX('12_OverallScores'!$C$2:$C$1000,MATCH($J35,'12_OverallScores'!$B$2:$B$1000,0)))*(IFERROR(INDEX('01_Criteria'!$B$2:$B$1000,MATCH('10_Scoring'!$C$2:$C$1000,'01_Criteria'!$A$2:$A$1000,0)),"")=I$28)*'10_Scoring'!$G$2:$G$1000),0))</f>
        <v/>
      </c>
      <c r="J35" s="6" t="n"/>
    </row>
    <row r="36">
      <c r="A36" s="6">
        <f>IF($J36="","",$J36)</f>
        <v/>
      </c>
      <c r="B36" s="6">
        <f>IF($J36="","",IFERROR(SUMPRODUCT(('10_Scoring'!$B$2:$B$1000=$J36)*('10_Scoring'!$E$2:$E$1000=INDEX('12_OverallScores'!$C$2:$C$1000,MATCH($J36,'12_OverallScores'!$B$2:$B$1000,0)))*(IFERROR(INDEX('01_Criteria'!$B$2:$B$1000,MATCH('10_Scoring'!$C$2:$C$1000,'01_Criteria'!$A$2:$A$1000,0)),"")=B$28)*'10_Scoring'!$G$2:$G$1000),0))</f>
        <v/>
      </c>
      <c r="C36" s="6">
        <f>IF($J36="","",IFERROR(SUMPRODUCT(('10_Scoring'!$B$2:$B$1000=$J36)*('10_Scoring'!$E$2:$E$1000=INDEX('12_OverallScores'!$C$2:$C$1000,MATCH($J36,'12_OverallScores'!$B$2:$B$1000,0)))*(IFERROR(INDEX('01_Criteria'!$B$2:$B$1000,MATCH('10_Scoring'!$C$2:$C$1000,'01_Criteria'!$A$2:$A$1000,0)),"")=C$28)*'10_Scoring'!$G$2:$G$1000),0))</f>
        <v/>
      </c>
      <c r="D36" s="6">
        <f>IF($J36="","",IFERROR(SUMPRODUCT(('10_Scoring'!$B$2:$B$1000=$J36)*('10_Scoring'!$E$2:$E$1000=INDEX('12_OverallScores'!$C$2:$C$1000,MATCH($J36,'12_OverallScores'!$B$2:$B$1000,0)))*(IFERROR(INDEX('01_Criteria'!$B$2:$B$1000,MATCH('10_Scoring'!$C$2:$C$1000,'01_Criteria'!$A$2:$A$1000,0)),"")=D$28)*'10_Scoring'!$G$2:$G$1000),0))</f>
        <v/>
      </c>
      <c r="E36" s="6">
        <f>IF($J36="","",IFERROR(SUMPRODUCT(('10_Scoring'!$B$2:$B$1000=$J36)*('10_Scoring'!$E$2:$E$1000=INDEX('12_OverallScores'!$C$2:$C$1000,MATCH($J36,'12_OverallScores'!$B$2:$B$1000,0)))*(IFERROR(INDEX('01_Criteria'!$B$2:$B$1000,MATCH('10_Scoring'!$C$2:$C$1000,'01_Criteria'!$A$2:$A$1000,0)),"")=E$28)*'10_Scoring'!$G$2:$G$1000),0))</f>
        <v/>
      </c>
      <c r="F36" s="6">
        <f>IF($J36="","",IFERROR(SUMPRODUCT(('10_Scoring'!$B$2:$B$1000=$J36)*('10_Scoring'!$E$2:$E$1000=INDEX('12_OverallScores'!$C$2:$C$1000,MATCH($J36,'12_OverallScores'!$B$2:$B$1000,0)))*(IFERROR(INDEX('01_Criteria'!$B$2:$B$1000,MATCH('10_Scoring'!$C$2:$C$1000,'01_Criteria'!$A$2:$A$1000,0)),"")=F$28)*'10_Scoring'!$G$2:$G$1000),0))</f>
        <v/>
      </c>
      <c r="G36" s="6">
        <f>IF($J36="","",IFERROR(SUMPRODUCT(('10_Scoring'!$B$2:$B$1000=$J36)*('10_Scoring'!$E$2:$E$1000=INDEX('12_OverallScores'!$C$2:$C$1000,MATCH($J36,'12_OverallScores'!$B$2:$B$1000,0)))*(IFERROR(INDEX('01_Criteria'!$B$2:$B$1000,MATCH('10_Scoring'!$C$2:$C$1000,'01_Criteria'!$A$2:$A$1000,0)),"")=G$28)*'10_Scoring'!$G$2:$G$1000),0))</f>
        <v/>
      </c>
      <c r="H36" s="6">
        <f>IF($J36="","",IFERROR(SUMPRODUCT(('10_Scoring'!$B$2:$B$1000=$J36)*('10_Scoring'!$E$2:$E$1000=INDEX('12_OverallScores'!$C$2:$C$1000,MATCH($J36,'12_OverallScores'!$B$2:$B$1000,0)))*(IFERROR(INDEX('01_Criteria'!$B$2:$B$1000,MATCH('10_Scoring'!$C$2:$C$1000,'01_Criteria'!$A$2:$A$1000,0)),"")=H$28)*'10_Scoring'!$G$2:$G$1000),0))</f>
        <v/>
      </c>
      <c r="I36" s="6">
        <f>IF($J36="","",IFERROR(SUMPRODUCT(('10_Scoring'!$B$2:$B$1000=$J36)*('10_Scoring'!$E$2:$E$1000=INDEX('12_OverallScores'!$C$2:$C$1000,MATCH($J36,'12_OverallScores'!$B$2:$B$1000,0)))*(IFERROR(INDEX('01_Criteria'!$B$2:$B$1000,MATCH('10_Scoring'!$C$2:$C$1000,'01_Criteria'!$A$2:$A$1000,0)),"")=I$28)*'10_Scoring'!$G$2:$G$1000),0))</f>
        <v/>
      </c>
      <c r="J36" s="6" t="n"/>
    </row>
    <row r="37">
      <c r="A37" s="6">
        <f>IF($J37="","",$J37)</f>
        <v/>
      </c>
      <c r="B37" s="6">
        <f>IF($J37="","",IFERROR(SUMPRODUCT(('10_Scoring'!$B$2:$B$1000=$J37)*('10_Scoring'!$E$2:$E$1000=INDEX('12_OverallScores'!$C$2:$C$1000,MATCH($J37,'12_OverallScores'!$B$2:$B$1000,0)))*(IFERROR(INDEX('01_Criteria'!$B$2:$B$1000,MATCH('10_Scoring'!$C$2:$C$1000,'01_Criteria'!$A$2:$A$1000,0)),"")=B$28)*'10_Scoring'!$G$2:$G$1000),0))</f>
        <v/>
      </c>
      <c r="C37" s="6">
        <f>IF($J37="","",IFERROR(SUMPRODUCT(('10_Scoring'!$B$2:$B$1000=$J37)*('10_Scoring'!$E$2:$E$1000=INDEX('12_OverallScores'!$C$2:$C$1000,MATCH($J37,'12_OverallScores'!$B$2:$B$1000,0)))*(IFERROR(INDEX('01_Criteria'!$B$2:$B$1000,MATCH('10_Scoring'!$C$2:$C$1000,'01_Criteria'!$A$2:$A$1000,0)),"")=C$28)*'10_Scoring'!$G$2:$G$1000),0))</f>
        <v/>
      </c>
      <c r="D37" s="6">
        <f>IF($J37="","",IFERROR(SUMPRODUCT(('10_Scoring'!$B$2:$B$1000=$J37)*('10_Scoring'!$E$2:$E$1000=INDEX('12_OverallScores'!$C$2:$C$1000,MATCH($J37,'12_OverallScores'!$B$2:$B$1000,0)))*(IFERROR(INDEX('01_Criteria'!$B$2:$B$1000,MATCH('10_Scoring'!$C$2:$C$1000,'01_Criteria'!$A$2:$A$1000,0)),"")=D$28)*'10_Scoring'!$G$2:$G$1000),0))</f>
        <v/>
      </c>
      <c r="E37" s="6">
        <f>IF($J37="","",IFERROR(SUMPRODUCT(('10_Scoring'!$B$2:$B$1000=$J37)*('10_Scoring'!$E$2:$E$1000=INDEX('12_OverallScores'!$C$2:$C$1000,MATCH($J37,'12_OverallScores'!$B$2:$B$1000,0)))*(IFERROR(INDEX('01_Criteria'!$B$2:$B$1000,MATCH('10_Scoring'!$C$2:$C$1000,'01_Criteria'!$A$2:$A$1000,0)),"")=E$28)*'10_Scoring'!$G$2:$G$1000),0))</f>
        <v/>
      </c>
      <c r="F37" s="6">
        <f>IF($J37="","",IFERROR(SUMPRODUCT(('10_Scoring'!$B$2:$B$1000=$J37)*('10_Scoring'!$E$2:$E$1000=INDEX('12_OverallScores'!$C$2:$C$1000,MATCH($J37,'12_OverallScores'!$B$2:$B$1000,0)))*(IFERROR(INDEX('01_Criteria'!$B$2:$B$1000,MATCH('10_Scoring'!$C$2:$C$1000,'01_Criteria'!$A$2:$A$1000,0)),"")=F$28)*'10_Scoring'!$G$2:$G$1000),0))</f>
        <v/>
      </c>
      <c r="G37" s="6">
        <f>IF($J37="","",IFERROR(SUMPRODUCT(('10_Scoring'!$B$2:$B$1000=$J37)*('10_Scoring'!$E$2:$E$1000=INDEX('12_OverallScores'!$C$2:$C$1000,MATCH($J37,'12_OverallScores'!$B$2:$B$1000,0)))*(IFERROR(INDEX('01_Criteria'!$B$2:$B$1000,MATCH('10_Scoring'!$C$2:$C$1000,'01_Criteria'!$A$2:$A$1000,0)),"")=G$28)*'10_Scoring'!$G$2:$G$1000),0))</f>
        <v/>
      </c>
      <c r="H37" s="6">
        <f>IF($J37="","",IFERROR(SUMPRODUCT(('10_Scoring'!$B$2:$B$1000=$J37)*('10_Scoring'!$E$2:$E$1000=INDEX('12_OverallScores'!$C$2:$C$1000,MATCH($J37,'12_OverallScores'!$B$2:$B$1000,0)))*(IFERROR(INDEX('01_Criteria'!$B$2:$B$1000,MATCH('10_Scoring'!$C$2:$C$1000,'01_Criteria'!$A$2:$A$1000,0)),"")=H$28)*'10_Scoring'!$G$2:$G$1000),0))</f>
        <v/>
      </c>
      <c r="I37" s="6">
        <f>IF($J37="","",IFERROR(SUMPRODUCT(('10_Scoring'!$B$2:$B$1000=$J37)*('10_Scoring'!$E$2:$E$1000=INDEX('12_OverallScores'!$C$2:$C$1000,MATCH($J37,'12_OverallScores'!$B$2:$B$1000,0)))*(IFERROR(INDEX('01_Criteria'!$B$2:$B$1000,MATCH('10_Scoring'!$C$2:$C$1000,'01_Criteria'!$A$2:$A$1000,0)),"")=I$28)*'10_Scoring'!$G$2:$G$1000),0))</f>
        <v/>
      </c>
      <c r="J37" s="6" t="n"/>
    </row>
    <row r="38">
      <c r="A38" s="6">
        <f>IF($J38="","",$J38)</f>
        <v/>
      </c>
      <c r="B38" s="6">
        <f>IF($J38="","",IFERROR(SUMPRODUCT(('10_Scoring'!$B$2:$B$1000=$J38)*('10_Scoring'!$E$2:$E$1000=INDEX('12_OverallScores'!$C$2:$C$1000,MATCH($J38,'12_OverallScores'!$B$2:$B$1000,0)))*(IFERROR(INDEX('01_Criteria'!$B$2:$B$1000,MATCH('10_Scoring'!$C$2:$C$1000,'01_Criteria'!$A$2:$A$1000,0)),"")=B$28)*'10_Scoring'!$G$2:$G$1000),0))</f>
        <v/>
      </c>
      <c r="C38" s="6">
        <f>IF($J38="","",IFERROR(SUMPRODUCT(('10_Scoring'!$B$2:$B$1000=$J38)*('10_Scoring'!$E$2:$E$1000=INDEX('12_OverallScores'!$C$2:$C$1000,MATCH($J38,'12_OverallScores'!$B$2:$B$1000,0)))*(IFERROR(INDEX('01_Criteria'!$B$2:$B$1000,MATCH('10_Scoring'!$C$2:$C$1000,'01_Criteria'!$A$2:$A$1000,0)),"")=C$28)*'10_Scoring'!$G$2:$G$1000),0))</f>
        <v/>
      </c>
      <c r="D38" s="6">
        <f>IF($J38="","",IFERROR(SUMPRODUCT(('10_Scoring'!$B$2:$B$1000=$J38)*('10_Scoring'!$E$2:$E$1000=INDEX('12_OverallScores'!$C$2:$C$1000,MATCH($J38,'12_OverallScores'!$B$2:$B$1000,0)))*(IFERROR(INDEX('01_Criteria'!$B$2:$B$1000,MATCH('10_Scoring'!$C$2:$C$1000,'01_Criteria'!$A$2:$A$1000,0)),"")=D$28)*'10_Scoring'!$G$2:$G$1000),0))</f>
        <v/>
      </c>
      <c r="E38" s="6">
        <f>IF($J38="","",IFERROR(SUMPRODUCT(('10_Scoring'!$B$2:$B$1000=$J38)*('10_Scoring'!$E$2:$E$1000=INDEX('12_OverallScores'!$C$2:$C$1000,MATCH($J38,'12_OverallScores'!$B$2:$B$1000,0)))*(IFERROR(INDEX('01_Criteria'!$B$2:$B$1000,MATCH('10_Scoring'!$C$2:$C$1000,'01_Criteria'!$A$2:$A$1000,0)),"")=E$28)*'10_Scoring'!$G$2:$G$1000),0))</f>
        <v/>
      </c>
      <c r="F38" s="6">
        <f>IF($J38="","",IFERROR(SUMPRODUCT(('10_Scoring'!$B$2:$B$1000=$J38)*('10_Scoring'!$E$2:$E$1000=INDEX('12_OverallScores'!$C$2:$C$1000,MATCH($J38,'12_OverallScores'!$B$2:$B$1000,0)))*(IFERROR(INDEX('01_Criteria'!$B$2:$B$1000,MATCH('10_Scoring'!$C$2:$C$1000,'01_Criteria'!$A$2:$A$1000,0)),"")=F$28)*'10_Scoring'!$G$2:$G$1000),0))</f>
        <v/>
      </c>
      <c r="G38" s="6">
        <f>IF($J38="","",IFERROR(SUMPRODUCT(('10_Scoring'!$B$2:$B$1000=$J38)*('10_Scoring'!$E$2:$E$1000=INDEX('12_OverallScores'!$C$2:$C$1000,MATCH($J38,'12_OverallScores'!$B$2:$B$1000,0)))*(IFERROR(INDEX('01_Criteria'!$B$2:$B$1000,MATCH('10_Scoring'!$C$2:$C$1000,'01_Criteria'!$A$2:$A$1000,0)),"")=G$28)*'10_Scoring'!$G$2:$G$1000),0))</f>
        <v/>
      </c>
      <c r="H38" s="6">
        <f>IF($J38="","",IFERROR(SUMPRODUCT(('10_Scoring'!$B$2:$B$1000=$J38)*('10_Scoring'!$E$2:$E$1000=INDEX('12_OverallScores'!$C$2:$C$1000,MATCH($J38,'12_OverallScores'!$B$2:$B$1000,0)))*(IFERROR(INDEX('01_Criteria'!$B$2:$B$1000,MATCH('10_Scoring'!$C$2:$C$1000,'01_Criteria'!$A$2:$A$1000,0)),"")=H$28)*'10_Scoring'!$G$2:$G$1000),0))</f>
        <v/>
      </c>
      <c r="I38" s="6">
        <f>IF($J38="","",IFERROR(SUMPRODUCT(('10_Scoring'!$B$2:$B$1000=$J38)*('10_Scoring'!$E$2:$E$1000=INDEX('12_OverallScores'!$C$2:$C$1000,MATCH($J38,'12_OverallScores'!$B$2:$B$1000,0)))*(IFERROR(INDEX('01_Criteria'!$B$2:$B$1000,MATCH('10_Scoring'!$C$2:$C$1000,'01_Criteria'!$A$2:$A$1000,0)),"")=I$28)*'10_Scoring'!$G$2:$G$1000),0))</f>
        <v/>
      </c>
      <c r="J38" s="6" t="n"/>
    </row>
    <row r="39">
      <c r="A39" s="6">
        <f>IF($J39="","",$J39)</f>
        <v/>
      </c>
      <c r="B39" s="6">
        <f>IF($J39="","",IFERROR(SUMPRODUCT(('10_Scoring'!$B$2:$B$1000=$J39)*('10_Scoring'!$E$2:$E$1000=INDEX('12_OverallScores'!$C$2:$C$1000,MATCH($J39,'12_OverallScores'!$B$2:$B$1000,0)))*(IFERROR(INDEX('01_Criteria'!$B$2:$B$1000,MATCH('10_Scoring'!$C$2:$C$1000,'01_Criteria'!$A$2:$A$1000,0)),"")=B$28)*'10_Scoring'!$G$2:$G$1000),0))</f>
        <v/>
      </c>
      <c r="C39" s="6">
        <f>IF($J39="","",IFERROR(SUMPRODUCT(('10_Scoring'!$B$2:$B$1000=$J39)*('10_Scoring'!$E$2:$E$1000=INDEX('12_OverallScores'!$C$2:$C$1000,MATCH($J39,'12_OverallScores'!$B$2:$B$1000,0)))*(IFERROR(INDEX('01_Criteria'!$B$2:$B$1000,MATCH('10_Scoring'!$C$2:$C$1000,'01_Criteria'!$A$2:$A$1000,0)),"")=C$28)*'10_Scoring'!$G$2:$G$1000),0))</f>
        <v/>
      </c>
      <c r="D39" s="6">
        <f>IF($J39="","",IFERROR(SUMPRODUCT(('10_Scoring'!$B$2:$B$1000=$J39)*('10_Scoring'!$E$2:$E$1000=INDEX('12_OverallScores'!$C$2:$C$1000,MATCH($J39,'12_OverallScores'!$B$2:$B$1000,0)))*(IFERROR(INDEX('01_Criteria'!$B$2:$B$1000,MATCH('10_Scoring'!$C$2:$C$1000,'01_Criteria'!$A$2:$A$1000,0)),"")=D$28)*'10_Scoring'!$G$2:$G$1000),0))</f>
        <v/>
      </c>
      <c r="E39" s="6">
        <f>IF($J39="","",IFERROR(SUMPRODUCT(('10_Scoring'!$B$2:$B$1000=$J39)*('10_Scoring'!$E$2:$E$1000=INDEX('12_OverallScores'!$C$2:$C$1000,MATCH($J39,'12_OverallScores'!$B$2:$B$1000,0)))*(IFERROR(INDEX('01_Criteria'!$B$2:$B$1000,MATCH('10_Scoring'!$C$2:$C$1000,'01_Criteria'!$A$2:$A$1000,0)),"")=E$28)*'10_Scoring'!$G$2:$G$1000),0))</f>
        <v/>
      </c>
      <c r="F39" s="6">
        <f>IF($J39="","",IFERROR(SUMPRODUCT(('10_Scoring'!$B$2:$B$1000=$J39)*('10_Scoring'!$E$2:$E$1000=INDEX('12_OverallScores'!$C$2:$C$1000,MATCH($J39,'12_OverallScores'!$B$2:$B$1000,0)))*(IFERROR(INDEX('01_Criteria'!$B$2:$B$1000,MATCH('10_Scoring'!$C$2:$C$1000,'01_Criteria'!$A$2:$A$1000,0)),"")=F$28)*'10_Scoring'!$G$2:$G$1000),0))</f>
        <v/>
      </c>
      <c r="G39" s="6">
        <f>IF($J39="","",IFERROR(SUMPRODUCT(('10_Scoring'!$B$2:$B$1000=$J39)*('10_Scoring'!$E$2:$E$1000=INDEX('12_OverallScores'!$C$2:$C$1000,MATCH($J39,'12_OverallScores'!$B$2:$B$1000,0)))*(IFERROR(INDEX('01_Criteria'!$B$2:$B$1000,MATCH('10_Scoring'!$C$2:$C$1000,'01_Criteria'!$A$2:$A$1000,0)),"")=G$28)*'10_Scoring'!$G$2:$G$1000),0))</f>
        <v/>
      </c>
      <c r="H39" s="6">
        <f>IF($J39="","",IFERROR(SUMPRODUCT(('10_Scoring'!$B$2:$B$1000=$J39)*('10_Scoring'!$E$2:$E$1000=INDEX('12_OverallScores'!$C$2:$C$1000,MATCH($J39,'12_OverallScores'!$B$2:$B$1000,0)))*(IFERROR(INDEX('01_Criteria'!$B$2:$B$1000,MATCH('10_Scoring'!$C$2:$C$1000,'01_Criteria'!$A$2:$A$1000,0)),"")=H$28)*'10_Scoring'!$G$2:$G$1000),0))</f>
        <v/>
      </c>
      <c r="I39" s="6">
        <f>IF($J39="","",IFERROR(SUMPRODUCT(('10_Scoring'!$B$2:$B$1000=$J39)*('10_Scoring'!$E$2:$E$1000=INDEX('12_OverallScores'!$C$2:$C$1000,MATCH($J39,'12_OverallScores'!$B$2:$B$1000,0)))*(IFERROR(INDEX('01_Criteria'!$B$2:$B$1000,MATCH('10_Scoring'!$C$2:$C$1000,'01_Criteria'!$A$2:$A$1000,0)),"")=I$28)*'10_Scoring'!$G$2:$G$1000),0))</f>
        <v/>
      </c>
      <c r="J39" s="6" t="n"/>
    </row>
    <row r="40">
      <c r="A40" s="6">
        <f>IF($J40="","",$J40)</f>
        <v/>
      </c>
      <c r="B40" s="6">
        <f>IF($J40="","",IFERROR(SUMPRODUCT(('10_Scoring'!$B$2:$B$1000=$J40)*('10_Scoring'!$E$2:$E$1000=INDEX('12_OverallScores'!$C$2:$C$1000,MATCH($J40,'12_OverallScores'!$B$2:$B$1000,0)))*(IFERROR(INDEX('01_Criteria'!$B$2:$B$1000,MATCH('10_Scoring'!$C$2:$C$1000,'01_Criteria'!$A$2:$A$1000,0)),"")=B$28)*'10_Scoring'!$G$2:$G$1000),0))</f>
        <v/>
      </c>
      <c r="C40" s="6">
        <f>IF($J40="","",IFERROR(SUMPRODUCT(('10_Scoring'!$B$2:$B$1000=$J40)*('10_Scoring'!$E$2:$E$1000=INDEX('12_OverallScores'!$C$2:$C$1000,MATCH($J40,'12_OverallScores'!$B$2:$B$1000,0)))*(IFERROR(INDEX('01_Criteria'!$B$2:$B$1000,MATCH('10_Scoring'!$C$2:$C$1000,'01_Criteria'!$A$2:$A$1000,0)),"")=C$28)*'10_Scoring'!$G$2:$G$1000),0))</f>
        <v/>
      </c>
      <c r="D40" s="6">
        <f>IF($J40="","",IFERROR(SUMPRODUCT(('10_Scoring'!$B$2:$B$1000=$J40)*('10_Scoring'!$E$2:$E$1000=INDEX('12_OverallScores'!$C$2:$C$1000,MATCH($J40,'12_OverallScores'!$B$2:$B$1000,0)))*(IFERROR(INDEX('01_Criteria'!$B$2:$B$1000,MATCH('10_Scoring'!$C$2:$C$1000,'01_Criteria'!$A$2:$A$1000,0)),"")=D$28)*'10_Scoring'!$G$2:$G$1000),0))</f>
        <v/>
      </c>
      <c r="E40" s="6">
        <f>IF($J40="","",IFERROR(SUMPRODUCT(('10_Scoring'!$B$2:$B$1000=$J40)*('10_Scoring'!$E$2:$E$1000=INDEX('12_OverallScores'!$C$2:$C$1000,MATCH($J40,'12_OverallScores'!$B$2:$B$1000,0)))*(IFERROR(INDEX('01_Criteria'!$B$2:$B$1000,MATCH('10_Scoring'!$C$2:$C$1000,'01_Criteria'!$A$2:$A$1000,0)),"")=E$28)*'10_Scoring'!$G$2:$G$1000),0))</f>
        <v/>
      </c>
      <c r="F40" s="6">
        <f>IF($J40="","",IFERROR(SUMPRODUCT(('10_Scoring'!$B$2:$B$1000=$J40)*('10_Scoring'!$E$2:$E$1000=INDEX('12_OverallScores'!$C$2:$C$1000,MATCH($J40,'12_OverallScores'!$B$2:$B$1000,0)))*(IFERROR(INDEX('01_Criteria'!$B$2:$B$1000,MATCH('10_Scoring'!$C$2:$C$1000,'01_Criteria'!$A$2:$A$1000,0)),"")=F$28)*'10_Scoring'!$G$2:$G$1000),0))</f>
        <v/>
      </c>
      <c r="G40" s="6">
        <f>IF($J40="","",IFERROR(SUMPRODUCT(('10_Scoring'!$B$2:$B$1000=$J40)*('10_Scoring'!$E$2:$E$1000=INDEX('12_OverallScores'!$C$2:$C$1000,MATCH($J40,'12_OverallScores'!$B$2:$B$1000,0)))*(IFERROR(INDEX('01_Criteria'!$B$2:$B$1000,MATCH('10_Scoring'!$C$2:$C$1000,'01_Criteria'!$A$2:$A$1000,0)),"")=G$28)*'10_Scoring'!$G$2:$G$1000),0))</f>
        <v/>
      </c>
      <c r="H40" s="6">
        <f>IF($J40="","",IFERROR(SUMPRODUCT(('10_Scoring'!$B$2:$B$1000=$J40)*('10_Scoring'!$E$2:$E$1000=INDEX('12_OverallScores'!$C$2:$C$1000,MATCH($J40,'12_OverallScores'!$B$2:$B$1000,0)))*(IFERROR(INDEX('01_Criteria'!$B$2:$B$1000,MATCH('10_Scoring'!$C$2:$C$1000,'01_Criteria'!$A$2:$A$1000,0)),"")=H$28)*'10_Scoring'!$G$2:$G$1000),0))</f>
        <v/>
      </c>
      <c r="I40" s="6">
        <f>IF($J40="","",IFERROR(SUMPRODUCT(('10_Scoring'!$B$2:$B$1000=$J40)*('10_Scoring'!$E$2:$E$1000=INDEX('12_OverallScores'!$C$2:$C$1000,MATCH($J40,'12_OverallScores'!$B$2:$B$1000,0)))*(IFERROR(INDEX('01_Criteria'!$B$2:$B$1000,MATCH('10_Scoring'!$C$2:$C$1000,'01_Criteria'!$A$2:$A$1000,0)),"")=I$28)*'10_Scoring'!$G$2:$G$1000),0))</f>
        <v/>
      </c>
      <c r="J40" s="6" t="n"/>
    </row>
    <row r="41">
      <c r="A41" s="6">
        <f>IF($J41="","",$J41)</f>
        <v/>
      </c>
      <c r="B41" s="6">
        <f>IF($J41="","",IFERROR(SUMPRODUCT(('10_Scoring'!$B$2:$B$1000=$J41)*('10_Scoring'!$E$2:$E$1000=INDEX('12_OverallScores'!$C$2:$C$1000,MATCH($J41,'12_OverallScores'!$B$2:$B$1000,0)))*(IFERROR(INDEX('01_Criteria'!$B$2:$B$1000,MATCH('10_Scoring'!$C$2:$C$1000,'01_Criteria'!$A$2:$A$1000,0)),"")=B$28)*'10_Scoring'!$G$2:$G$1000),0))</f>
        <v/>
      </c>
      <c r="C41" s="6">
        <f>IF($J41="","",IFERROR(SUMPRODUCT(('10_Scoring'!$B$2:$B$1000=$J41)*('10_Scoring'!$E$2:$E$1000=INDEX('12_OverallScores'!$C$2:$C$1000,MATCH($J41,'12_OverallScores'!$B$2:$B$1000,0)))*(IFERROR(INDEX('01_Criteria'!$B$2:$B$1000,MATCH('10_Scoring'!$C$2:$C$1000,'01_Criteria'!$A$2:$A$1000,0)),"")=C$28)*'10_Scoring'!$G$2:$G$1000),0))</f>
        <v/>
      </c>
      <c r="D41" s="6">
        <f>IF($J41="","",IFERROR(SUMPRODUCT(('10_Scoring'!$B$2:$B$1000=$J41)*('10_Scoring'!$E$2:$E$1000=INDEX('12_OverallScores'!$C$2:$C$1000,MATCH($J41,'12_OverallScores'!$B$2:$B$1000,0)))*(IFERROR(INDEX('01_Criteria'!$B$2:$B$1000,MATCH('10_Scoring'!$C$2:$C$1000,'01_Criteria'!$A$2:$A$1000,0)),"")=D$28)*'10_Scoring'!$G$2:$G$1000),0))</f>
        <v/>
      </c>
      <c r="E41" s="6">
        <f>IF($J41="","",IFERROR(SUMPRODUCT(('10_Scoring'!$B$2:$B$1000=$J41)*('10_Scoring'!$E$2:$E$1000=INDEX('12_OverallScores'!$C$2:$C$1000,MATCH($J41,'12_OverallScores'!$B$2:$B$1000,0)))*(IFERROR(INDEX('01_Criteria'!$B$2:$B$1000,MATCH('10_Scoring'!$C$2:$C$1000,'01_Criteria'!$A$2:$A$1000,0)),"")=E$28)*'10_Scoring'!$G$2:$G$1000),0))</f>
        <v/>
      </c>
      <c r="F41" s="6">
        <f>IF($J41="","",IFERROR(SUMPRODUCT(('10_Scoring'!$B$2:$B$1000=$J41)*('10_Scoring'!$E$2:$E$1000=INDEX('12_OverallScores'!$C$2:$C$1000,MATCH($J41,'12_OverallScores'!$B$2:$B$1000,0)))*(IFERROR(INDEX('01_Criteria'!$B$2:$B$1000,MATCH('10_Scoring'!$C$2:$C$1000,'01_Criteria'!$A$2:$A$1000,0)),"")=F$28)*'10_Scoring'!$G$2:$G$1000),0))</f>
        <v/>
      </c>
      <c r="G41" s="6">
        <f>IF($J41="","",IFERROR(SUMPRODUCT(('10_Scoring'!$B$2:$B$1000=$J41)*('10_Scoring'!$E$2:$E$1000=INDEX('12_OverallScores'!$C$2:$C$1000,MATCH($J41,'12_OverallScores'!$B$2:$B$1000,0)))*(IFERROR(INDEX('01_Criteria'!$B$2:$B$1000,MATCH('10_Scoring'!$C$2:$C$1000,'01_Criteria'!$A$2:$A$1000,0)),"")=G$28)*'10_Scoring'!$G$2:$G$1000),0))</f>
        <v/>
      </c>
      <c r="H41" s="6">
        <f>IF($J41="","",IFERROR(SUMPRODUCT(('10_Scoring'!$B$2:$B$1000=$J41)*('10_Scoring'!$E$2:$E$1000=INDEX('12_OverallScores'!$C$2:$C$1000,MATCH($J41,'12_OverallScores'!$B$2:$B$1000,0)))*(IFERROR(INDEX('01_Criteria'!$B$2:$B$1000,MATCH('10_Scoring'!$C$2:$C$1000,'01_Criteria'!$A$2:$A$1000,0)),"")=H$28)*'10_Scoring'!$G$2:$G$1000),0))</f>
        <v/>
      </c>
      <c r="I41" s="6">
        <f>IF($J41="","",IFERROR(SUMPRODUCT(('10_Scoring'!$B$2:$B$1000=$J41)*('10_Scoring'!$E$2:$E$1000=INDEX('12_OverallScores'!$C$2:$C$1000,MATCH($J41,'12_OverallScores'!$B$2:$B$1000,0)))*(IFERROR(INDEX('01_Criteria'!$B$2:$B$1000,MATCH('10_Scoring'!$C$2:$C$1000,'01_Criteria'!$A$2:$A$1000,0)),"")=I$28)*'10_Scoring'!$G$2:$G$1000),0))</f>
        <v/>
      </c>
      <c r="J41" s="6" t="n"/>
    </row>
    <row r="42">
      <c r="A42" s="6">
        <f>IF($J42="","",$J42)</f>
        <v/>
      </c>
      <c r="B42" s="6">
        <f>IF($J42="","",IFERROR(SUMPRODUCT(('10_Scoring'!$B$2:$B$1000=$J42)*('10_Scoring'!$E$2:$E$1000=INDEX('12_OverallScores'!$C$2:$C$1000,MATCH($J42,'12_OverallScores'!$B$2:$B$1000,0)))*(IFERROR(INDEX('01_Criteria'!$B$2:$B$1000,MATCH('10_Scoring'!$C$2:$C$1000,'01_Criteria'!$A$2:$A$1000,0)),"")=B$28)*'10_Scoring'!$G$2:$G$1000),0))</f>
        <v/>
      </c>
      <c r="C42" s="6">
        <f>IF($J42="","",IFERROR(SUMPRODUCT(('10_Scoring'!$B$2:$B$1000=$J42)*('10_Scoring'!$E$2:$E$1000=INDEX('12_OverallScores'!$C$2:$C$1000,MATCH($J42,'12_OverallScores'!$B$2:$B$1000,0)))*(IFERROR(INDEX('01_Criteria'!$B$2:$B$1000,MATCH('10_Scoring'!$C$2:$C$1000,'01_Criteria'!$A$2:$A$1000,0)),"")=C$28)*'10_Scoring'!$G$2:$G$1000),0))</f>
        <v/>
      </c>
      <c r="D42" s="6">
        <f>IF($J42="","",IFERROR(SUMPRODUCT(('10_Scoring'!$B$2:$B$1000=$J42)*('10_Scoring'!$E$2:$E$1000=INDEX('12_OverallScores'!$C$2:$C$1000,MATCH($J42,'12_OverallScores'!$B$2:$B$1000,0)))*(IFERROR(INDEX('01_Criteria'!$B$2:$B$1000,MATCH('10_Scoring'!$C$2:$C$1000,'01_Criteria'!$A$2:$A$1000,0)),"")=D$28)*'10_Scoring'!$G$2:$G$1000),0))</f>
        <v/>
      </c>
      <c r="E42" s="6">
        <f>IF($J42="","",IFERROR(SUMPRODUCT(('10_Scoring'!$B$2:$B$1000=$J42)*('10_Scoring'!$E$2:$E$1000=INDEX('12_OverallScores'!$C$2:$C$1000,MATCH($J42,'12_OverallScores'!$B$2:$B$1000,0)))*(IFERROR(INDEX('01_Criteria'!$B$2:$B$1000,MATCH('10_Scoring'!$C$2:$C$1000,'01_Criteria'!$A$2:$A$1000,0)),"")=E$28)*'10_Scoring'!$G$2:$G$1000),0))</f>
        <v/>
      </c>
      <c r="F42" s="6">
        <f>IF($J42="","",IFERROR(SUMPRODUCT(('10_Scoring'!$B$2:$B$1000=$J42)*('10_Scoring'!$E$2:$E$1000=INDEX('12_OverallScores'!$C$2:$C$1000,MATCH($J42,'12_OverallScores'!$B$2:$B$1000,0)))*(IFERROR(INDEX('01_Criteria'!$B$2:$B$1000,MATCH('10_Scoring'!$C$2:$C$1000,'01_Criteria'!$A$2:$A$1000,0)),"")=F$28)*'10_Scoring'!$G$2:$G$1000),0))</f>
        <v/>
      </c>
      <c r="G42" s="6">
        <f>IF($J42="","",IFERROR(SUMPRODUCT(('10_Scoring'!$B$2:$B$1000=$J42)*('10_Scoring'!$E$2:$E$1000=INDEX('12_OverallScores'!$C$2:$C$1000,MATCH($J42,'12_OverallScores'!$B$2:$B$1000,0)))*(IFERROR(INDEX('01_Criteria'!$B$2:$B$1000,MATCH('10_Scoring'!$C$2:$C$1000,'01_Criteria'!$A$2:$A$1000,0)),"")=G$28)*'10_Scoring'!$G$2:$G$1000),0))</f>
        <v/>
      </c>
      <c r="H42" s="6">
        <f>IF($J42="","",IFERROR(SUMPRODUCT(('10_Scoring'!$B$2:$B$1000=$J42)*('10_Scoring'!$E$2:$E$1000=INDEX('12_OverallScores'!$C$2:$C$1000,MATCH($J42,'12_OverallScores'!$B$2:$B$1000,0)))*(IFERROR(INDEX('01_Criteria'!$B$2:$B$1000,MATCH('10_Scoring'!$C$2:$C$1000,'01_Criteria'!$A$2:$A$1000,0)),"")=H$28)*'10_Scoring'!$G$2:$G$1000),0))</f>
        <v/>
      </c>
      <c r="I42" s="6">
        <f>IF($J42="","",IFERROR(SUMPRODUCT(('10_Scoring'!$B$2:$B$1000=$J42)*('10_Scoring'!$E$2:$E$1000=INDEX('12_OverallScores'!$C$2:$C$1000,MATCH($J42,'12_OverallScores'!$B$2:$B$1000,0)))*(IFERROR(INDEX('01_Criteria'!$B$2:$B$1000,MATCH('10_Scoring'!$C$2:$C$1000,'01_Criteria'!$A$2:$A$1000,0)),"")=I$28)*'10_Scoring'!$G$2:$G$1000),0))</f>
        <v/>
      </c>
      <c r="J42" s="6" t="n"/>
    </row>
    <row r="43">
      <c r="A43" s="6">
        <f>IF($J43="","",$J43)</f>
        <v/>
      </c>
      <c r="B43" s="6">
        <f>IF($J43="","",IFERROR(SUMPRODUCT(('10_Scoring'!$B$2:$B$1000=$J43)*('10_Scoring'!$E$2:$E$1000=INDEX('12_OverallScores'!$C$2:$C$1000,MATCH($J43,'12_OverallScores'!$B$2:$B$1000,0)))*(IFERROR(INDEX('01_Criteria'!$B$2:$B$1000,MATCH('10_Scoring'!$C$2:$C$1000,'01_Criteria'!$A$2:$A$1000,0)),"")=B$28)*'10_Scoring'!$G$2:$G$1000),0))</f>
        <v/>
      </c>
      <c r="C43" s="6">
        <f>IF($J43="","",IFERROR(SUMPRODUCT(('10_Scoring'!$B$2:$B$1000=$J43)*('10_Scoring'!$E$2:$E$1000=INDEX('12_OverallScores'!$C$2:$C$1000,MATCH($J43,'12_OverallScores'!$B$2:$B$1000,0)))*(IFERROR(INDEX('01_Criteria'!$B$2:$B$1000,MATCH('10_Scoring'!$C$2:$C$1000,'01_Criteria'!$A$2:$A$1000,0)),"")=C$28)*'10_Scoring'!$G$2:$G$1000),0))</f>
        <v/>
      </c>
      <c r="D43" s="6">
        <f>IF($J43="","",IFERROR(SUMPRODUCT(('10_Scoring'!$B$2:$B$1000=$J43)*('10_Scoring'!$E$2:$E$1000=INDEX('12_OverallScores'!$C$2:$C$1000,MATCH($J43,'12_OverallScores'!$B$2:$B$1000,0)))*(IFERROR(INDEX('01_Criteria'!$B$2:$B$1000,MATCH('10_Scoring'!$C$2:$C$1000,'01_Criteria'!$A$2:$A$1000,0)),"")=D$28)*'10_Scoring'!$G$2:$G$1000),0))</f>
        <v/>
      </c>
      <c r="E43" s="6">
        <f>IF($J43="","",IFERROR(SUMPRODUCT(('10_Scoring'!$B$2:$B$1000=$J43)*('10_Scoring'!$E$2:$E$1000=INDEX('12_OverallScores'!$C$2:$C$1000,MATCH($J43,'12_OverallScores'!$B$2:$B$1000,0)))*(IFERROR(INDEX('01_Criteria'!$B$2:$B$1000,MATCH('10_Scoring'!$C$2:$C$1000,'01_Criteria'!$A$2:$A$1000,0)),"")=E$28)*'10_Scoring'!$G$2:$G$1000),0))</f>
        <v/>
      </c>
      <c r="F43" s="6">
        <f>IF($J43="","",IFERROR(SUMPRODUCT(('10_Scoring'!$B$2:$B$1000=$J43)*('10_Scoring'!$E$2:$E$1000=INDEX('12_OverallScores'!$C$2:$C$1000,MATCH($J43,'12_OverallScores'!$B$2:$B$1000,0)))*(IFERROR(INDEX('01_Criteria'!$B$2:$B$1000,MATCH('10_Scoring'!$C$2:$C$1000,'01_Criteria'!$A$2:$A$1000,0)),"")=F$28)*'10_Scoring'!$G$2:$G$1000),0))</f>
        <v/>
      </c>
      <c r="G43" s="6">
        <f>IF($J43="","",IFERROR(SUMPRODUCT(('10_Scoring'!$B$2:$B$1000=$J43)*('10_Scoring'!$E$2:$E$1000=INDEX('12_OverallScores'!$C$2:$C$1000,MATCH($J43,'12_OverallScores'!$B$2:$B$1000,0)))*(IFERROR(INDEX('01_Criteria'!$B$2:$B$1000,MATCH('10_Scoring'!$C$2:$C$1000,'01_Criteria'!$A$2:$A$1000,0)),"")=G$28)*'10_Scoring'!$G$2:$G$1000),0))</f>
        <v/>
      </c>
      <c r="H43" s="6">
        <f>IF($J43="","",IFERROR(SUMPRODUCT(('10_Scoring'!$B$2:$B$1000=$J43)*('10_Scoring'!$E$2:$E$1000=INDEX('12_OverallScores'!$C$2:$C$1000,MATCH($J43,'12_OverallScores'!$B$2:$B$1000,0)))*(IFERROR(INDEX('01_Criteria'!$B$2:$B$1000,MATCH('10_Scoring'!$C$2:$C$1000,'01_Criteria'!$A$2:$A$1000,0)),"")=H$28)*'10_Scoring'!$G$2:$G$1000),0))</f>
        <v/>
      </c>
      <c r="I43" s="6">
        <f>IF($J43="","",IFERROR(SUMPRODUCT(('10_Scoring'!$B$2:$B$1000=$J43)*('10_Scoring'!$E$2:$E$1000=INDEX('12_OverallScores'!$C$2:$C$1000,MATCH($J43,'12_OverallScores'!$B$2:$B$1000,0)))*(IFERROR(INDEX('01_Criteria'!$B$2:$B$1000,MATCH('10_Scoring'!$C$2:$C$1000,'01_Criteria'!$A$2:$A$1000,0)),"")=I$28)*'10_Scoring'!$G$2:$G$1000),0))</f>
        <v/>
      </c>
      <c r="J43" s="6" t="n"/>
    </row>
    <row r="44">
      <c r="A44" s="6">
        <f>IF($J44="","",$J44)</f>
        <v/>
      </c>
      <c r="B44" s="6">
        <f>IF($J44="","",IFERROR(SUMPRODUCT(('10_Scoring'!$B$2:$B$1000=$J44)*('10_Scoring'!$E$2:$E$1000=INDEX('12_OverallScores'!$C$2:$C$1000,MATCH($J44,'12_OverallScores'!$B$2:$B$1000,0)))*(IFERROR(INDEX('01_Criteria'!$B$2:$B$1000,MATCH('10_Scoring'!$C$2:$C$1000,'01_Criteria'!$A$2:$A$1000,0)),"")=B$28)*'10_Scoring'!$G$2:$G$1000),0))</f>
        <v/>
      </c>
      <c r="C44" s="6">
        <f>IF($J44="","",IFERROR(SUMPRODUCT(('10_Scoring'!$B$2:$B$1000=$J44)*('10_Scoring'!$E$2:$E$1000=INDEX('12_OverallScores'!$C$2:$C$1000,MATCH($J44,'12_OverallScores'!$B$2:$B$1000,0)))*(IFERROR(INDEX('01_Criteria'!$B$2:$B$1000,MATCH('10_Scoring'!$C$2:$C$1000,'01_Criteria'!$A$2:$A$1000,0)),"")=C$28)*'10_Scoring'!$G$2:$G$1000),0))</f>
        <v/>
      </c>
      <c r="D44" s="6">
        <f>IF($J44="","",IFERROR(SUMPRODUCT(('10_Scoring'!$B$2:$B$1000=$J44)*('10_Scoring'!$E$2:$E$1000=INDEX('12_OverallScores'!$C$2:$C$1000,MATCH($J44,'12_OverallScores'!$B$2:$B$1000,0)))*(IFERROR(INDEX('01_Criteria'!$B$2:$B$1000,MATCH('10_Scoring'!$C$2:$C$1000,'01_Criteria'!$A$2:$A$1000,0)),"")=D$28)*'10_Scoring'!$G$2:$G$1000),0))</f>
        <v/>
      </c>
      <c r="E44" s="6">
        <f>IF($J44="","",IFERROR(SUMPRODUCT(('10_Scoring'!$B$2:$B$1000=$J44)*('10_Scoring'!$E$2:$E$1000=INDEX('12_OverallScores'!$C$2:$C$1000,MATCH($J44,'12_OverallScores'!$B$2:$B$1000,0)))*(IFERROR(INDEX('01_Criteria'!$B$2:$B$1000,MATCH('10_Scoring'!$C$2:$C$1000,'01_Criteria'!$A$2:$A$1000,0)),"")=E$28)*'10_Scoring'!$G$2:$G$1000),0))</f>
        <v/>
      </c>
      <c r="F44" s="6">
        <f>IF($J44="","",IFERROR(SUMPRODUCT(('10_Scoring'!$B$2:$B$1000=$J44)*('10_Scoring'!$E$2:$E$1000=INDEX('12_OverallScores'!$C$2:$C$1000,MATCH($J44,'12_OverallScores'!$B$2:$B$1000,0)))*(IFERROR(INDEX('01_Criteria'!$B$2:$B$1000,MATCH('10_Scoring'!$C$2:$C$1000,'01_Criteria'!$A$2:$A$1000,0)),"")=F$28)*'10_Scoring'!$G$2:$G$1000),0))</f>
        <v/>
      </c>
      <c r="G44" s="6">
        <f>IF($J44="","",IFERROR(SUMPRODUCT(('10_Scoring'!$B$2:$B$1000=$J44)*('10_Scoring'!$E$2:$E$1000=INDEX('12_OverallScores'!$C$2:$C$1000,MATCH($J44,'12_OverallScores'!$B$2:$B$1000,0)))*(IFERROR(INDEX('01_Criteria'!$B$2:$B$1000,MATCH('10_Scoring'!$C$2:$C$1000,'01_Criteria'!$A$2:$A$1000,0)),"")=G$28)*'10_Scoring'!$G$2:$G$1000),0))</f>
        <v/>
      </c>
      <c r="H44" s="6">
        <f>IF($J44="","",IFERROR(SUMPRODUCT(('10_Scoring'!$B$2:$B$1000=$J44)*('10_Scoring'!$E$2:$E$1000=INDEX('12_OverallScores'!$C$2:$C$1000,MATCH($J44,'12_OverallScores'!$B$2:$B$1000,0)))*(IFERROR(INDEX('01_Criteria'!$B$2:$B$1000,MATCH('10_Scoring'!$C$2:$C$1000,'01_Criteria'!$A$2:$A$1000,0)),"")=H$28)*'10_Scoring'!$G$2:$G$1000),0))</f>
        <v/>
      </c>
      <c r="I44" s="6">
        <f>IF($J44="","",IFERROR(SUMPRODUCT(('10_Scoring'!$B$2:$B$1000=$J44)*('10_Scoring'!$E$2:$E$1000=INDEX('12_OverallScores'!$C$2:$C$1000,MATCH($J44,'12_OverallScores'!$B$2:$B$1000,0)))*(IFERROR(INDEX('01_Criteria'!$B$2:$B$1000,MATCH('10_Scoring'!$C$2:$C$1000,'01_Criteria'!$A$2:$A$1000,0)),"")=I$28)*'10_Scoring'!$G$2:$G$1000),0))</f>
        <v/>
      </c>
      <c r="J44" s="6" t="n"/>
    </row>
    <row r="45">
      <c r="A45" s="6">
        <f>IF($J45="","",$J45)</f>
        <v/>
      </c>
      <c r="B45" s="6">
        <f>IF($J45="","",IFERROR(SUMPRODUCT(('10_Scoring'!$B$2:$B$1000=$J45)*('10_Scoring'!$E$2:$E$1000=INDEX('12_OverallScores'!$C$2:$C$1000,MATCH($J45,'12_OverallScores'!$B$2:$B$1000,0)))*(IFERROR(INDEX('01_Criteria'!$B$2:$B$1000,MATCH('10_Scoring'!$C$2:$C$1000,'01_Criteria'!$A$2:$A$1000,0)),"")=B$28)*'10_Scoring'!$G$2:$G$1000),0))</f>
        <v/>
      </c>
      <c r="C45" s="6">
        <f>IF($J45="","",IFERROR(SUMPRODUCT(('10_Scoring'!$B$2:$B$1000=$J45)*('10_Scoring'!$E$2:$E$1000=INDEX('12_OverallScores'!$C$2:$C$1000,MATCH($J45,'12_OverallScores'!$B$2:$B$1000,0)))*(IFERROR(INDEX('01_Criteria'!$B$2:$B$1000,MATCH('10_Scoring'!$C$2:$C$1000,'01_Criteria'!$A$2:$A$1000,0)),"")=C$28)*'10_Scoring'!$G$2:$G$1000),0))</f>
        <v/>
      </c>
      <c r="D45" s="6">
        <f>IF($J45="","",IFERROR(SUMPRODUCT(('10_Scoring'!$B$2:$B$1000=$J45)*('10_Scoring'!$E$2:$E$1000=INDEX('12_OverallScores'!$C$2:$C$1000,MATCH($J45,'12_OverallScores'!$B$2:$B$1000,0)))*(IFERROR(INDEX('01_Criteria'!$B$2:$B$1000,MATCH('10_Scoring'!$C$2:$C$1000,'01_Criteria'!$A$2:$A$1000,0)),"")=D$28)*'10_Scoring'!$G$2:$G$1000),0))</f>
        <v/>
      </c>
      <c r="E45" s="6">
        <f>IF($J45="","",IFERROR(SUMPRODUCT(('10_Scoring'!$B$2:$B$1000=$J45)*('10_Scoring'!$E$2:$E$1000=INDEX('12_OverallScores'!$C$2:$C$1000,MATCH($J45,'12_OverallScores'!$B$2:$B$1000,0)))*(IFERROR(INDEX('01_Criteria'!$B$2:$B$1000,MATCH('10_Scoring'!$C$2:$C$1000,'01_Criteria'!$A$2:$A$1000,0)),"")=E$28)*'10_Scoring'!$G$2:$G$1000),0))</f>
        <v/>
      </c>
      <c r="F45" s="6">
        <f>IF($J45="","",IFERROR(SUMPRODUCT(('10_Scoring'!$B$2:$B$1000=$J45)*('10_Scoring'!$E$2:$E$1000=INDEX('12_OverallScores'!$C$2:$C$1000,MATCH($J45,'12_OverallScores'!$B$2:$B$1000,0)))*(IFERROR(INDEX('01_Criteria'!$B$2:$B$1000,MATCH('10_Scoring'!$C$2:$C$1000,'01_Criteria'!$A$2:$A$1000,0)),"")=F$28)*'10_Scoring'!$G$2:$G$1000),0))</f>
        <v/>
      </c>
      <c r="G45" s="6">
        <f>IF($J45="","",IFERROR(SUMPRODUCT(('10_Scoring'!$B$2:$B$1000=$J45)*('10_Scoring'!$E$2:$E$1000=INDEX('12_OverallScores'!$C$2:$C$1000,MATCH($J45,'12_OverallScores'!$B$2:$B$1000,0)))*(IFERROR(INDEX('01_Criteria'!$B$2:$B$1000,MATCH('10_Scoring'!$C$2:$C$1000,'01_Criteria'!$A$2:$A$1000,0)),"")=G$28)*'10_Scoring'!$G$2:$G$1000),0))</f>
        <v/>
      </c>
      <c r="H45" s="6">
        <f>IF($J45="","",IFERROR(SUMPRODUCT(('10_Scoring'!$B$2:$B$1000=$J45)*('10_Scoring'!$E$2:$E$1000=INDEX('12_OverallScores'!$C$2:$C$1000,MATCH($J45,'12_OverallScores'!$B$2:$B$1000,0)))*(IFERROR(INDEX('01_Criteria'!$B$2:$B$1000,MATCH('10_Scoring'!$C$2:$C$1000,'01_Criteria'!$A$2:$A$1000,0)),"")=H$28)*'10_Scoring'!$G$2:$G$1000),0))</f>
        <v/>
      </c>
      <c r="I45" s="6">
        <f>IF($J45="","",IFERROR(SUMPRODUCT(('10_Scoring'!$B$2:$B$1000=$J45)*('10_Scoring'!$E$2:$E$1000=INDEX('12_OverallScores'!$C$2:$C$1000,MATCH($J45,'12_OverallScores'!$B$2:$B$1000,0)))*(IFERROR(INDEX('01_Criteria'!$B$2:$B$1000,MATCH('10_Scoring'!$C$2:$C$1000,'01_Criteria'!$A$2:$A$1000,0)),"")=I$28)*'10_Scoring'!$G$2:$G$1000),0))</f>
        <v/>
      </c>
      <c r="J45" s="6" t="n"/>
    </row>
    <row r="46">
      <c r="A46" s="6">
        <f>IF($J46="","",$J46)</f>
        <v/>
      </c>
      <c r="B46" s="6">
        <f>IF($J46="","",IFERROR(SUMPRODUCT(('10_Scoring'!$B$2:$B$1000=$J46)*('10_Scoring'!$E$2:$E$1000=INDEX('12_OverallScores'!$C$2:$C$1000,MATCH($J46,'12_OverallScores'!$B$2:$B$1000,0)))*(IFERROR(INDEX('01_Criteria'!$B$2:$B$1000,MATCH('10_Scoring'!$C$2:$C$1000,'01_Criteria'!$A$2:$A$1000,0)),"")=B$28)*'10_Scoring'!$G$2:$G$1000),0))</f>
        <v/>
      </c>
      <c r="C46" s="6">
        <f>IF($J46="","",IFERROR(SUMPRODUCT(('10_Scoring'!$B$2:$B$1000=$J46)*('10_Scoring'!$E$2:$E$1000=INDEX('12_OverallScores'!$C$2:$C$1000,MATCH($J46,'12_OverallScores'!$B$2:$B$1000,0)))*(IFERROR(INDEX('01_Criteria'!$B$2:$B$1000,MATCH('10_Scoring'!$C$2:$C$1000,'01_Criteria'!$A$2:$A$1000,0)),"")=C$28)*'10_Scoring'!$G$2:$G$1000),0))</f>
        <v/>
      </c>
      <c r="D46" s="6">
        <f>IF($J46="","",IFERROR(SUMPRODUCT(('10_Scoring'!$B$2:$B$1000=$J46)*('10_Scoring'!$E$2:$E$1000=INDEX('12_OverallScores'!$C$2:$C$1000,MATCH($J46,'12_OverallScores'!$B$2:$B$1000,0)))*(IFERROR(INDEX('01_Criteria'!$B$2:$B$1000,MATCH('10_Scoring'!$C$2:$C$1000,'01_Criteria'!$A$2:$A$1000,0)),"")=D$28)*'10_Scoring'!$G$2:$G$1000),0))</f>
        <v/>
      </c>
      <c r="E46" s="6">
        <f>IF($J46="","",IFERROR(SUMPRODUCT(('10_Scoring'!$B$2:$B$1000=$J46)*('10_Scoring'!$E$2:$E$1000=INDEX('12_OverallScores'!$C$2:$C$1000,MATCH($J46,'12_OverallScores'!$B$2:$B$1000,0)))*(IFERROR(INDEX('01_Criteria'!$B$2:$B$1000,MATCH('10_Scoring'!$C$2:$C$1000,'01_Criteria'!$A$2:$A$1000,0)),"")=E$28)*'10_Scoring'!$G$2:$G$1000),0))</f>
        <v/>
      </c>
      <c r="F46" s="6">
        <f>IF($J46="","",IFERROR(SUMPRODUCT(('10_Scoring'!$B$2:$B$1000=$J46)*('10_Scoring'!$E$2:$E$1000=INDEX('12_OverallScores'!$C$2:$C$1000,MATCH($J46,'12_OverallScores'!$B$2:$B$1000,0)))*(IFERROR(INDEX('01_Criteria'!$B$2:$B$1000,MATCH('10_Scoring'!$C$2:$C$1000,'01_Criteria'!$A$2:$A$1000,0)),"")=F$28)*'10_Scoring'!$G$2:$G$1000),0))</f>
        <v/>
      </c>
      <c r="G46" s="6">
        <f>IF($J46="","",IFERROR(SUMPRODUCT(('10_Scoring'!$B$2:$B$1000=$J46)*('10_Scoring'!$E$2:$E$1000=INDEX('12_OverallScores'!$C$2:$C$1000,MATCH($J46,'12_OverallScores'!$B$2:$B$1000,0)))*(IFERROR(INDEX('01_Criteria'!$B$2:$B$1000,MATCH('10_Scoring'!$C$2:$C$1000,'01_Criteria'!$A$2:$A$1000,0)),"")=G$28)*'10_Scoring'!$G$2:$G$1000),0))</f>
        <v/>
      </c>
      <c r="H46" s="6">
        <f>IF($J46="","",IFERROR(SUMPRODUCT(('10_Scoring'!$B$2:$B$1000=$J46)*('10_Scoring'!$E$2:$E$1000=INDEX('12_OverallScores'!$C$2:$C$1000,MATCH($J46,'12_OverallScores'!$B$2:$B$1000,0)))*(IFERROR(INDEX('01_Criteria'!$B$2:$B$1000,MATCH('10_Scoring'!$C$2:$C$1000,'01_Criteria'!$A$2:$A$1000,0)),"")=H$28)*'10_Scoring'!$G$2:$G$1000),0))</f>
        <v/>
      </c>
      <c r="I46" s="6">
        <f>IF($J46="","",IFERROR(SUMPRODUCT(('10_Scoring'!$B$2:$B$1000=$J46)*('10_Scoring'!$E$2:$E$1000=INDEX('12_OverallScores'!$C$2:$C$1000,MATCH($J46,'12_OverallScores'!$B$2:$B$1000,0)))*(IFERROR(INDEX('01_Criteria'!$B$2:$B$1000,MATCH('10_Scoring'!$C$2:$C$1000,'01_Criteria'!$A$2:$A$1000,0)),"")=I$28)*'10_Scoring'!$G$2:$G$1000),0))</f>
        <v/>
      </c>
      <c r="J46" s="6" t="n"/>
    </row>
    <row r="47">
      <c r="A47" s="6">
        <f>IF($J47="","",$J47)</f>
        <v/>
      </c>
      <c r="B47" s="6">
        <f>IF($J47="","",IFERROR(SUMPRODUCT(('10_Scoring'!$B$2:$B$1000=$J47)*('10_Scoring'!$E$2:$E$1000=INDEX('12_OverallScores'!$C$2:$C$1000,MATCH($J47,'12_OverallScores'!$B$2:$B$1000,0)))*(IFERROR(INDEX('01_Criteria'!$B$2:$B$1000,MATCH('10_Scoring'!$C$2:$C$1000,'01_Criteria'!$A$2:$A$1000,0)),"")=B$28)*'10_Scoring'!$G$2:$G$1000),0))</f>
        <v/>
      </c>
      <c r="C47" s="6">
        <f>IF($J47="","",IFERROR(SUMPRODUCT(('10_Scoring'!$B$2:$B$1000=$J47)*('10_Scoring'!$E$2:$E$1000=INDEX('12_OverallScores'!$C$2:$C$1000,MATCH($J47,'12_OverallScores'!$B$2:$B$1000,0)))*(IFERROR(INDEX('01_Criteria'!$B$2:$B$1000,MATCH('10_Scoring'!$C$2:$C$1000,'01_Criteria'!$A$2:$A$1000,0)),"")=C$28)*'10_Scoring'!$G$2:$G$1000),0))</f>
        <v/>
      </c>
      <c r="D47" s="6">
        <f>IF($J47="","",IFERROR(SUMPRODUCT(('10_Scoring'!$B$2:$B$1000=$J47)*('10_Scoring'!$E$2:$E$1000=INDEX('12_OverallScores'!$C$2:$C$1000,MATCH($J47,'12_OverallScores'!$B$2:$B$1000,0)))*(IFERROR(INDEX('01_Criteria'!$B$2:$B$1000,MATCH('10_Scoring'!$C$2:$C$1000,'01_Criteria'!$A$2:$A$1000,0)),"")=D$28)*'10_Scoring'!$G$2:$G$1000),0))</f>
        <v/>
      </c>
      <c r="E47" s="6">
        <f>IF($J47="","",IFERROR(SUMPRODUCT(('10_Scoring'!$B$2:$B$1000=$J47)*('10_Scoring'!$E$2:$E$1000=INDEX('12_OverallScores'!$C$2:$C$1000,MATCH($J47,'12_OverallScores'!$B$2:$B$1000,0)))*(IFERROR(INDEX('01_Criteria'!$B$2:$B$1000,MATCH('10_Scoring'!$C$2:$C$1000,'01_Criteria'!$A$2:$A$1000,0)),"")=E$28)*'10_Scoring'!$G$2:$G$1000),0))</f>
        <v/>
      </c>
      <c r="F47" s="6">
        <f>IF($J47="","",IFERROR(SUMPRODUCT(('10_Scoring'!$B$2:$B$1000=$J47)*('10_Scoring'!$E$2:$E$1000=INDEX('12_OverallScores'!$C$2:$C$1000,MATCH($J47,'12_OverallScores'!$B$2:$B$1000,0)))*(IFERROR(INDEX('01_Criteria'!$B$2:$B$1000,MATCH('10_Scoring'!$C$2:$C$1000,'01_Criteria'!$A$2:$A$1000,0)),"")=F$28)*'10_Scoring'!$G$2:$G$1000),0))</f>
        <v/>
      </c>
      <c r="G47" s="6">
        <f>IF($J47="","",IFERROR(SUMPRODUCT(('10_Scoring'!$B$2:$B$1000=$J47)*('10_Scoring'!$E$2:$E$1000=INDEX('12_OverallScores'!$C$2:$C$1000,MATCH($J47,'12_OverallScores'!$B$2:$B$1000,0)))*(IFERROR(INDEX('01_Criteria'!$B$2:$B$1000,MATCH('10_Scoring'!$C$2:$C$1000,'01_Criteria'!$A$2:$A$1000,0)),"")=G$28)*'10_Scoring'!$G$2:$G$1000),0))</f>
        <v/>
      </c>
      <c r="H47" s="6">
        <f>IF($J47="","",IFERROR(SUMPRODUCT(('10_Scoring'!$B$2:$B$1000=$J47)*('10_Scoring'!$E$2:$E$1000=INDEX('12_OverallScores'!$C$2:$C$1000,MATCH($J47,'12_OverallScores'!$B$2:$B$1000,0)))*(IFERROR(INDEX('01_Criteria'!$B$2:$B$1000,MATCH('10_Scoring'!$C$2:$C$1000,'01_Criteria'!$A$2:$A$1000,0)),"")=H$28)*'10_Scoring'!$G$2:$G$1000),0))</f>
        <v/>
      </c>
      <c r="I47" s="6">
        <f>IF($J47="","",IFERROR(SUMPRODUCT(('10_Scoring'!$B$2:$B$1000=$J47)*('10_Scoring'!$E$2:$E$1000=INDEX('12_OverallScores'!$C$2:$C$1000,MATCH($J47,'12_OverallScores'!$B$2:$B$1000,0)))*(IFERROR(INDEX('01_Criteria'!$B$2:$B$1000,MATCH('10_Scoring'!$C$2:$C$1000,'01_Criteria'!$A$2:$A$1000,0)),"")=I$28)*'10_Scoring'!$G$2:$G$1000),0))</f>
        <v/>
      </c>
      <c r="J47" s="6" t="n"/>
    </row>
    <row r="48">
      <c r="A48" s="6">
        <f>IF($J48="","",$J48)</f>
        <v/>
      </c>
      <c r="B48" s="6">
        <f>IF($J48="","",IFERROR(SUMPRODUCT(('10_Scoring'!$B$2:$B$1000=$J48)*('10_Scoring'!$E$2:$E$1000=INDEX('12_OverallScores'!$C$2:$C$1000,MATCH($J48,'12_OverallScores'!$B$2:$B$1000,0)))*(IFERROR(INDEX('01_Criteria'!$B$2:$B$1000,MATCH('10_Scoring'!$C$2:$C$1000,'01_Criteria'!$A$2:$A$1000,0)),"")=B$28)*'10_Scoring'!$G$2:$G$1000),0))</f>
        <v/>
      </c>
      <c r="C48" s="6">
        <f>IF($J48="","",IFERROR(SUMPRODUCT(('10_Scoring'!$B$2:$B$1000=$J48)*('10_Scoring'!$E$2:$E$1000=INDEX('12_OverallScores'!$C$2:$C$1000,MATCH($J48,'12_OverallScores'!$B$2:$B$1000,0)))*(IFERROR(INDEX('01_Criteria'!$B$2:$B$1000,MATCH('10_Scoring'!$C$2:$C$1000,'01_Criteria'!$A$2:$A$1000,0)),"")=C$28)*'10_Scoring'!$G$2:$G$1000),0))</f>
        <v/>
      </c>
      <c r="D48" s="6">
        <f>IF($J48="","",IFERROR(SUMPRODUCT(('10_Scoring'!$B$2:$B$1000=$J48)*('10_Scoring'!$E$2:$E$1000=INDEX('12_OverallScores'!$C$2:$C$1000,MATCH($J48,'12_OverallScores'!$B$2:$B$1000,0)))*(IFERROR(INDEX('01_Criteria'!$B$2:$B$1000,MATCH('10_Scoring'!$C$2:$C$1000,'01_Criteria'!$A$2:$A$1000,0)),"")=D$28)*'10_Scoring'!$G$2:$G$1000),0))</f>
        <v/>
      </c>
      <c r="E48" s="6">
        <f>IF($J48="","",IFERROR(SUMPRODUCT(('10_Scoring'!$B$2:$B$1000=$J48)*('10_Scoring'!$E$2:$E$1000=INDEX('12_OverallScores'!$C$2:$C$1000,MATCH($J48,'12_OverallScores'!$B$2:$B$1000,0)))*(IFERROR(INDEX('01_Criteria'!$B$2:$B$1000,MATCH('10_Scoring'!$C$2:$C$1000,'01_Criteria'!$A$2:$A$1000,0)),"")=E$28)*'10_Scoring'!$G$2:$G$1000),0))</f>
        <v/>
      </c>
      <c r="F48" s="6">
        <f>IF($J48="","",IFERROR(SUMPRODUCT(('10_Scoring'!$B$2:$B$1000=$J48)*('10_Scoring'!$E$2:$E$1000=INDEX('12_OverallScores'!$C$2:$C$1000,MATCH($J48,'12_OverallScores'!$B$2:$B$1000,0)))*(IFERROR(INDEX('01_Criteria'!$B$2:$B$1000,MATCH('10_Scoring'!$C$2:$C$1000,'01_Criteria'!$A$2:$A$1000,0)),"")=F$28)*'10_Scoring'!$G$2:$G$1000),0))</f>
        <v/>
      </c>
      <c r="G48" s="6">
        <f>IF($J48="","",IFERROR(SUMPRODUCT(('10_Scoring'!$B$2:$B$1000=$J48)*('10_Scoring'!$E$2:$E$1000=INDEX('12_OverallScores'!$C$2:$C$1000,MATCH($J48,'12_OverallScores'!$B$2:$B$1000,0)))*(IFERROR(INDEX('01_Criteria'!$B$2:$B$1000,MATCH('10_Scoring'!$C$2:$C$1000,'01_Criteria'!$A$2:$A$1000,0)),"")=G$28)*'10_Scoring'!$G$2:$G$1000),0))</f>
        <v/>
      </c>
      <c r="H48" s="6">
        <f>IF($J48="","",IFERROR(SUMPRODUCT(('10_Scoring'!$B$2:$B$1000=$J48)*('10_Scoring'!$E$2:$E$1000=INDEX('12_OverallScores'!$C$2:$C$1000,MATCH($J48,'12_OverallScores'!$B$2:$B$1000,0)))*(IFERROR(INDEX('01_Criteria'!$B$2:$B$1000,MATCH('10_Scoring'!$C$2:$C$1000,'01_Criteria'!$A$2:$A$1000,0)),"")=H$28)*'10_Scoring'!$G$2:$G$1000),0))</f>
        <v/>
      </c>
      <c r="I48" s="6">
        <f>IF($J48="","",IFERROR(SUMPRODUCT(('10_Scoring'!$B$2:$B$1000=$J48)*('10_Scoring'!$E$2:$E$1000=INDEX('12_OverallScores'!$C$2:$C$1000,MATCH($J48,'12_OverallScores'!$B$2:$B$1000,0)))*(IFERROR(INDEX('01_Criteria'!$B$2:$B$1000,MATCH('10_Scoring'!$C$2:$C$1000,'01_Criteria'!$A$2:$A$1000,0)),"")=I$28)*'10_Scoring'!$G$2:$G$1000),0))</f>
        <v/>
      </c>
      <c r="J48" s="6" t="n"/>
    </row>
    <row r="51">
      <c r="A51" s="4" t="inlineStr">
        <is>
          <t>3. Coverage Grid (record counts by evidence type)</t>
        </is>
      </c>
    </row>
    <row r="52">
      <c r="A52" s="1" t="inlineStr">
        <is>
          <t>Configuration</t>
        </is>
      </c>
      <c r="B52" s="1" t="inlineStr">
        <is>
          <t>Technical</t>
        </is>
      </c>
      <c r="C52" s="1" t="inlineStr">
        <is>
          <t>Equipment</t>
        </is>
      </c>
      <c r="D52" s="1" t="inlineStr">
        <is>
          <t>Evidence</t>
        </is>
      </c>
      <c r="E52" s="1" t="inlineStr">
        <is>
          <t>Reviews</t>
        </is>
      </c>
      <c r="F52" s="1" t="inlineStr">
        <is>
          <t>Score</t>
        </is>
      </c>
      <c r="H52" s="5" t="inlineStr">
        <is>
          <t>ConfigurationID</t>
        </is>
      </c>
      <c r="I52" s="5" t="inlineStr">
        <is>
          <t>ParentVehicleID</t>
        </is>
      </c>
    </row>
    <row r="53">
      <c r="A53" s="6">
        <f>IF($H53="","",$H53)</f>
        <v/>
      </c>
      <c r="B53" s="6">
        <f>IF($H53="","",COUNTIF('04_Technical'!$B$2:$B$1000,$I53)+COUNTIF('04_Technical'!$C$2:$C$1000,$H53))</f>
        <v/>
      </c>
      <c r="C53" s="6">
        <f>IF($H53="","",COUNTIF('05_Equipment'!$B$2:$B$1000,$H53))</f>
        <v/>
      </c>
      <c r="D53" s="6">
        <f>IF($H53="","",COUNTIF('08_Evidence'!$B$2:$B$1000,$I53)+COUNTIF('08_Evidence'!$C$2:$C$1000,$H53))</f>
        <v/>
      </c>
      <c r="E53" s="6">
        <f>IF($H53="","",COUNTIF('07_Reviews'!$B$2:$B$1000,$I53)+COUNTIF('07_Reviews'!$C$2:$C$1000,$H53))</f>
        <v/>
      </c>
      <c r="F53" s="6">
        <f>IF($H53="","",COUNTIF('10_Scoring'!$B$2:$B$1000,$H53))</f>
        <v/>
      </c>
      <c r="G53" s="6" t="n"/>
      <c r="H53" s="6" t="inlineStr">
        <is>
          <t>TESLA_MODEL_3_LONG_RANGE_RWD</t>
        </is>
      </c>
      <c r="I53" s="6">
        <f>IFERROR(INDEX('03_Configurations'!$B$2:$B$1000,MATCH($H53,'03_Configurations'!$A$2:$A$1000,0)),"")</f>
        <v/>
      </c>
    </row>
    <row r="54">
      <c r="A54" s="6">
        <f>IF($H54="","",$H54)</f>
        <v/>
      </c>
      <c r="B54" s="6">
        <f>IF($H54="","",COUNTIF('04_Technical'!$B$2:$B$1000,$I54)+COUNTIF('04_Technical'!$C$2:$C$1000,$H54))</f>
        <v/>
      </c>
      <c r="C54" s="6">
        <f>IF($H54="","",COUNTIF('05_Equipment'!$B$2:$B$1000,$H54))</f>
        <v/>
      </c>
      <c r="D54" s="6">
        <f>IF($H54="","",COUNTIF('08_Evidence'!$B$2:$B$1000,$I54)+COUNTIF('08_Evidence'!$C$2:$C$1000,$H54))</f>
        <v/>
      </c>
      <c r="E54" s="6">
        <f>IF($H54="","",COUNTIF('07_Reviews'!$B$2:$B$1000,$I54)+COUNTIF('07_Reviews'!$C$2:$C$1000,$H54))</f>
        <v/>
      </c>
      <c r="F54" s="6">
        <f>IF($H54="","",COUNTIF('10_Scoring'!$B$2:$B$1000,$H54))</f>
        <v/>
      </c>
      <c r="G54" s="6" t="n"/>
      <c r="H54" s="6" t="inlineStr">
        <is>
          <t>RENAULT_4_TECHNO</t>
        </is>
      </c>
      <c r="I54" s="6">
        <f>IFERROR(INDEX('03_Configurations'!$B$2:$B$1000,MATCH($H54,'03_Configurations'!$A$2:$A$1000,0)),"")</f>
        <v/>
      </c>
    </row>
    <row r="55">
      <c r="A55" s="6">
        <f>IF($H55="","",$H55)</f>
        <v/>
      </c>
      <c r="B55" s="6">
        <f>IF($H55="","",COUNTIF('04_Technical'!$B$2:$B$1000,$I55)+COUNTIF('04_Technical'!$C$2:$C$1000,$H55))</f>
        <v/>
      </c>
      <c r="C55" s="6">
        <f>IF($H55="","",COUNTIF('05_Equipment'!$B$2:$B$1000,$H55))</f>
        <v/>
      </c>
      <c r="D55" s="6">
        <f>IF($H55="","",COUNTIF('08_Evidence'!$B$2:$B$1000,$I55)+COUNTIF('08_Evidence'!$C$2:$C$1000,$H55))</f>
        <v/>
      </c>
      <c r="E55" s="6">
        <f>IF($H55="","",COUNTIF('07_Reviews'!$B$2:$B$1000,$I55)+COUNTIF('07_Reviews'!$C$2:$C$1000,$H55))</f>
        <v/>
      </c>
      <c r="F55" s="6">
        <f>IF($H55="","",COUNTIF('10_Scoring'!$B$2:$B$1000,$H55))</f>
        <v/>
      </c>
      <c r="G55" s="6" t="n"/>
      <c r="H55" s="6" t="inlineStr">
        <is>
          <t>SKODA_ELROQ_SELECTION_60</t>
        </is>
      </c>
      <c r="I55" s="6">
        <f>IFERROR(INDEX('03_Configurations'!$B$2:$B$1000,MATCH($H55,'03_Configurations'!$A$2:$A$1000,0)),"")</f>
        <v/>
      </c>
    </row>
    <row r="56">
      <c r="A56" s="6">
        <f>IF($H56="","",$H56)</f>
        <v/>
      </c>
      <c r="B56" s="6">
        <f>IF($H56="","",COUNTIF('04_Technical'!$B$2:$B$1000,$I56)+COUNTIF('04_Technical'!$C$2:$C$1000,$H56))</f>
        <v/>
      </c>
      <c r="C56" s="6">
        <f>IF($H56="","",COUNTIF('05_Equipment'!$B$2:$B$1000,$H56))</f>
        <v/>
      </c>
      <c r="D56" s="6">
        <f>IF($H56="","",COUNTIF('08_Evidence'!$B$2:$B$1000,$I56)+COUNTIF('08_Evidence'!$C$2:$C$1000,$H56))</f>
        <v/>
      </c>
      <c r="E56" s="6">
        <f>IF($H56="","",COUNTIF('07_Reviews'!$B$2:$B$1000,$I56)+COUNTIF('07_Reviews'!$C$2:$C$1000,$H56))</f>
        <v/>
      </c>
      <c r="F56" s="6">
        <f>IF($H56="","",COUNTIF('10_Scoring'!$B$2:$B$1000,$H56))</f>
        <v/>
      </c>
      <c r="G56" s="6" t="n"/>
      <c r="H56" s="6" t="inlineStr">
        <is>
          <t>VOLVO_EX30_P5_LONG_RANGE</t>
        </is>
      </c>
      <c r="I56" s="6">
        <f>IFERROR(INDEX('03_Configurations'!$B$2:$B$1000,MATCH($H56,'03_Configurations'!$A$2:$A$1000,0)),"")</f>
        <v/>
      </c>
    </row>
    <row r="57">
      <c r="A57" s="6">
        <f>IF($H57="","",$H57)</f>
        <v/>
      </c>
      <c r="B57" s="6">
        <f>IF($H57="","",COUNTIF('04_Technical'!$B$2:$B$1000,$I57)+COUNTIF('04_Technical'!$C$2:$C$1000,$H57))</f>
        <v/>
      </c>
      <c r="C57" s="6">
        <f>IF($H57="","",COUNTIF('05_Equipment'!$B$2:$B$1000,$H57))</f>
        <v/>
      </c>
      <c r="D57" s="6">
        <f>IF($H57="","",COUNTIF('08_Evidence'!$B$2:$B$1000,$I57)+COUNTIF('08_Evidence'!$C$2:$C$1000,$H57))</f>
        <v/>
      </c>
      <c r="E57" s="6">
        <f>IF($H57="","",COUNTIF('07_Reviews'!$B$2:$B$1000,$I57)+COUNTIF('07_Reviews'!$C$2:$C$1000,$H57))</f>
        <v/>
      </c>
      <c r="F57" s="6">
        <f>IF($H57="","",COUNTIF('10_Scoring'!$B$2:$B$1000,$H57))</f>
        <v/>
      </c>
      <c r="G57" s="6" t="n"/>
      <c r="H57" s="6" t="inlineStr">
        <is>
          <t>KIA_EV2_FWD_LONG_RANGE_GT_LINE</t>
        </is>
      </c>
      <c r="I57" s="6">
        <f>IFERROR(INDEX('03_Configurations'!$B$2:$B$1000,MATCH($H57,'03_Configurations'!$A$2:$A$1000,0)),"")</f>
        <v/>
      </c>
    </row>
    <row r="58">
      <c r="A58" s="6">
        <f>IF($H58="","",$H58)</f>
        <v/>
      </c>
      <c r="B58" s="6">
        <f>IF($H58="","",COUNTIF('04_Technical'!$B$2:$B$1000,$I58)+COUNTIF('04_Technical'!$C$2:$C$1000,$H58))</f>
        <v/>
      </c>
      <c r="C58" s="6">
        <f>IF($H58="","",COUNTIF('05_Equipment'!$B$2:$B$1000,$H58))</f>
        <v/>
      </c>
      <c r="D58" s="6">
        <f>IF($H58="","",COUNTIF('08_Evidence'!$B$2:$B$1000,$I58)+COUNTIF('08_Evidence'!$C$2:$C$1000,$H58))</f>
        <v/>
      </c>
      <c r="E58" s="6">
        <f>IF($H58="","",COUNTIF('07_Reviews'!$B$2:$B$1000,$I58)+COUNTIF('07_Reviews'!$C$2:$C$1000,$H58))</f>
        <v/>
      </c>
      <c r="F58" s="6">
        <f>IF($H58="","",COUNTIF('10_Scoring'!$B$2:$B$1000,$H58))</f>
        <v/>
      </c>
      <c r="G58" s="6" t="n"/>
      <c r="H58" s="6" t="inlineStr">
        <is>
          <t>BYD_ATTO3_DESIGN</t>
        </is>
      </c>
      <c r="I58" s="6">
        <f>IFERROR(INDEX('03_Configurations'!$B$2:$B$1000,MATCH($H58,'03_Configurations'!$A$2:$A$1000,0)),"")</f>
        <v/>
      </c>
    </row>
    <row r="59">
      <c r="A59" s="6">
        <f>IF($H59="","",$H59)</f>
        <v/>
      </c>
      <c r="B59" s="6">
        <f>IF($H59="","",COUNTIF('04_Technical'!$B$2:$B$1000,$I59)+COUNTIF('04_Technical'!$C$2:$C$1000,$H59))</f>
        <v/>
      </c>
      <c r="C59" s="6">
        <f>IF($H59="","",COUNTIF('05_Equipment'!$B$2:$B$1000,$H59))</f>
        <v/>
      </c>
      <c r="D59" s="6">
        <f>IF($H59="","",COUNTIF('08_Evidence'!$B$2:$B$1000,$I59)+COUNTIF('08_Evidence'!$C$2:$C$1000,$H59))</f>
        <v/>
      </c>
      <c r="E59" s="6">
        <f>IF($H59="","",COUNTIF('07_Reviews'!$B$2:$B$1000,$I59)+COUNTIF('07_Reviews'!$C$2:$C$1000,$H59))</f>
        <v/>
      </c>
      <c r="F59" s="6">
        <f>IF($H59="","",COUNTIF('10_Scoring'!$B$2:$B$1000,$H59))</f>
        <v/>
      </c>
      <c r="G59" s="6" t="n"/>
      <c r="H59" s="6" t="n"/>
      <c r="I59" s="6">
        <f>IFERROR(INDEX('03_Configurations'!$B$2:$B$1000,MATCH($H59,'03_Configurations'!$A$2:$A$1000,0)),"")</f>
        <v/>
      </c>
    </row>
    <row r="60">
      <c r="A60" s="6">
        <f>IF($H60="","",$H60)</f>
        <v/>
      </c>
      <c r="B60" s="6">
        <f>IF($H60="","",COUNTIF('04_Technical'!$B$2:$B$1000,$I60)+COUNTIF('04_Technical'!$C$2:$C$1000,$H60))</f>
        <v/>
      </c>
      <c r="C60" s="6">
        <f>IF($H60="","",COUNTIF('05_Equipment'!$B$2:$B$1000,$H60))</f>
        <v/>
      </c>
      <c r="D60" s="6">
        <f>IF($H60="","",COUNTIF('08_Evidence'!$B$2:$B$1000,$I60)+COUNTIF('08_Evidence'!$C$2:$C$1000,$H60))</f>
        <v/>
      </c>
      <c r="E60" s="6">
        <f>IF($H60="","",COUNTIF('07_Reviews'!$B$2:$B$1000,$I60)+COUNTIF('07_Reviews'!$C$2:$C$1000,$H60))</f>
        <v/>
      </c>
      <c r="F60" s="6">
        <f>IF($H60="","",COUNTIF('10_Scoring'!$B$2:$B$1000,$H60))</f>
        <v/>
      </c>
      <c r="G60" s="6" t="n"/>
      <c r="H60" s="6" t="n"/>
      <c r="I60" s="6">
        <f>IFERROR(INDEX('03_Configurations'!$B$2:$B$1000,MATCH($H60,'03_Configurations'!$A$2:$A$1000,0)),"")</f>
        <v/>
      </c>
    </row>
    <row r="61">
      <c r="A61" s="6">
        <f>IF($H61="","",$H61)</f>
        <v/>
      </c>
      <c r="B61" s="6">
        <f>IF($H61="","",COUNTIF('04_Technical'!$B$2:$B$1000,$I61)+COUNTIF('04_Technical'!$C$2:$C$1000,$H61))</f>
        <v/>
      </c>
      <c r="C61" s="6">
        <f>IF($H61="","",COUNTIF('05_Equipment'!$B$2:$B$1000,$H61))</f>
        <v/>
      </c>
      <c r="D61" s="6">
        <f>IF($H61="","",COUNTIF('08_Evidence'!$B$2:$B$1000,$I61)+COUNTIF('08_Evidence'!$C$2:$C$1000,$H61))</f>
        <v/>
      </c>
      <c r="E61" s="6">
        <f>IF($H61="","",COUNTIF('07_Reviews'!$B$2:$B$1000,$I61)+COUNTIF('07_Reviews'!$C$2:$C$1000,$H61))</f>
        <v/>
      </c>
      <c r="F61" s="6">
        <f>IF($H61="","",COUNTIF('10_Scoring'!$B$2:$B$1000,$H61))</f>
        <v/>
      </c>
      <c r="G61" s="6" t="n"/>
      <c r="H61" s="6" t="n"/>
      <c r="I61" s="6">
        <f>IFERROR(INDEX('03_Configurations'!$B$2:$B$1000,MATCH($H61,'03_Configurations'!$A$2:$A$1000,0)),"")</f>
        <v/>
      </c>
    </row>
    <row r="62">
      <c r="A62" s="6">
        <f>IF($H62="","",$H62)</f>
        <v/>
      </c>
      <c r="B62" s="6">
        <f>IF($H62="","",COUNTIF('04_Technical'!$B$2:$B$1000,$I62)+COUNTIF('04_Technical'!$C$2:$C$1000,$H62))</f>
        <v/>
      </c>
      <c r="C62" s="6">
        <f>IF($H62="","",COUNTIF('05_Equipment'!$B$2:$B$1000,$H62))</f>
        <v/>
      </c>
      <c r="D62" s="6">
        <f>IF($H62="","",COUNTIF('08_Evidence'!$B$2:$B$1000,$I62)+COUNTIF('08_Evidence'!$C$2:$C$1000,$H62))</f>
        <v/>
      </c>
      <c r="E62" s="6">
        <f>IF($H62="","",COUNTIF('07_Reviews'!$B$2:$B$1000,$I62)+COUNTIF('07_Reviews'!$C$2:$C$1000,$H62))</f>
        <v/>
      </c>
      <c r="F62" s="6">
        <f>IF($H62="","",COUNTIF('10_Scoring'!$B$2:$B$1000,$H62))</f>
        <v/>
      </c>
      <c r="G62" s="6" t="n"/>
      <c r="H62" s="6" t="n"/>
      <c r="I62" s="6">
        <f>IFERROR(INDEX('03_Configurations'!$B$2:$B$1000,MATCH($H62,'03_Configurations'!$A$2:$A$1000,0)),"")</f>
        <v/>
      </c>
    </row>
    <row r="63">
      <c r="A63" s="6">
        <f>IF($H63="","",$H63)</f>
        <v/>
      </c>
      <c r="B63" s="6">
        <f>IF($H63="","",COUNTIF('04_Technical'!$B$2:$B$1000,$I63)+COUNTIF('04_Technical'!$C$2:$C$1000,$H63))</f>
        <v/>
      </c>
      <c r="C63" s="6">
        <f>IF($H63="","",COUNTIF('05_Equipment'!$B$2:$B$1000,$H63))</f>
        <v/>
      </c>
      <c r="D63" s="6">
        <f>IF($H63="","",COUNTIF('08_Evidence'!$B$2:$B$1000,$I63)+COUNTIF('08_Evidence'!$C$2:$C$1000,$H63))</f>
        <v/>
      </c>
      <c r="E63" s="6">
        <f>IF($H63="","",COUNTIF('07_Reviews'!$B$2:$B$1000,$I63)+COUNTIF('07_Reviews'!$C$2:$C$1000,$H63))</f>
        <v/>
      </c>
      <c r="F63" s="6">
        <f>IF($H63="","",COUNTIF('10_Scoring'!$B$2:$B$1000,$H63))</f>
        <v/>
      </c>
      <c r="G63" s="6" t="n"/>
      <c r="H63" s="6" t="n"/>
      <c r="I63" s="6">
        <f>IFERROR(INDEX('03_Configurations'!$B$2:$B$1000,MATCH($H63,'03_Configurations'!$A$2:$A$1000,0)),"")</f>
        <v/>
      </c>
    </row>
    <row r="64">
      <c r="A64" s="6">
        <f>IF($H64="","",$H64)</f>
        <v/>
      </c>
      <c r="B64" s="6">
        <f>IF($H64="","",COUNTIF('04_Technical'!$B$2:$B$1000,$I64)+COUNTIF('04_Technical'!$C$2:$C$1000,$H64))</f>
        <v/>
      </c>
      <c r="C64" s="6">
        <f>IF($H64="","",COUNTIF('05_Equipment'!$B$2:$B$1000,$H64))</f>
        <v/>
      </c>
      <c r="D64" s="6">
        <f>IF($H64="","",COUNTIF('08_Evidence'!$B$2:$B$1000,$I64)+COUNTIF('08_Evidence'!$C$2:$C$1000,$H64))</f>
        <v/>
      </c>
      <c r="E64" s="6">
        <f>IF($H64="","",COUNTIF('07_Reviews'!$B$2:$B$1000,$I64)+COUNTIF('07_Reviews'!$C$2:$C$1000,$H64))</f>
        <v/>
      </c>
      <c r="F64" s="6">
        <f>IF($H64="","",COUNTIF('10_Scoring'!$B$2:$B$1000,$H64))</f>
        <v/>
      </c>
      <c r="G64" s="6" t="n"/>
      <c r="H64" s="6" t="n"/>
      <c r="I64" s="6">
        <f>IFERROR(INDEX('03_Configurations'!$B$2:$B$1000,MATCH($H64,'03_Configurations'!$A$2:$A$1000,0)),"")</f>
        <v/>
      </c>
    </row>
    <row r="65">
      <c r="A65" s="6">
        <f>IF($H65="","",$H65)</f>
        <v/>
      </c>
      <c r="B65" s="6">
        <f>IF($H65="","",COUNTIF('04_Technical'!$B$2:$B$1000,$I65)+COUNTIF('04_Technical'!$C$2:$C$1000,$H65))</f>
        <v/>
      </c>
      <c r="C65" s="6">
        <f>IF($H65="","",COUNTIF('05_Equipment'!$B$2:$B$1000,$H65))</f>
        <v/>
      </c>
      <c r="D65" s="6">
        <f>IF($H65="","",COUNTIF('08_Evidence'!$B$2:$B$1000,$I65)+COUNTIF('08_Evidence'!$C$2:$C$1000,$H65))</f>
        <v/>
      </c>
      <c r="E65" s="6">
        <f>IF($H65="","",COUNTIF('07_Reviews'!$B$2:$B$1000,$I65)+COUNTIF('07_Reviews'!$C$2:$C$1000,$H65))</f>
        <v/>
      </c>
      <c r="F65" s="6">
        <f>IF($H65="","",COUNTIF('10_Scoring'!$B$2:$B$1000,$H65))</f>
        <v/>
      </c>
      <c r="G65" s="6" t="n"/>
      <c r="H65" s="6" t="n"/>
      <c r="I65" s="6">
        <f>IFERROR(INDEX('03_Configurations'!$B$2:$B$1000,MATCH($H65,'03_Configurations'!$A$2:$A$1000,0)),"")</f>
        <v/>
      </c>
    </row>
    <row r="66">
      <c r="A66" s="6">
        <f>IF($H66="","",$H66)</f>
        <v/>
      </c>
      <c r="B66" s="6">
        <f>IF($H66="","",COUNTIF('04_Technical'!$B$2:$B$1000,$I66)+COUNTIF('04_Technical'!$C$2:$C$1000,$H66))</f>
        <v/>
      </c>
      <c r="C66" s="6">
        <f>IF($H66="","",COUNTIF('05_Equipment'!$B$2:$B$1000,$H66))</f>
        <v/>
      </c>
      <c r="D66" s="6">
        <f>IF($H66="","",COUNTIF('08_Evidence'!$B$2:$B$1000,$I66)+COUNTIF('08_Evidence'!$C$2:$C$1000,$H66))</f>
        <v/>
      </c>
      <c r="E66" s="6">
        <f>IF($H66="","",COUNTIF('07_Reviews'!$B$2:$B$1000,$I66)+COUNTIF('07_Reviews'!$C$2:$C$1000,$H66))</f>
        <v/>
      </c>
      <c r="F66" s="6">
        <f>IF($H66="","",COUNTIF('10_Scoring'!$B$2:$B$1000,$H66))</f>
        <v/>
      </c>
      <c r="G66" s="6" t="n"/>
      <c r="H66" s="6" t="n"/>
      <c r="I66" s="6">
        <f>IFERROR(INDEX('03_Configurations'!$B$2:$B$1000,MATCH($H66,'03_Configurations'!$A$2:$A$1000,0)),"")</f>
        <v/>
      </c>
    </row>
    <row r="67">
      <c r="A67" s="6">
        <f>IF($H67="","",$H67)</f>
        <v/>
      </c>
      <c r="B67" s="6">
        <f>IF($H67="","",COUNTIF('04_Technical'!$B$2:$B$1000,$I67)+COUNTIF('04_Technical'!$C$2:$C$1000,$H67))</f>
        <v/>
      </c>
      <c r="C67" s="6">
        <f>IF($H67="","",COUNTIF('05_Equipment'!$B$2:$B$1000,$H67))</f>
        <v/>
      </c>
      <c r="D67" s="6">
        <f>IF($H67="","",COUNTIF('08_Evidence'!$B$2:$B$1000,$I67)+COUNTIF('08_Evidence'!$C$2:$C$1000,$H67))</f>
        <v/>
      </c>
      <c r="E67" s="6">
        <f>IF($H67="","",COUNTIF('07_Reviews'!$B$2:$B$1000,$I67)+COUNTIF('07_Reviews'!$C$2:$C$1000,$H67))</f>
        <v/>
      </c>
      <c r="F67" s="6">
        <f>IF($H67="","",COUNTIF('10_Scoring'!$B$2:$B$1000,$H67))</f>
        <v/>
      </c>
      <c r="G67" s="6" t="n"/>
      <c r="H67" s="6" t="n"/>
      <c r="I67" s="6">
        <f>IFERROR(INDEX('03_Configurations'!$B$2:$B$1000,MATCH($H67,'03_Configurations'!$A$2:$A$1000,0)),"")</f>
        <v/>
      </c>
    </row>
    <row r="68">
      <c r="A68" s="6">
        <f>IF($H68="","",$H68)</f>
        <v/>
      </c>
      <c r="B68" s="6">
        <f>IF($H68="","",COUNTIF('04_Technical'!$B$2:$B$1000,$I68)+COUNTIF('04_Technical'!$C$2:$C$1000,$H68))</f>
        <v/>
      </c>
      <c r="C68" s="6">
        <f>IF($H68="","",COUNTIF('05_Equipment'!$B$2:$B$1000,$H68))</f>
        <v/>
      </c>
      <c r="D68" s="6">
        <f>IF($H68="","",COUNTIF('08_Evidence'!$B$2:$B$1000,$I68)+COUNTIF('08_Evidence'!$C$2:$C$1000,$H68))</f>
        <v/>
      </c>
      <c r="E68" s="6">
        <f>IF($H68="","",COUNTIF('07_Reviews'!$B$2:$B$1000,$I68)+COUNTIF('07_Reviews'!$C$2:$C$1000,$H68))</f>
        <v/>
      </c>
      <c r="F68" s="6">
        <f>IF($H68="","",COUNTIF('10_Scoring'!$B$2:$B$1000,$H68))</f>
        <v/>
      </c>
      <c r="G68" s="6" t="n"/>
      <c r="H68" s="6" t="n"/>
      <c r="I68" s="6">
        <f>IFERROR(INDEX('03_Configurations'!$B$2:$B$1000,MATCH($H68,'03_Configurations'!$A$2:$A$1000,0)),"")</f>
        <v/>
      </c>
    </row>
    <row r="69">
      <c r="A69" s="6">
        <f>IF($H69="","",$H69)</f>
        <v/>
      </c>
      <c r="B69" s="6">
        <f>IF($H69="","",COUNTIF('04_Technical'!$B$2:$B$1000,$I69)+COUNTIF('04_Technical'!$C$2:$C$1000,$H69))</f>
        <v/>
      </c>
      <c r="C69" s="6">
        <f>IF($H69="","",COUNTIF('05_Equipment'!$B$2:$B$1000,$H69))</f>
        <v/>
      </c>
      <c r="D69" s="6">
        <f>IF($H69="","",COUNTIF('08_Evidence'!$B$2:$B$1000,$I69)+COUNTIF('08_Evidence'!$C$2:$C$1000,$H69))</f>
        <v/>
      </c>
      <c r="E69" s="6">
        <f>IF($H69="","",COUNTIF('07_Reviews'!$B$2:$B$1000,$I69)+COUNTIF('07_Reviews'!$C$2:$C$1000,$H69))</f>
        <v/>
      </c>
      <c r="F69" s="6">
        <f>IF($H69="","",COUNTIF('10_Scoring'!$B$2:$B$1000,$H69))</f>
        <v/>
      </c>
      <c r="G69" s="6" t="n"/>
      <c r="H69" s="6" t="n"/>
      <c r="I69" s="6">
        <f>IFERROR(INDEX('03_Configurations'!$B$2:$B$1000,MATCH($H69,'03_Configurations'!$A$2:$A$1000,0)),"")</f>
        <v/>
      </c>
    </row>
    <row r="70">
      <c r="A70" s="6">
        <f>IF($H70="","",$H70)</f>
        <v/>
      </c>
      <c r="B70" s="6">
        <f>IF($H70="","",COUNTIF('04_Technical'!$B$2:$B$1000,$I70)+COUNTIF('04_Technical'!$C$2:$C$1000,$H70))</f>
        <v/>
      </c>
      <c r="C70" s="6">
        <f>IF($H70="","",COUNTIF('05_Equipment'!$B$2:$B$1000,$H70))</f>
        <v/>
      </c>
      <c r="D70" s="6">
        <f>IF($H70="","",COUNTIF('08_Evidence'!$B$2:$B$1000,$I70)+COUNTIF('08_Evidence'!$C$2:$C$1000,$H70))</f>
        <v/>
      </c>
      <c r="E70" s="6">
        <f>IF($H70="","",COUNTIF('07_Reviews'!$B$2:$B$1000,$I70)+COUNTIF('07_Reviews'!$C$2:$C$1000,$H70))</f>
        <v/>
      </c>
      <c r="F70" s="6">
        <f>IF($H70="","",COUNTIF('10_Scoring'!$B$2:$B$1000,$H70))</f>
        <v/>
      </c>
      <c r="G70" s="6" t="n"/>
      <c r="H70" s="6" t="n"/>
      <c r="I70" s="6">
        <f>IFERROR(INDEX('03_Configurations'!$B$2:$B$1000,MATCH($H70,'03_Configurations'!$A$2:$A$1000,0)),"")</f>
        <v/>
      </c>
    </row>
    <row r="71">
      <c r="A71" s="6">
        <f>IF($H71="","",$H71)</f>
        <v/>
      </c>
      <c r="B71" s="6">
        <f>IF($H71="","",COUNTIF('04_Technical'!$B$2:$B$1000,$I71)+COUNTIF('04_Technical'!$C$2:$C$1000,$H71))</f>
        <v/>
      </c>
      <c r="C71" s="6">
        <f>IF($H71="","",COUNTIF('05_Equipment'!$B$2:$B$1000,$H71))</f>
        <v/>
      </c>
      <c r="D71" s="6">
        <f>IF($H71="","",COUNTIF('08_Evidence'!$B$2:$B$1000,$I71)+COUNTIF('08_Evidence'!$C$2:$C$1000,$H71))</f>
        <v/>
      </c>
      <c r="E71" s="6">
        <f>IF($H71="","",COUNTIF('07_Reviews'!$B$2:$B$1000,$I71)+COUNTIF('07_Reviews'!$C$2:$C$1000,$H71))</f>
        <v/>
      </c>
      <c r="F71" s="6">
        <f>IF($H71="","",COUNTIF('10_Scoring'!$B$2:$B$1000,$H71))</f>
        <v/>
      </c>
      <c r="G71" s="6" t="n"/>
      <c r="H71" s="6" t="n"/>
      <c r="I71" s="6">
        <f>IFERROR(INDEX('03_Configurations'!$B$2:$B$1000,MATCH($H71,'03_Configurations'!$A$2:$A$1000,0)),"")</f>
        <v/>
      </c>
    </row>
    <row r="72">
      <c r="A72" s="6">
        <f>IF($H72="","",$H72)</f>
        <v/>
      </c>
      <c r="B72" s="6">
        <f>IF($H72="","",COUNTIF('04_Technical'!$B$2:$B$1000,$I72)+COUNTIF('04_Technical'!$C$2:$C$1000,$H72))</f>
        <v/>
      </c>
      <c r="C72" s="6">
        <f>IF($H72="","",COUNTIF('05_Equipment'!$B$2:$B$1000,$H72))</f>
        <v/>
      </c>
      <c r="D72" s="6">
        <f>IF($H72="","",COUNTIF('08_Evidence'!$B$2:$B$1000,$I72)+COUNTIF('08_Evidence'!$C$2:$C$1000,$H72))</f>
        <v/>
      </c>
      <c r="E72" s="6">
        <f>IF($H72="","",COUNTIF('07_Reviews'!$B$2:$B$1000,$I72)+COUNTIF('07_Reviews'!$C$2:$C$1000,$H72))</f>
        <v/>
      </c>
      <c r="F72" s="6">
        <f>IF($H72="","",COUNTIF('10_Scoring'!$B$2:$B$1000,$H72))</f>
        <v/>
      </c>
      <c r="G72" s="6" t="n"/>
      <c r="H72" s="6" t="n"/>
      <c r="I72" s="6">
        <f>IFERROR(INDEX('03_Configurations'!$B$2:$B$1000,MATCH($H72,'03_Configurations'!$A$2:$A$1000,0)),"")</f>
        <v/>
      </c>
    </row>
  </sheetData>
  <mergeCells count="5">
    <mergeCell ref="A27:N27"/>
    <mergeCell ref="A4:N4"/>
    <mergeCell ref="A2:N2"/>
    <mergeCell ref="A51:N51"/>
    <mergeCell ref="A1:N1"/>
  </mergeCells>
  <conditionalFormatting sqref="B53:F72">
    <cfRule type="colorScale" priority="1">
      <colorScale>
        <cfvo type="num" val="0"/>
        <cfvo type="num" val="3"/>
        <cfvo type="num" val="10"/>
        <color rgb="FFF8696B"/>
        <color rgb="FFFFEB84"/>
        <color rgb="FF63BE7B"/>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2026-07-07T21:03:49Z</dcterms:modified>
  <cp:lastModifiedBy>Codex</cp:lastModifiedBy>
  <cp:keywords>EV Decision Framework; FrameworkVersion 1.0; workbook schema</cp:keywords>
</cp:coreProperties>
</file>