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 name="15_Dashboard" sheetId="16" state="visible" r:id="rId16"/>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8">
    <font>
      <name val="Aptos"/>
      <family val="2"/>
      <color theme="1"/>
      <sz val="11"/>
    </font>
    <font>
      <name val="Aptos"/>
      <family val="2"/>
      <b val="1"/>
      <color rgb="FFFFFFFF"/>
      <sz val="11"/>
    </font>
    <font>
      <name val="Aptos"/>
      <b val="1"/>
      <color rgb="FF1F4E78"/>
      <sz val="16"/>
    </font>
    <font>
      <name val="Aptos"/>
      <i val="1"/>
      <color rgb="FF666666"/>
      <sz val="10"/>
    </font>
    <font>
      <name val="Aptos"/>
      <b val="1"/>
      <color rgb="FF1F4E78"/>
      <sz val="13"/>
    </font>
    <font>
      <name val="Aptos"/>
      <i val="1"/>
      <color rgb="FF888888"/>
      <sz val="9"/>
    </font>
    <font>
      <name val="Aptos"/>
      <sz val="10"/>
    </font>
    <font>
      <name val="Aptos"/>
      <b val="1"/>
    </font>
  </fonts>
  <fills count="5">
    <fill>
      <patternFill/>
    </fill>
    <fill>
      <patternFill patternType="gray125"/>
    </fill>
    <fill>
      <patternFill patternType="solid">
        <fgColor rgb="FF1F4E78"/>
        <bgColor indexed="64"/>
      </patternFill>
    </fill>
    <fill>
      <patternFill patternType="solid">
        <fgColor rgb="FFFFF2CC"/>
      </patternFill>
    </fill>
    <fill>
      <patternFill patternType="solid">
        <fgColor rgb="FF1F4E78"/>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0" fontId="0" fillId="3" borderId="0" pivotButton="0" quotePrefix="0" xfId="0"/>
    <xf numFmtId="0" fontId="1" fillId="4" borderId="0" applyAlignment="1" pivotButton="0" quotePrefix="0" xfId="0">
      <alignment horizontal="center" vertical="center" wrapText="1"/>
    </xf>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Category Breakdown - WeightedScore by Configuration</a:t>
            </a:r>
          </a:p>
        </rich>
      </tx>
    </title>
    <plotArea>
      <barChart>
        <barDir val="col"/>
        <grouping val="clustered"/>
        <ser>
          <idx val="0"/>
          <order val="0"/>
          <tx>
            <strRef>
              <f>'15_Dashboard'!$A$29</f>
            </strRef>
          </tx>
          <spPr>
            <a:ln>
              <a:prstDash val="solid"/>
            </a:ln>
          </spPr>
          <cat>
            <numRef>
              <f>'15_Dashboard'!$B$28:$I$28</f>
            </numRef>
          </cat>
          <val>
            <numRef>
              <f>'15_Dashboard'!$B$29:$I$29</f>
            </numRef>
          </val>
        </ser>
        <ser>
          <idx val="1"/>
          <order val="1"/>
          <tx>
            <strRef>
              <f>'15_Dashboard'!$A$30</f>
            </strRef>
          </tx>
          <spPr>
            <a:ln>
              <a:prstDash val="solid"/>
            </a:ln>
          </spPr>
          <cat>
            <numRef>
              <f>'15_Dashboard'!$B$28:$I$28</f>
            </numRef>
          </cat>
          <val>
            <numRef>
              <f>'15_Dashboard'!$B$30:$I$30</f>
            </numRef>
          </val>
        </ser>
        <ser>
          <idx val="2"/>
          <order val="2"/>
          <tx>
            <strRef>
              <f>'15_Dashboard'!$A$31</f>
            </strRef>
          </tx>
          <spPr>
            <a:ln>
              <a:prstDash val="solid"/>
            </a:ln>
          </spPr>
          <cat>
            <numRef>
              <f>'15_Dashboard'!$B$28:$I$28</f>
            </numRef>
          </cat>
          <val>
            <numRef>
              <f>'15_Dashboard'!$B$31:$I$31</f>
            </numRef>
          </val>
        </ser>
        <ser>
          <idx val="3"/>
          <order val="3"/>
          <tx>
            <strRef>
              <f>'15_Dashboard'!$A$32</f>
            </strRef>
          </tx>
          <spPr>
            <a:ln>
              <a:prstDash val="solid"/>
            </a:ln>
          </spPr>
          <cat>
            <numRef>
              <f>'15_Dashboard'!$B$28:$I$28</f>
            </numRef>
          </cat>
          <val>
            <numRef>
              <f>'15_Dashboard'!$B$32:$I$32</f>
            </numRef>
          </val>
        </ser>
        <ser>
          <idx val="4"/>
          <order val="4"/>
          <tx>
            <strRef>
              <f>'15_Dashboard'!$A$33</f>
            </strRef>
          </tx>
          <spPr>
            <a:ln>
              <a:prstDash val="solid"/>
            </a:ln>
          </spPr>
          <cat>
            <numRef>
              <f>'15_Dashboard'!$B$28:$I$28</f>
            </numRef>
          </cat>
          <val>
            <numRef>
              <f>'15_Dashboard'!$B$33:$I$33</f>
            </numRef>
          </val>
        </ser>
        <ser>
          <idx val="5"/>
          <order val="5"/>
          <tx>
            <strRef>
              <f>'15_Dashboard'!$A$34</f>
            </strRef>
          </tx>
          <spPr>
            <a:ln>
              <a:prstDash val="solid"/>
            </a:ln>
          </spPr>
          <cat>
            <numRef>
              <f>'15_Dashboard'!$B$28:$I$28</f>
            </numRef>
          </cat>
          <val>
            <numRef>
              <f>'15_Dashboard'!$B$34:$I$34</f>
            </numRef>
          </val>
        </ser>
        <ser>
          <idx val="6"/>
          <order val="6"/>
          <tx>
            <strRef>
              <f>'15_Dashboard'!$A$35</f>
            </strRef>
          </tx>
          <spPr>
            <a:ln>
              <a:prstDash val="solid"/>
            </a:ln>
          </spPr>
          <val>
            <numRef>
              <f>'15_Dashboard'!$B$35:$I$35</f>
            </numRef>
          </val>
        </ser>
        <gapWidth val="150"/>
        <overlap val="-1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majorGridlines/>
        <title>
          <tx>
            <rich>
              <a:bodyPr/>
              <a:p>
                <a:pPr>
                  <a:defRPr/>
                </a:pPr>
                <a:r>
                  <a:t>Summed WeightedScore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1.8</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1.9</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n">
        <v>0</v>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n">
        <v>0</v>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n">
        <v>0</v>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n">
        <v>0</v>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n">
        <v>0</v>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n">
        <v>8</v>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n">
        <v>7</v>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n">
        <v>5</v>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n">
        <v>5</v>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n">
        <v>7</v>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n">
        <v>4</v>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n">
        <v>3</v>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n">
        <v>5</v>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n">
        <v>3</v>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n">
        <v>5</v>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n">
        <v>5</v>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n">
        <v>5</v>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n">
        <v>3</v>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n">
        <v>6</v>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n">
        <v>5</v>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n">
        <v>4</v>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n">
        <v>10</v>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n">
        <v>5</v>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n">
        <v>3</v>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n">
        <v>2</v>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n">
        <v>0</v>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n">
        <v>0</v>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n">
        <v>0</v>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n">
        <v>0</v>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8"/>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row r="8">
      <c r="A8" t="inlineStr">
        <is>
          <t>SKODA_EPIQ</t>
        </is>
      </c>
      <c r="B8" t="inlineStr">
        <is>
          <t>Škoda</t>
        </is>
      </c>
      <c r="C8" t="inlineStr">
        <is>
          <t>Epiq</t>
        </is>
      </c>
      <c r="D8" t="n">
        <v>2027</v>
      </c>
      <c r="E8" t="inlineStr">
        <is>
          <t>MEB+</t>
        </is>
      </c>
      <c r="F8" t="inlineStr">
        <is>
          <t>UPCOMING</t>
        </is>
      </c>
      <c r="G8" t="inlineStr">
        <is>
          <t>Ny modell, ikke levert i Norge ennå - bestilling åpnet hos norske forhandlere (Sulland m.fl.), første kundebiler ventet 4. kvartal 2026. Ingen uavhengig norsk vintertest eller full produksjonsbil-anmeldelse eksisterer ennå - se 07_Reviews for kildegrunnlag (forhandlersider + internasjonale prototyp-forhåndsvurderinger).</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3"/>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 See 14_HardRequirementResults (M003) and DecisionLog DEC_ADR_014 for the Hard Requirement failure and override rationale.</t>
        </is>
      </c>
      <c r="I8" t="inlineStr">
        <is>
          <t>TRUE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Flagship Configuration for this Vehicle as of 2026-07-07 (switched from P8 AWD to more closely match the other five vehicles trim level) - see 11_DecisionLog DEC_DASHBOARD_004 and the driving-dynamics caveats on 07_Reviews W008/W016. M003 resolved via ADR-014 WLTP-based estimate (see 14_HardRequirementResults, DEC_ADR_014). 437 900 kr confirmed by user as the correct base price for this Plus-trim configuration; a higher 468 900 kr figure found on a dealer campaign page during DEC_DATA_011 research is very likely a winter-tire-inclusive package price (winter tires are mandatory in Norway and commonly bundled by dealers), not a base-price discrepancy.</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No longer the flagship Configuration as of 2026-07-07 (see 11_DecisionLog DEC_DASHBOARD_004) - retained here as a real, purchasable trim for price/spec comparison. M003 winter-range data (elbil.no, ~338km, Twin Performance/AWD) still applies directly to this Configuration.</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389900</v>
      </c>
      <c r="G19" t="n">
        <v>389900</v>
      </c>
      <c r="H19" t="inlineStr">
        <is>
          <t>BasePrice/ConfiguredPrice corrected 2026-07-07 to 389900 kr, verified directly against the live official Kia nettbutikk configurator (SRC_KIA_NETTBUTIKK_EV2) - "Totalpris 389 900 kr inkl. mva" for GT Line, no optional extras. The prior 346417/423340 split came from a real Bertel O. Steen dealer sales quote (reviewed 2026-07-06) whose own internal component breakdown (251655+94762=346417 pre-tax) did not reconcile with Kia's own published configurator total for the same trim - an unreconciled discrepancy between two real sources, not a fabricated number, but the direct manufacturer configurator total is treated as authoritative for cross-vehicle price comparison, matching how every other vehicle's ConfiguredPrice in this workbook represents a clean base-trim price with no buyer-specific options. The dealer quote's buyer-specific extras (4-seat conversion, winter wheels, delivery, registration tax) are real but not part of this comparison price.</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 See 14_HardRequirementResults (M003) and DecisionLog DEC_ADR_014 for the Hard Requirement failure and override rationale.</t>
        </is>
      </c>
      <c r="I21" t="inlineStr">
        <is>
          <t>TRUE</t>
        </is>
      </c>
    </row>
    <row r="22">
      <c r="A22" t="inlineStr">
        <is>
          <t>SKODA_EPIQ_SELECTION_55_LAUNCH_EDITION</t>
        </is>
      </c>
      <c r="B22" t="inlineStr">
        <is>
          <t>SKODA_EPIQ</t>
        </is>
      </c>
      <c r="C22" t="inlineStr">
        <is>
          <t>NO</t>
        </is>
      </c>
      <c r="D22" t="inlineStr">
        <is>
          <t>AVAILABLE</t>
        </is>
      </c>
      <c r="E22" t="inlineStr">
        <is>
          <t>Selection 55 Launch Edition (FWD, 52 kWh)</t>
        </is>
      </c>
      <c r="F22" t="n">
        <v>359900</v>
      </c>
      <c r="G22" t="n">
        <v>359900</v>
      </c>
      <c r="H22" t="inlineStr">
        <is>
          <t>Sulland (norsk Skoda-forhandler) og Autoria.no bekrefter Epiq Selection 55 Launch Edition til 359 900 kr, bestillbar nå, levering ventet 4. kvartal 2026. Flaggskip-konfigurasjon for denne kjøretøymodellen (ADR-013) - eneste konfigurasjon med full Evidence/Review/Score-behandling. Se 11_DecisionLog DEC_DATA_012.</t>
        </is>
      </c>
      <c r="I22" t="inlineStr">
        <is>
          <t>FALSE</t>
        </is>
      </c>
    </row>
    <row r="23">
      <c r="A23" t="inlineStr">
        <is>
          <t>SKODA_EPIQ_ESSENCE_55_LAUNCH_EDITION</t>
        </is>
      </c>
      <c r="B23" t="inlineStr">
        <is>
          <t>SKODA_EPIQ</t>
        </is>
      </c>
      <c r="C23" t="inlineStr">
        <is>
          <t>NO</t>
        </is>
      </c>
      <c r="D23" t="inlineStr">
        <is>
          <t>AVAILABLE</t>
        </is>
      </c>
      <c r="E23" t="inlineStr">
        <is>
          <t>Essence 55 Launch Edition (FWD, 52 kWh)</t>
        </is>
      </c>
      <c r="F23" t="n">
        <v>339900</v>
      </c>
      <c r="G23" t="n">
        <v>339900</v>
      </c>
      <c r="H23" t="inlineStr">
        <is>
          <t>Sulland bekrefter Epiq Essence 55 Launch Edition til 339 900 kr. Søsterkonfigurasjon - kun Technical/Equipment/HardRequirementResults, ikke tatt gjennom full scoring (ADR-013 flaggskip-omfang). Se 11_DecisionLog DEC_DATA_012.</t>
        </is>
      </c>
      <c r="I23"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87"/>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row r="161">
      <c r="A161" t="inlineStr">
        <is>
          <t>TECH_000160</t>
        </is>
      </c>
      <c r="C161" t="inlineStr">
        <is>
          <t>TESLA_MODEL_3_LONG_RANGE_RWD</t>
        </is>
      </c>
      <c r="D161" t="inlineStr">
        <is>
          <t>TF_WINTER_HIGHWAY_RANGE_ESTIMATE</t>
        </is>
      </c>
      <c r="E161" t="n">
        <v>483.7</v>
      </c>
      <c r="F161" t="inlineStr">
        <is>
          <t>KM</t>
        </is>
      </c>
      <c r="G161" t="inlineStr">
        <is>
          <t>SRC_TESLA_NO_MODEL3_CONFIGURATOR</t>
        </is>
      </c>
      <c r="H161" t="inlineStr">
        <is>
          <t>LOW</t>
        </is>
      </c>
      <c r="I161" t="inlineStr">
        <is>
          <t>2026-07-08</t>
        </is>
      </c>
      <c r="J161" t="inlineStr">
        <is>
          <t>1.9</t>
        </is>
      </c>
      <c r="K161" t="inlineStr">
        <is>
          <t>Estimated (70% of WLTP, ADR-014)</t>
        </is>
      </c>
    </row>
    <row r="162">
      <c r="A162" t="inlineStr">
        <is>
          <t>TECH_000161</t>
        </is>
      </c>
      <c r="C162" t="inlineStr">
        <is>
          <t>RENAULT_4_TECHNO</t>
        </is>
      </c>
      <c r="D162" t="inlineStr">
        <is>
          <t>TF_WINTER_HIGHWAY_RANGE_ESTIMATE</t>
        </is>
      </c>
      <c r="E162" t="n">
        <v>278.6</v>
      </c>
      <c r="F162" t="inlineStr">
        <is>
          <t>KM</t>
        </is>
      </c>
      <c r="G162" t="inlineStr">
        <is>
          <t>SRC_RENAULT_NO_R4_PRICELIST</t>
        </is>
      </c>
      <c r="H162" t="inlineStr">
        <is>
          <t>LOW</t>
        </is>
      </c>
      <c r="I162" t="inlineStr">
        <is>
          <t>2026-07-08</t>
        </is>
      </c>
      <c r="J162" t="inlineStr">
        <is>
          <t>1.9</t>
        </is>
      </c>
      <c r="K162" t="inlineStr">
        <is>
          <t>Estimated (70% of WLTP, ADR-014)</t>
        </is>
      </c>
    </row>
    <row r="163">
      <c r="A163" t="inlineStr">
        <is>
          <t>TECH_000162</t>
        </is>
      </c>
      <c r="C163" t="inlineStr">
        <is>
          <t>SKODA_ELROQ_SELECTION_60</t>
        </is>
      </c>
      <c r="D163" t="inlineStr">
        <is>
          <t>TF_WINTER_HIGHWAY_RANGE_ESTIMATE</t>
        </is>
      </c>
      <c r="E163" t="n">
        <v>313.6</v>
      </c>
      <c r="F163" t="inlineStr">
        <is>
          <t>KM</t>
        </is>
      </c>
      <c r="G163" t="inlineStr">
        <is>
          <t>SRC_SKODA_NO_ELROQ_PRICELIST</t>
        </is>
      </c>
      <c r="H163" t="inlineStr">
        <is>
          <t>LOW</t>
        </is>
      </c>
      <c r="I163" t="inlineStr">
        <is>
          <t>2026-07-08</t>
        </is>
      </c>
      <c r="J163" t="inlineStr">
        <is>
          <t>1.9</t>
        </is>
      </c>
      <c r="K163" t="inlineStr">
        <is>
          <t>Estimated (70% of WLTP, ADR-014)</t>
        </is>
      </c>
    </row>
    <row r="164">
      <c r="A164" t="inlineStr">
        <is>
          <t>TECH_000163</t>
        </is>
      </c>
      <c r="C164" t="inlineStr">
        <is>
          <t>VOLVO_EX30_P5_LONG_RANGE</t>
        </is>
      </c>
      <c r="D164" t="inlineStr">
        <is>
          <t>TF_WINTER_HIGHWAY_RANGE_ESTIMATE</t>
        </is>
      </c>
      <c r="E164" t="n">
        <v>332.5</v>
      </c>
      <c r="F164" t="inlineStr">
        <is>
          <t>KM</t>
        </is>
      </c>
      <c r="G164" t="inlineStr">
        <is>
          <t>SRC_VOLVO_NO_EX30_SPECS</t>
        </is>
      </c>
      <c r="H164" t="inlineStr">
        <is>
          <t>LOW</t>
        </is>
      </c>
      <c r="I164" t="inlineStr">
        <is>
          <t>2026-07-08</t>
        </is>
      </c>
      <c r="J164" t="inlineStr">
        <is>
          <t>1.9</t>
        </is>
      </c>
      <c r="K164" t="inlineStr">
        <is>
          <t>Estimated (70% of WLTP, ADR-014)</t>
        </is>
      </c>
    </row>
    <row r="165">
      <c r="A165" t="inlineStr">
        <is>
          <t>TECH_000164</t>
        </is>
      </c>
      <c r="C165" t="inlineStr">
        <is>
          <t>KIA_EV2_FWD_LONG_RANGE_GT_LINE</t>
        </is>
      </c>
      <c r="D165" t="inlineStr">
        <is>
          <t>TF_WINTER_HIGHWAY_RANGE_ESTIMATE</t>
        </is>
      </c>
      <c r="E165" t="n">
        <v>317.1</v>
      </c>
      <c r="F165" t="inlineStr">
        <is>
          <t>KM</t>
        </is>
      </c>
      <c r="G165" t="inlineStr">
        <is>
          <t>SRC_KIA_NETTBUTIKK_EV2</t>
        </is>
      </c>
      <c r="H165" t="inlineStr">
        <is>
          <t>LOW</t>
        </is>
      </c>
      <c r="I165" t="inlineStr">
        <is>
          <t>2026-07-08</t>
        </is>
      </c>
      <c r="J165" t="inlineStr">
        <is>
          <t>1.9</t>
        </is>
      </c>
      <c r="K165" t="inlineStr">
        <is>
          <t>Estimated (70% of WLTP, ADR-014)</t>
        </is>
      </c>
    </row>
    <row r="166">
      <c r="A166" t="inlineStr">
        <is>
          <t>TECH_000165</t>
        </is>
      </c>
      <c r="B166" t="inlineStr">
        <is>
          <t>BYD_ATTO3</t>
        </is>
      </c>
      <c r="D166" t="inlineStr">
        <is>
          <t>TF_WINTER_HIGHWAY_RANGE_ESTIMATE</t>
        </is>
      </c>
      <c r="E166" t="n">
        <v>294</v>
      </c>
      <c r="F166" t="inlineStr">
        <is>
          <t>KM</t>
        </is>
      </c>
      <c r="G166" t="inlineStr">
        <is>
          <t>SRC_BYD_NO_ATTO3</t>
        </is>
      </c>
      <c r="H166" t="inlineStr">
        <is>
          <t>LOW</t>
        </is>
      </c>
      <c r="I166" t="inlineStr">
        <is>
          <t>2026-07-08</t>
        </is>
      </c>
      <c r="J166" t="inlineStr">
        <is>
          <t>1.9</t>
        </is>
      </c>
      <c r="K166" t="inlineStr">
        <is>
          <t>Estimated (70% of WLTP, ADR-014)</t>
        </is>
      </c>
    </row>
    <row r="167">
      <c r="A167" t="inlineStr">
        <is>
          <t>TECH_000166</t>
        </is>
      </c>
      <c r="B167" t="inlineStr">
        <is>
          <t>VOLVO_EX30</t>
        </is>
      </c>
      <c r="D167" t="inlineStr">
        <is>
          <t>TF_BOOT_VOLUME</t>
        </is>
      </c>
      <c r="E167" t="n">
        <v>318</v>
      </c>
      <c r="F167" t="inlineStr">
        <is>
          <t>L</t>
        </is>
      </c>
      <c r="G167" t="inlineStr">
        <is>
          <t>SRC_NAF_BILGUIDEN_VOLVO_EX30</t>
        </is>
      </c>
      <c r="H167" t="inlineStr">
        <is>
          <t>MEDIUM</t>
        </is>
      </c>
      <c r="I167" t="inlineStr">
        <is>
          <t>2026-07-08</t>
        </is>
      </c>
      <c r="J167" t="inlineStr">
        <is>
          <t>1.9</t>
        </is>
      </c>
    </row>
    <row r="168">
      <c r="A168" t="inlineStr">
        <is>
          <t>TECH_000167</t>
        </is>
      </c>
      <c r="B168" t="inlineStr">
        <is>
          <t>VOLVO_EX30</t>
        </is>
      </c>
      <c r="D168" t="inlineStr">
        <is>
          <t>TF_GROUND_CLEARANCE</t>
        </is>
      </c>
      <c r="E168" t="n">
        <v>165</v>
      </c>
      <c r="F168" t="inlineStr">
        <is>
          <t>MM</t>
        </is>
      </c>
      <c r="G168" t="inlineStr">
        <is>
          <t>SRC_AUTOMOLI_VOLVO_EX30_SPECS</t>
        </is>
      </c>
      <c r="H168" t="inlineStr">
        <is>
          <t>LOW</t>
        </is>
      </c>
      <c r="I168" t="inlineStr">
        <is>
          <t>2026-07-08</t>
        </is>
      </c>
      <c r="J168" t="inlineStr">
        <is>
          <t>1.9</t>
        </is>
      </c>
    </row>
    <row r="169">
      <c r="A169" t="inlineStr">
        <is>
          <t>TECH_000168</t>
        </is>
      </c>
      <c r="C169" t="inlineStr">
        <is>
          <t>VOLVO_EX30_P5_LONG_RANGE</t>
        </is>
      </c>
      <c r="D169" t="inlineStr">
        <is>
          <t>TF_AC_MAX_CHARGING</t>
        </is>
      </c>
      <c r="E169" t="n">
        <v>11</v>
      </c>
      <c r="F169" t="inlineStr">
        <is>
          <t>KW</t>
        </is>
      </c>
      <c r="G169" t="inlineStr">
        <is>
          <t>SRC_ZECAR_VOLVO_EX30_CHARGING</t>
        </is>
      </c>
      <c r="H169" t="inlineStr">
        <is>
          <t>MEDIUM</t>
        </is>
      </c>
      <c r="I169" t="inlineStr">
        <is>
          <t>2026-07-08</t>
        </is>
      </c>
      <c r="J169" t="inlineStr">
        <is>
          <t>1.9</t>
        </is>
      </c>
    </row>
    <row r="170">
      <c r="A170" t="inlineStr">
        <is>
          <t>TECH_000169</t>
        </is>
      </c>
      <c r="B170" t="inlineStr">
        <is>
          <t>SKODA_EPIQ</t>
        </is>
      </c>
      <c r="D170" t="inlineStr">
        <is>
          <t>TF_LENGTH</t>
        </is>
      </c>
      <c r="E170" t="n">
        <v>4170</v>
      </c>
      <c r="F170" t="inlineStr">
        <is>
          <t>MM</t>
        </is>
      </c>
      <c r="G170" t="inlineStr">
        <is>
          <t>SRC_SULLAND_SKODA_EPIQ</t>
        </is>
      </c>
      <c r="H170" t="inlineStr">
        <is>
          <t>MEDIUM</t>
        </is>
      </c>
      <c r="I170" t="inlineStr">
        <is>
          <t>2026-07-08</t>
        </is>
      </c>
      <c r="J170" t="inlineStr">
        <is>
          <t>1.9</t>
        </is>
      </c>
    </row>
    <row r="171">
      <c r="A171" t="inlineStr">
        <is>
          <t>TECH_000170</t>
        </is>
      </c>
      <c r="B171" t="inlineStr">
        <is>
          <t>SKODA_EPIQ</t>
        </is>
      </c>
      <c r="D171" t="inlineStr">
        <is>
          <t>TF_WIDTH</t>
        </is>
      </c>
      <c r="E171" t="n">
        <v>1800</v>
      </c>
      <c r="F171" t="inlineStr">
        <is>
          <t>MM</t>
        </is>
      </c>
      <c r="G171" t="inlineStr">
        <is>
          <t>SRC_SULLAND_SKODA_EPIQ</t>
        </is>
      </c>
      <c r="H171" t="inlineStr">
        <is>
          <t>MEDIUM</t>
        </is>
      </c>
      <c r="I171" t="inlineStr">
        <is>
          <t>2026-07-08</t>
        </is>
      </c>
      <c r="J171" t="inlineStr">
        <is>
          <t>1.9</t>
        </is>
      </c>
    </row>
    <row r="172">
      <c r="A172" t="inlineStr">
        <is>
          <t>TECH_000171</t>
        </is>
      </c>
      <c r="B172" t="inlineStr">
        <is>
          <t>SKODA_EPIQ</t>
        </is>
      </c>
      <c r="D172" t="inlineStr">
        <is>
          <t>TF_HEIGHT</t>
        </is>
      </c>
      <c r="E172" t="n">
        <v>1580</v>
      </c>
      <c r="F172" t="inlineStr">
        <is>
          <t>MM</t>
        </is>
      </c>
      <c r="G172" t="inlineStr">
        <is>
          <t>SRC_SULLAND_SKODA_EPIQ</t>
        </is>
      </c>
      <c r="H172" t="inlineStr">
        <is>
          <t>MEDIUM</t>
        </is>
      </c>
      <c r="I172" t="inlineStr">
        <is>
          <t>2026-07-08</t>
        </is>
      </c>
      <c r="J172" t="inlineStr">
        <is>
          <t>1.9</t>
        </is>
      </c>
    </row>
    <row r="173">
      <c r="A173" t="inlineStr">
        <is>
          <t>TECH_000172</t>
        </is>
      </c>
      <c r="B173" t="inlineStr">
        <is>
          <t>SKODA_EPIQ</t>
        </is>
      </c>
      <c r="D173" t="inlineStr">
        <is>
          <t>TF_BOOT_VOLUME</t>
        </is>
      </c>
      <c r="E173" t="n">
        <v>475</v>
      </c>
      <c r="F173" t="inlineStr">
        <is>
          <t>L</t>
        </is>
      </c>
      <c r="G173" t="inlineStr">
        <is>
          <t>SRC_SULLAND_SKODA_EPIQ</t>
        </is>
      </c>
      <c r="H173" t="inlineStr">
        <is>
          <t>MEDIUM</t>
        </is>
      </c>
      <c r="I173" t="inlineStr">
        <is>
          <t>2026-07-08</t>
        </is>
      </c>
      <c r="J173" t="inlineStr">
        <is>
          <t>1.9</t>
        </is>
      </c>
    </row>
    <row r="174">
      <c r="A174" t="inlineStr">
        <is>
          <t>TECH_000173</t>
        </is>
      </c>
      <c r="B174" t="inlineStr">
        <is>
          <t>SKODA_EPIQ</t>
        </is>
      </c>
      <c r="D174" t="inlineStr">
        <is>
          <t>TF_FRUNK_VOLUME</t>
        </is>
      </c>
      <c r="E174" t="n">
        <v>25</v>
      </c>
      <c r="F174" t="inlineStr">
        <is>
          <t>L</t>
        </is>
      </c>
      <c r="G174" t="inlineStr">
        <is>
          <t>SRC_SKODA_STORYBOARD_EPIQ_PRESSKIT</t>
        </is>
      </c>
      <c r="H174" t="inlineStr">
        <is>
          <t>LOW</t>
        </is>
      </c>
      <c r="I174" t="inlineStr">
        <is>
          <t>2026-07-08</t>
        </is>
      </c>
      <c r="J174" t="inlineStr">
        <is>
          <t>1.9</t>
        </is>
      </c>
    </row>
    <row r="175">
      <c r="A175" t="inlineStr">
        <is>
          <t>TECH_000174</t>
        </is>
      </c>
      <c r="B175" t="inlineStr">
        <is>
          <t>SKODA_EPIQ</t>
        </is>
      </c>
      <c r="D175" t="inlineStr">
        <is>
          <t>TF_MAX_TRAILER_WEIGHT</t>
        </is>
      </c>
      <c r="E175" t="n">
        <v>1200</v>
      </c>
      <c r="F175" t="inlineStr">
        <is>
          <t>KG</t>
        </is>
      </c>
      <c r="G175" t="inlineStr">
        <is>
          <t>SRC_SULLAND_SKODA_EPIQ</t>
        </is>
      </c>
      <c r="H175" t="inlineStr">
        <is>
          <t>MEDIUM</t>
        </is>
      </c>
      <c r="I175" t="inlineStr">
        <is>
          <t>2026-07-08</t>
        </is>
      </c>
      <c r="J175" t="inlineStr">
        <is>
          <t>1.9</t>
        </is>
      </c>
    </row>
    <row r="176">
      <c r="A176" t="inlineStr">
        <is>
          <t>TECH_000175</t>
        </is>
      </c>
      <c r="B176" t="inlineStr">
        <is>
          <t>SKODA_EPIQ</t>
        </is>
      </c>
      <c r="D176" t="inlineStr">
        <is>
          <t>TF_BATTERY_NET</t>
        </is>
      </c>
      <c r="E176" t="n">
        <v>52</v>
      </c>
      <c r="F176" t="inlineStr">
        <is>
          <t>KWH</t>
        </is>
      </c>
      <c r="G176" t="inlineStr">
        <is>
          <t>SRC_SULLAND_SKODA_EPIQ</t>
        </is>
      </c>
      <c r="H176" t="inlineStr">
        <is>
          <t>MEDIUM</t>
        </is>
      </c>
      <c r="I176" t="inlineStr">
        <is>
          <t>2026-07-08</t>
        </is>
      </c>
      <c r="J176" t="inlineStr">
        <is>
          <t>1.9</t>
        </is>
      </c>
    </row>
    <row r="177">
      <c r="A177" t="inlineStr">
        <is>
          <t>TECH_000176</t>
        </is>
      </c>
      <c r="B177" t="inlineStr">
        <is>
          <t>SKODA_EPIQ</t>
        </is>
      </c>
      <c r="D177" t="inlineStr">
        <is>
          <t>TF_MOTOR_POWER</t>
        </is>
      </c>
      <c r="E177" t="n">
        <v>155</v>
      </c>
      <c r="F177" t="inlineStr">
        <is>
          <t>KW</t>
        </is>
      </c>
      <c r="G177" t="inlineStr">
        <is>
          <t>SRC_SULLAND_SKODA_EPIQ</t>
        </is>
      </c>
      <c r="H177" t="inlineStr">
        <is>
          <t>MEDIUM</t>
        </is>
      </c>
      <c r="I177" t="inlineStr">
        <is>
          <t>2026-07-08</t>
        </is>
      </c>
      <c r="J177" t="inlineStr">
        <is>
          <t>1.9</t>
        </is>
      </c>
    </row>
    <row r="178">
      <c r="A178" t="inlineStr">
        <is>
          <t>TECH_000177</t>
        </is>
      </c>
      <c r="B178" t="inlineStr">
        <is>
          <t>SKODA_EPIQ</t>
        </is>
      </c>
      <c r="D178" t="inlineStr">
        <is>
          <t>TF_TORQUE</t>
        </is>
      </c>
      <c r="E178" t="n">
        <v>290</v>
      </c>
      <c r="F178" t="inlineStr">
        <is>
          <t>NM</t>
        </is>
      </c>
      <c r="G178" t="inlineStr">
        <is>
          <t>SRC_AUTODATA_SKODA_EPIQ55</t>
        </is>
      </c>
      <c r="H178" t="inlineStr">
        <is>
          <t>MEDIUM</t>
        </is>
      </c>
      <c r="I178" t="inlineStr">
        <is>
          <t>2026-07-08</t>
        </is>
      </c>
      <c r="J178" t="inlineStr">
        <is>
          <t>1.9</t>
        </is>
      </c>
    </row>
    <row r="179">
      <c r="A179" t="inlineStr">
        <is>
          <t>TECH_000178</t>
        </is>
      </c>
      <c r="B179" t="inlineStr">
        <is>
          <t>SKODA_EPIQ</t>
        </is>
      </c>
      <c r="D179" t="inlineStr">
        <is>
          <t>TF_TOP_SPEED</t>
        </is>
      </c>
      <c r="E179" t="n">
        <v>160</v>
      </c>
      <c r="F179" t="inlineStr">
        <is>
          <t>KMH</t>
        </is>
      </c>
      <c r="G179" t="inlineStr">
        <is>
          <t>SRC_AUTODATA_SKODA_EPIQ55</t>
        </is>
      </c>
      <c r="H179" t="inlineStr">
        <is>
          <t>MEDIUM</t>
        </is>
      </c>
      <c r="I179" t="inlineStr">
        <is>
          <t>2026-07-08</t>
        </is>
      </c>
      <c r="J179" t="inlineStr">
        <is>
          <t>1.9</t>
        </is>
      </c>
    </row>
    <row r="180">
      <c r="A180" t="inlineStr">
        <is>
          <t>TECH_000179</t>
        </is>
      </c>
      <c r="B180" t="inlineStr">
        <is>
          <t>SKODA_EPIQ</t>
        </is>
      </c>
      <c r="D180" t="inlineStr">
        <is>
          <t>TF_KERB_WEIGHT</t>
        </is>
      </c>
      <c r="E180" t="n">
        <v>1469</v>
      </c>
      <c r="F180" t="inlineStr">
        <is>
          <t>KG</t>
        </is>
      </c>
      <c r="G180" t="inlineStr">
        <is>
          <t>SRC_AUTODATA_SKODA_EPIQ55</t>
        </is>
      </c>
      <c r="H180" t="inlineStr">
        <is>
          <t>MEDIUM</t>
        </is>
      </c>
      <c r="I180" t="inlineStr">
        <is>
          <t>2026-07-08</t>
        </is>
      </c>
      <c r="J180" t="inlineStr">
        <is>
          <t>1.9</t>
        </is>
      </c>
    </row>
    <row r="181">
      <c r="A181" t="inlineStr">
        <is>
          <t>TECH_000180</t>
        </is>
      </c>
      <c r="B181" t="inlineStr">
        <is>
          <t>SKODA_EPIQ</t>
        </is>
      </c>
      <c r="D181" t="inlineStr">
        <is>
          <t>TF_AC_MAX_CHARGING</t>
        </is>
      </c>
      <c r="E181" t="n">
        <v>11</v>
      </c>
      <c r="F181" t="inlineStr">
        <is>
          <t>KW</t>
        </is>
      </c>
      <c r="G181" t="inlineStr">
        <is>
          <t>SRC_ARENAEV_SKODA_EPIQ_CHARGING</t>
        </is>
      </c>
      <c r="H181" t="inlineStr">
        <is>
          <t>MEDIUM</t>
        </is>
      </c>
      <c r="I181" t="inlineStr">
        <is>
          <t>2026-07-08</t>
        </is>
      </c>
      <c r="J181" t="inlineStr">
        <is>
          <t>1.9</t>
        </is>
      </c>
    </row>
    <row r="182">
      <c r="A182" t="inlineStr">
        <is>
          <t>TECH_000181</t>
        </is>
      </c>
      <c r="B182" t="inlineStr">
        <is>
          <t>SKODA_EPIQ</t>
        </is>
      </c>
      <c r="D182" t="inlineStr">
        <is>
          <t>TF_DC_MAX_CHARGING</t>
        </is>
      </c>
      <c r="E182" t="n">
        <v>133</v>
      </c>
      <c r="F182" t="inlineStr">
        <is>
          <t>KW</t>
        </is>
      </c>
      <c r="G182" t="inlineStr">
        <is>
          <t>SRC_ARENAEV_SKODA_EPIQ_CHARGING</t>
        </is>
      </c>
      <c r="H182" t="inlineStr">
        <is>
          <t>LOW</t>
        </is>
      </c>
      <c r="I182" t="inlineStr">
        <is>
          <t>2026-07-08</t>
        </is>
      </c>
      <c r="J182" t="inlineStr">
        <is>
          <t>1.9</t>
        </is>
      </c>
    </row>
    <row r="183">
      <c r="A183" t="inlineStr">
        <is>
          <t>TECH_000182</t>
        </is>
      </c>
      <c r="C183" t="inlineStr">
        <is>
          <t>SKODA_EPIQ_SELECTION_55_LAUNCH_EDITION</t>
        </is>
      </c>
      <c r="D183" t="inlineStr">
        <is>
          <t>TF_WLTP_RANGE</t>
        </is>
      </c>
      <c r="E183" t="n">
        <v>435</v>
      </c>
      <c r="F183" t="inlineStr">
        <is>
          <t>KM</t>
        </is>
      </c>
      <c r="G183" t="inlineStr">
        <is>
          <t>SRC_SULLAND_SKODA_EPIQ</t>
        </is>
      </c>
      <c r="H183" t="inlineStr">
        <is>
          <t>MEDIUM</t>
        </is>
      </c>
      <c r="I183" t="inlineStr">
        <is>
          <t>2026-07-08</t>
        </is>
      </c>
      <c r="J183" t="inlineStr">
        <is>
          <t>1.9</t>
        </is>
      </c>
    </row>
    <row r="184">
      <c r="A184" t="inlineStr">
        <is>
          <t>TECH_000183</t>
        </is>
      </c>
      <c r="C184" t="inlineStr">
        <is>
          <t>SKODA_EPIQ_SELECTION_55_LAUNCH_EDITION</t>
        </is>
      </c>
      <c r="D184" t="inlineStr">
        <is>
          <t>TF_WLTP_CONSUMPTION</t>
        </is>
      </c>
      <c r="E184" t="n">
        <v>13.7</v>
      </c>
      <c r="F184" t="inlineStr">
        <is>
          <t>KWH_100KM</t>
        </is>
      </c>
      <c r="G184" t="inlineStr">
        <is>
          <t>SRC_SULLAND_SKODA_EPIQ</t>
        </is>
      </c>
      <c r="H184" t="inlineStr">
        <is>
          <t>MEDIUM</t>
        </is>
      </c>
      <c r="I184" t="inlineStr">
        <is>
          <t>2026-07-08</t>
        </is>
      </c>
      <c r="J184" t="inlineStr">
        <is>
          <t>1.9</t>
        </is>
      </c>
    </row>
    <row r="185">
      <c r="A185" t="inlineStr">
        <is>
          <t>TECH_000184</t>
        </is>
      </c>
      <c r="C185" t="inlineStr">
        <is>
          <t>SKODA_EPIQ_ESSENCE_55_LAUNCH_EDITION</t>
        </is>
      </c>
      <c r="D185" t="inlineStr">
        <is>
          <t>TF_WLTP_RANGE</t>
        </is>
      </c>
      <c r="E185" t="n">
        <v>440</v>
      </c>
      <c r="F185" t="inlineStr">
        <is>
          <t>KM</t>
        </is>
      </c>
      <c r="G185" t="inlineStr">
        <is>
          <t>SRC_SULLAND_SKODA_EPIQ</t>
        </is>
      </c>
      <c r="H185" t="inlineStr">
        <is>
          <t>MEDIUM</t>
        </is>
      </c>
      <c r="I185" t="inlineStr">
        <is>
          <t>2026-07-08</t>
        </is>
      </c>
      <c r="J185" t="inlineStr">
        <is>
          <t>1.9</t>
        </is>
      </c>
    </row>
    <row r="186">
      <c r="A186" t="inlineStr">
        <is>
          <t>TECH_000185</t>
        </is>
      </c>
      <c r="C186" t="inlineStr">
        <is>
          <t>SKODA_EPIQ_SELECTION_55_LAUNCH_EDITION</t>
        </is>
      </c>
      <c r="D186" t="inlineStr">
        <is>
          <t>TF_WINTER_HIGHWAY_RANGE_ESTIMATE</t>
        </is>
      </c>
      <c r="E186" t="n">
        <v>304.5</v>
      </c>
      <c r="F186" t="inlineStr">
        <is>
          <t>KM</t>
        </is>
      </c>
      <c r="G186" t="inlineStr">
        <is>
          <t>SRC_SULLAND_SKODA_EPIQ</t>
        </is>
      </c>
      <c r="H186" t="inlineStr">
        <is>
          <t>LOW</t>
        </is>
      </c>
      <c r="I186" t="inlineStr">
        <is>
          <t>2026-07-08</t>
        </is>
      </c>
      <c r="J186" t="inlineStr">
        <is>
          <t>1.9</t>
        </is>
      </c>
      <c r="K186" t="inlineStr">
        <is>
          <t>Estimated (70% of WLTP, ADR-014)</t>
        </is>
      </c>
    </row>
    <row r="187">
      <c r="A187" t="inlineStr">
        <is>
          <t>TECH_000186</t>
        </is>
      </c>
      <c r="C187" t="inlineStr">
        <is>
          <t>SKODA_EPIQ_ESSENCE_55_LAUNCH_EDITION</t>
        </is>
      </c>
      <c r="D187" t="inlineStr">
        <is>
          <t>TF_WINTER_HIGHWAY_RANGE_ESTIMATE</t>
        </is>
      </c>
      <c r="E187" t="n">
        <v>308</v>
      </c>
      <c r="F187" t="inlineStr">
        <is>
          <t>KM</t>
        </is>
      </c>
      <c r="G187" t="inlineStr">
        <is>
          <t>SRC_SULLAND_SKODA_EPIQ</t>
        </is>
      </c>
      <c r="H187" t="inlineStr">
        <is>
          <t>LOW</t>
        </is>
      </c>
      <c r="I187" t="inlineStr">
        <is>
          <t>2026-07-08</t>
        </is>
      </c>
      <c r="J187" t="inlineStr">
        <is>
          <t>1.9</t>
        </is>
      </c>
      <c r="K187" t="inlineStr">
        <is>
          <t>Estimated (70% of WLTP, ADR-014)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7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row r="70">
      <c r="A70" t="inlineStr">
        <is>
          <t>EQ_000069</t>
        </is>
      </c>
      <c r="B70" t="inlineStr">
        <is>
          <t>VOLVO_EX30_P5_LONG_RANGE</t>
        </is>
      </c>
      <c r="C70" t="inlineStr">
        <is>
          <t>EQ_ACC</t>
        </is>
      </c>
      <c r="D70" t="inlineStr">
        <is>
          <t>STANDARD</t>
        </is>
      </c>
      <c r="E70" t="inlineStr">
        <is>
          <t>SRC_FRYDENBO_EX30_UTSTYRSNIVA_GUIDE</t>
        </is>
      </c>
      <c r="F70" t="inlineStr">
        <is>
          <t>MEDIUM</t>
        </is>
      </c>
    </row>
    <row r="71">
      <c r="A71" t="inlineStr">
        <is>
          <t>EQ_000070</t>
        </is>
      </c>
      <c r="B71" t="inlineStr">
        <is>
          <t>VOLVO_EX30_P5_LONG_RANGE</t>
        </is>
      </c>
      <c r="C71" t="inlineStr">
        <is>
          <t>EQ_REAR_CAMERA</t>
        </is>
      </c>
      <c r="D71" t="inlineStr">
        <is>
          <t>STANDARD</t>
        </is>
      </c>
      <c r="E71" t="inlineStr">
        <is>
          <t>SRC_FRYDENBO_EX30_UTSTYRSNIVA_GUIDE</t>
        </is>
      </c>
      <c r="F71" t="inlineStr">
        <is>
          <t>MEDIUM</t>
        </is>
      </c>
    </row>
    <row r="72">
      <c r="A72" t="inlineStr">
        <is>
          <t>EQ_000071</t>
        </is>
      </c>
      <c r="B72" t="inlineStr">
        <is>
          <t>VOLVO_EX30_P5_LONG_RANGE</t>
        </is>
      </c>
      <c r="C72" t="inlineStr">
        <is>
          <t>EQ_360</t>
        </is>
      </c>
      <c r="D72" t="inlineStr">
        <is>
          <t>UNAVAILABLE</t>
        </is>
      </c>
      <c r="E72" t="inlineStr">
        <is>
          <t>SRC_FRYDENBO_EX30_UTSTYRSNIVA_GUIDE</t>
        </is>
      </c>
      <c r="F72" t="inlineStr">
        <is>
          <t>MEDIUM</t>
        </is>
      </c>
    </row>
    <row r="73">
      <c r="A73" t="inlineStr">
        <is>
          <t>EQ_000072</t>
        </is>
      </c>
      <c r="B73" t="inlineStr">
        <is>
          <t>VOLVO_EX30_P5_LONG_RANGE</t>
        </is>
      </c>
      <c r="C73" t="inlineStr">
        <is>
          <t>EQ_LANE_CENTER</t>
        </is>
      </c>
      <c r="D73" t="inlineStr">
        <is>
          <t>STANDARD</t>
        </is>
      </c>
      <c r="E73" t="inlineStr">
        <is>
          <t>SRC_FRYDENBO_EX30_UTSTYRSNIVA_GUIDE</t>
        </is>
      </c>
      <c r="F73" t="inlineStr">
        <is>
          <t>MEDIUM</t>
        </is>
      </c>
    </row>
    <row r="74">
      <c r="A74" t="inlineStr">
        <is>
          <t>EQ_000073</t>
        </is>
      </c>
      <c r="B74" t="inlineStr">
        <is>
          <t>SKODA_EPIQ_SELECTION_55_LAUNCH_EDITION</t>
        </is>
      </c>
      <c r="C74" t="inlineStr">
        <is>
          <t>EQ_ACC</t>
        </is>
      </c>
      <c r="D74" t="inlineStr">
        <is>
          <t>STANDARD</t>
        </is>
      </c>
      <c r="E74" t="inlineStr">
        <is>
          <t>SRC_AUTORIA_SKODA_EPIQ_PRIS</t>
        </is>
      </c>
      <c r="F74" t="inlineStr">
        <is>
          <t>MEDIUM</t>
        </is>
      </c>
    </row>
    <row r="75">
      <c r="A75" t="inlineStr">
        <is>
          <t>EQ_000074</t>
        </is>
      </c>
      <c r="B75" t="inlineStr">
        <is>
          <t>SKODA_EPIQ_SELECTION_55_LAUNCH_EDITION</t>
        </is>
      </c>
      <c r="C75" t="inlineStr">
        <is>
          <t>EQ_REAR_CAMERA</t>
        </is>
      </c>
      <c r="D75" t="inlineStr">
        <is>
          <t>STANDARD</t>
        </is>
      </c>
      <c r="E75" t="inlineStr">
        <is>
          <t>SRC_AUTORIA_SKODA_EPIQ_PRIS</t>
        </is>
      </c>
      <c r="F75" t="inlineStr">
        <is>
          <t>MEDIUM</t>
        </is>
      </c>
    </row>
    <row r="76">
      <c r="A76" t="inlineStr">
        <is>
          <t>EQ_000075</t>
        </is>
      </c>
      <c r="B76" t="inlineStr">
        <is>
          <t>SKODA_EPIQ_SELECTION_55_LAUNCH_EDITION</t>
        </is>
      </c>
      <c r="C76" t="inlineStr">
        <is>
          <t>EQ_LANE_CENTER</t>
        </is>
      </c>
      <c r="D76" t="inlineStr">
        <is>
          <t>STANDARD</t>
        </is>
      </c>
      <c r="E76" t="inlineStr">
        <is>
          <t>SRC_AUTORIA_SKODA_EPIQ_PRIS</t>
        </is>
      </c>
      <c r="F76"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38"/>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VOLVO_EX30_P5_LONG_RANGE</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VOLVO_EX30_P5_LONG_RANGE</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VOLVO_EX30_P5_LONG_RANGE</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VOLVO_EX30_P5_LONG_RANGE</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VOLVO_EX30_P5_LONG_RANGE</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VOLVO_EX30_P5_LONG_RANGE</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VOLVO_EX30_P5_LONG_RANGE</t>
        </is>
      </c>
      <c r="D29" t="inlineStr">
        <is>
          <t>Rekkevidde/lading</t>
        </is>
      </c>
      <c r="E29" t="n">
        <v>4</v>
      </c>
      <c r="F29" t="inlineStr">
        <is>
          <t>MEDIUM</t>
        </is>
      </c>
      <c r="G29" t="inlineStr">
        <is>
          <t>Offisiell spesifikasjon viser 175 kW DC-hurtiglading (10-80% på ca. 27 minutter, uendret fra P8 AWD) og 17 kWh/100km forbruk med 475 km WLTP-rekkevidde for P5 Long Range - noe bedre enn P8 AWD (450 km/17,5 kWh/100km), som forventet for en enmotors konfigurasjon. [Kriterium W020]</t>
        </is>
      </c>
      <c r="H29" t="inlineStr">
        <is>
          <t>EV_000148</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VOLVO_EX30_P5_LONG_RANGE</t>
        </is>
      </c>
      <c r="D40" t="inlineStr">
        <is>
          <t>Økonomi</t>
        </is>
      </c>
      <c r="E40" t="n">
        <v>2</v>
      </c>
      <c r="F40" t="inlineStr">
        <is>
          <t>MEDIUM</t>
        </is>
      </c>
      <c r="G40" t="inlineStr">
        <is>
          <t>Dyrest av de seks (437 900 kr) med et forbruk på 17 kWh/100km - høyere enn de fleste andre i utvalget (Tesla 13,6, Skoda 15,3, Kia 15,2, Renault 15,5), men ikke en ytterlighet. I motsetning til P8 AWD (opprinnelig vurdert konfigurasjon) er P5 Long Range enmotors bakhjulsdrevet - det finnes derfor ingen argumentasjon om at merprisen går til firehjulsdrift/ytelse slik det gjorde for P8 AWD. Likevel forblir dette den klart dyreste konfigurasjonen av de seks uten en tilsvarende tydelig fordel som forsvarer merprisen. Svakest verdi for pengene av de seks. [Kriterium W017]</t>
        </is>
      </c>
      <c r="H40" t="inlineStr">
        <is>
          <t>EV_000149</t>
        </is>
      </c>
      <c r="I40" t="inlineStr">
        <is>
          <t>1.4</t>
        </is>
      </c>
    </row>
    <row r="41">
      <c r="A41" t="inlineStr">
        <is>
          <t>REV_000040</t>
        </is>
      </c>
      <c r="C41" t="inlineStr">
        <is>
          <t>KIA_EV2_FWD_LONG_RANGE_GT_LINE</t>
        </is>
      </c>
      <c r="D41" t="inlineStr">
        <is>
          <t>Økonomi</t>
        </is>
      </c>
      <c r="E41" t="n">
        <v>4</v>
      </c>
      <c r="F41" t="inlineStr">
        <is>
          <t>MEDIUM</t>
        </is>
      </c>
      <c r="G41" t="inlineStr">
        <is>
          <t>GT Line-trimmen koster 389 900 kr (offisiell Kia-konfigurator, ingen tilvalg) - ikke lengre lavest av utvalget som tidligere (feilaktig) oppgitt, men et solid mellomsjikt: billigere enn Tesla (400 539) og Volvo P5 Long Range (437 900), omtrent likt med BYD Design (389 920), dyrere enn Renault (364 900) og Skoda (374 900). Til gjengjeld har GT Line det mest omfattende standardutstyret registrert i dette datasettet (varme i seter/ratt, trådløs CarPlay/Android Auto, full ADAS-pakke med HDA 2.0 motorveiassistent og automatisk filskift) og nest-best rekkevidde (453 km). God, men ikke eksepsjonell, verdi for pengene - ikke lenger "billigst og best utstyrt" som tidligere feilaktig lagt til grunn.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VOLVO_EX30_P5_LONG_RANGE</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VOLVO_EX30_P5_LONG_RANGE</t>
        </is>
      </c>
      <c r="D47" t="inlineStr">
        <is>
          <t>Teknologi</t>
        </is>
      </c>
      <c r="E47" t="n">
        <v>3</v>
      </c>
      <c r="F47" t="inlineStr">
        <is>
          <t>MEDIUM</t>
        </is>
      </c>
      <c r="G47" t="inlineStr">
        <is>
          <t>Motor.no: ACC beskrives som "lunefull på norske vinterveier" - å justere hastighet/intervall "viste seg i praksis umulig" under vinterkjøring. Testet på P8 AWD (Twin Performance, firehjulsdrift); ACC-kalibrering kan i prinsippet variere mellom enmotors og tomotors utgaver av samme modell, og er ikke uavhengig bekreftet spesifikt for P5 Long Range. Isolert praktisk svakhet ved førerassistanse i norske vinterforhold,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VOLVO_EX30_P5_LONG_RANGE</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VOLVO_EX30_P5_LONG_RANGE</t>
        </is>
      </c>
      <c r="D58" t="inlineStr">
        <is>
          <t>Teknologi</t>
        </is>
      </c>
      <c r="E58" t="n">
        <v>2</v>
      </c>
      <c r="F58" t="inlineStr">
        <is>
          <t>MEDIUM</t>
        </is>
      </c>
      <c r="G58" t="inlineStr">
        <is>
          <t>elbil.no og Frydenbøs trimnivå-sammenligning bekrefter at 360-graders kamera er forbeholdt Ultra-utstyrsnivå, ikke inkludert på Plus. Hvilket utstyrsnivå P5 Long Range selges med er nå uavhengig bekreftet: Frydenbøs egen kampanjeside viser Single Motor Extended Range (476 km, matcher denne konfigurasjonens WLTP) selges som Plus - samme nivå den tidligere P8 AWD-baserte sammenligningen gjaldt. 360-kamera fortsatt ikke inkludert på denne konfigurasjonen. [Kriterium W009]</t>
        </is>
      </c>
      <c r="H58" t="inlineStr">
        <is>
          <t>EV_000073,EV_000150</t>
        </is>
      </c>
      <c r="I58" t="inlineStr">
        <is>
          <t>1.9</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VOLVO_EX30_P5_LONG_RANGE</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VOLVO_EX30_P5_LONG_RANGE</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VOLVO_EX30_P5_LONG_RANGE</t>
        </is>
      </c>
      <c r="D75" t="inlineStr">
        <is>
          <t>Langtidseierskap</t>
        </is>
      </c>
      <c r="E75" t="n">
        <v>4</v>
      </c>
      <c r="F75" t="inlineStr">
        <is>
          <t>LOW</t>
        </is>
      </c>
      <c r="G75" t="inlineStr">
        <is>
          <t>EX30 har vært på det norske markedet i rundt to-tre år, og Volvo er en veletablert produsent med lang nordisk historie. elbil.no sin uavhengige vintertest (ca. 75% av WLTP-rekkevidden beholdt ned mot -20°C) gjelder imidlertid uttrykkelig Twin Performance (samme drivlinje som P8 AWD, tomotors firehjulsdrift) - ikke P5 Long Range sin enmotors bakhjulsdrift, som har andre effektivitets- og regenereringsegenskaper i kulde. Dette datapunktet er derfor ikke direkte overførbart; stemmer overens med at M003 (vinterrekkevidde) forblir Ukjent for nettopp denne konfigurasjonen i 14_HardRequirementResults. Vurderingen hviler dermed hovedsakelig på merkets/modellens generelle nordiske tilstedeværelse, ikke et modellspesifikt vintertall for denne drivlinjen.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VOLVO_EX30_P5_LONG_RANGE</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VOLVO_EX30_P5_LONG_RANGE</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VOLVO_EX30_P5_LONG_RANGE</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VOLVO_EX30_P5_LONG_RANGE</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VOLVO_EX30_P5_LONG_RANGE</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row r="122">
      <c r="A122" t="inlineStr">
        <is>
          <t>REV_000121</t>
        </is>
      </c>
      <c r="C122" t="inlineStr">
        <is>
          <t>SKODA_EPIQ_SELECTION_55_LAUNCH_EDITION</t>
        </is>
      </c>
      <c r="D122" t="inlineStr">
        <is>
          <t>Kjøreopplevelse</t>
        </is>
      </c>
      <c r="E122" t="n">
        <v>3</v>
      </c>
      <c r="F122" t="inlineStr">
        <is>
          <t>LOW</t>
        </is>
      </c>
      <c r="G122" t="inlineStr">
        <is>
          <t>To uavhengige prototyp-forhåndsvurderinger er uenige om kupéstøy ved motorveifart: What Car? beskriver bilen som stillegående med lite veistøy, mens Electrifying.com bemerker merkbar fjærings- og dekkstøy til tross for et generelt rolig og forfinet inntrykk. Ingen av testene gjelder ferdig produksjonsbil eller norsk vinterkjøring. [Kriterium W001]</t>
        </is>
      </c>
      <c r="H122" t="inlineStr">
        <is>
          <t>EV_000152</t>
        </is>
      </c>
      <c r="I122" t="inlineStr">
        <is>
          <t>1.9</t>
        </is>
      </c>
    </row>
    <row r="123">
      <c r="A123" t="inlineStr">
        <is>
          <t>REV_000122</t>
        </is>
      </c>
      <c r="C123" t="inlineStr">
        <is>
          <t>SKODA_EPIQ_SELECTION_55_LAUNCH_EDITION</t>
        </is>
      </c>
      <c r="D123" t="inlineStr">
        <is>
          <t>Kjøreopplevelse</t>
        </is>
      </c>
      <c r="E123" t="n">
        <v>4</v>
      </c>
      <c r="F123" t="inlineStr">
        <is>
          <t>LOW</t>
        </is>
      </c>
      <c r="G123" t="inlineStr">
        <is>
          <t>To uavhengige prototyp-forhåndsvurderinger er samstemte om god komfort: godt balansert fjæring som takler både lavfartshumper og ujevnt veidekke, samt god seteplass i begge rader. Basert på prototypkjøring, ikke ferdig produksjonsbil eller norsk-spesifikk testing. [Kriterium W002]</t>
        </is>
      </c>
      <c r="H123" t="inlineStr">
        <is>
          <t>EV_000153</t>
        </is>
      </c>
      <c r="I123" t="inlineStr">
        <is>
          <t>1.9</t>
        </is>
      </c>
    </row>
    <row r="124">
      <c r="A124" t="inlineStr">
        <is>
          <t>REV_000123</t>
        </is>
      </c>
      <c r="C124" t="inlineStr">
        <is>
          <t>SKODA_EPIQ_SELECTION_55_LAUNCH_EDITION</t>
        </is>
      </c>
      <c r="D124" t="inlineStr">
        <is>
          <t>Kjøreopplevelse</t>
        </is>
      </c>
      <c r="E124" t="n">
        <v>4</v>
      </c>
      <c r="F124" t="inlineStr">
        <is>
          <t>LOW</t>
        </is>
      </c>
      <c r="G124" t="inlineStr">
        <is>
          <t>Begge prototyp-forhåndsvurderinger fremhever god sikt (kort motorpanser, slanke A-stolper, stort bakvindu) og grei manøvrering i trange rom. Basert på prototypkjøring, ikke ferdig produksjonsbil. [Kriterium W003]</t>
        </is>
      </c>
      <c r="H124" t="inlineStr">
        <is>
          <t>EV_000154</t>
        </is>
      </c>
      <c r="I124" t="inlineStr">
        <is>
          <t>1.9</t>
        </is>
      </c>
    </row>
    <row r="125">
      <c r="A125" t="inlineStr">
        <is>
          <t>REV_000124</t>
        </is>
      </c>
      <c r="C125" t="inlineStr">
        <is>
          <t>SKODA_EPIQ_SELECTION_55_LAUNCH_EDITION</t>
        </is>
      </c>
      <c r="D125" t="inlineStr">
        <is>
          <t>Kjøreopplevelse</t>
        </is>
      </c>
      <c r="E125" t="n">
        <v>3</v>
      </c>
      <c r="F125" t="inlineStr">
        <is>
          <t>LOW</t>
        </is>
      </c>
      <c r="G125" t="inlineStr">
        <is>
          <t>Styringen beskrives som lett og bytilpasset av begge kilder, forutsigbar i normal kjøring - men What Car? presiserer selv at egenskaper på svingete veier forblir utestet. Score reflekterer en trygg, men ikke presisjonsorientert, kjørefølelse. Basert på prototypkjøring, ikke ferdig produksjonsbil. [Kriterium W004]</t>
        </is>
      </c>
      <c r="H125" t="inlineStr">
        <is>
          <t>EV_000155</t>
        </is>
      </c>
      <c r="I125" t="inlineStr">
        <is>
          <t>1.9</t>
        </is>
      </c>
    </row>
    <row r="126">
      <c r="A126" t="inlineStr">
        <is>
          <t>REV_000125</t>
        </is>
      </c>
      <c r="C126" t="inlineStr">
        <is>
          <t>SKODA_EPIQ_SELECTION_55_LAUNCH_EDITION</t>
        </is>
      </c>
      <c r="D126" t="inlineStr">
        <is>
          <t>Teknologi</t>
        </is>
      </c>
      <c r="E126" t="n">
        <v>4</v>
      </c>
      <c r="F126" t="inlineStr">
        <is>
          <t>MEDIUM</t>
        </is>
      </c>
      <c r="G126" t="inlineStr">
        <is>
          <t>God kombinasjon av responsiv skjerm og fysiske snarveisknapper for klimaanlegg per prototyp-vurdering; navigasjonssystem bekreftet som standardutstyr i det norske markedet spesifikt. [Kriterium W005]</t>
        </is>
      </c>
      <c r="H126" t="inlineStr">
        <is>
          <t>EV_000156</t>
        </is>
      </c>
      <c r="I126" t="inlineStr">
        <is>
          <t>1.9</t>
        </is>
      </c>
    </row>
    <row r="127">
      <c r="A127" t="inlineStr">
        <is>
          <t>REV_000126</t>
        </is>
      </c>
      <c r="C127" t="inlineStr">
        <is>
          <t>SKODA_EPIQ_SELECTION_55_LAUNCH_EDITION</t>
        </is>
      </c>
      <c r="D127" t="inlineStr">
        <is>
          <t>Teknologi</t>
        </is>
      </c>
      <c r="E127" t="n">
        <v>4</v>
      </c>
      <c r="F127" t="inlineStr">
        <is>
          <t>LOW</t>
        </is>
      </c>
      <c r="G127" t="inlineStr">
        <is>
          <t>Apple CarPlay bekreftet standard av en internasjonal kilde; fraværet fra den norske utstyrslisten er notert som en sannsynlig listeufullstendighet, ikke bekreftet fravær - lavere konfidens gitt denne kildeuenigheten. [Kriterium W007]</t>
        </is>
      </c>
      <c r="H127" t="inlineStr">
        <is>
          <t>EV_000157</t>
        </is>
      </c>
      <c r="I127" t="inlineStr">
        <is>
          <t>1.9</t>
        </is>
      </c>
    </row>
    <row r="128">
      <c r="A128" t="inlineStr">
        <is>
          <t>REV_000127</t>
        </is>
      </c>
      <c r="C128" t="inlineStr">
        <is>
          <t>SKODA_EPIQ_SELECTION_55_LAUNCH_EDITION</t>
        </is>
      </c>
      <c r="D128" t="inlineStr">
        <is>
          <t>Teknologi</t>
        </is>
      </c>
      <c r="E128" t="n">
        <v>3</v>
      </c>
      <c r="F128" t="inlineStr">
        <is>
          <t>MEDIUM</t>
        </is>
      </c>
      <c r="G128" t="inlineStr">
        <is>
          <t>Ryggekamera og parkeringssensorer foran/bak bekreftet standard i det norske markedet - god grunnutrustning, men uten 360-graders kamera slik enkelte konkurrenter tilbyr. [Kriterium W009]</t>
        </is>
      </c>
      <c r="H128" t="inlineStr">
        <is>
          <t>EV_000158</t>
        </is>
      </c>
      <c r="I128" t="inlineStr">
        <is>
          <t>1.9</t>
        </is>
      </c>
    </row>
    <row r="129">
      <c r="A129" t="inlineStr">
        <is>
          <t>REV_000128</t>
        </is>
      </c>
      <c r="C129" t="inlineStr">
        <is>
          <t>SKODA_EPIQ_SELECTION_55_LAUNCH_EDITION</t>
        </is>
      </c>
      <c r="D129" t="inlineStr">
        <is>
          <t>Opplevd kvalitet</t>
        </is>
      </c>
      <c r="E129" t="n">
        <v>3</v>
      </c>
      <c r="F129" t="inlineStr">
        <is>
          <t>LOW</t>
        </is>
      </c>
      <c r="G129" t="inlineStr">
        <is>
          <t>Overveiende positivt inntrykk av materialkvalitet for prisklassen (myke overflater øverst, hardere plast lavt nede), men usikkerhet rundt hvilken internasjonal materialpakke som faktisk tilsvarer den norske Selection-konfigurasjonen reduserer konfidensen. [Kriterium W010]</t>
        </is>
      </c>
      <c r="H129" t="inlineStr">
        <is>
          <t>EV_000159</t>
        </is>
      </c>
      <c r="I129" t="inlineStr">
        <is>
          <t>1.9</t>
        </is>
      </c>
    </row>
    <row r="130">
      <c r="A130" t="inlineStr">
        <is>
          <t>REV_000129</t>
        </is>
      </c>
      <c r="C130" t="inlineStr">
        <is>
          <t>SKODA_EPIQ_SELECTION_55_LAUNCH_EDITION</t>
        </is>
      </c>
      <c r="D130" t="inlineStr">
        <is>
          <t>Opplevd kvalitet</t>
        </is>
      </c>
      <c r="E130" t="n">
        <v>3</v>
      </c>
      <c r="F130" t="inlineStr">
        <is>
          <t>LOW</t>
        </is>
      </c>
      <c r="G130" t="inlineStr">
        <is>
          <t>God justerbarhet for ratt og sete, samt fysiske betjeningselementer for hyppig brukte funksjoner - positivt førermiljø-inntrykk basert på prototypkjøring, ikke ferdig produksjonsbil. [Kriterium W012]</t>
        </is>
      </c>
      <c r="H130" t="inlineStr">
        <is>
          <t>EV_000160</t>
        </is>
      </c>
      <c r="I130" t="inlineStr">
        <is>
          <t>1.9</t>
        </is>
      </c>
    </row>
    <row r="131">
      <c r="A131" t="inlineStr">
        <is>
          <t>REV_000130</t>
        </is>
      </c>
      <c r="C131" t="inlineStr">
        <is>
          <t>SKODA_EPIQ_SELECTION_55_LAUNCH_EDITION</t>
        </is>
      </c>
      <c r="D131" t="inlineStr">
        <is>
          <t>Opplevd kvalitet</t>
        </is>
      </c>
      <c r="E131" t="n">
        <v>4</v>
      </c>
      <c r="F131" t="inlineStr">
        <is>
          <t>LOW</t>
        </is>
      </c>
      <c r="G131" t="inlineStr">
        <is>
          <t>Fysiske snarveisknapper for klimaanlegg fremhevet som en gjennomtenkt løsning som unngår unødig menynavigering - god betjeningskvalitet-vurdering fra prototyp-forhåndsvurdering. [Kriterium W013]</t>
        </is>
      </c>
      <c r="H131" t="inlineStr">
        <is>
          <t>EV_000161</t>
        </is>
      </c>
      <c r="I131" t="inlineStr">
        <is>
          <t>1.9</t>
        </is>
      </c>
    </row>
    <row r="132">
      <c r="A132" t="inlineStr">
        <is>
          <t>REV_000131</t>
        </is>
      </c>
      <c r="C132" t="inlineStr">
        <is>
          <t>SKODA_EPIQ_SELECTION_55_LAUNCH_EDITION</t>
        </is>
      </c>
      <c r="D132" t="inlineStr">
        <is>
          <t>Langtidseierskap</t>
        </is>
      </c>
      <c r="E132" t="n">
        <v>3</v>
      </c>
      <c r="F132" t="inlineStr">
        <is>
          <t>LOW</t>
        </is>
      </c>
      <c r="G132" t="inlineStr">
        <is>
          <t>Skoda/VW-konsernets merkevareomdømme er solid, men i motsetning til Elroq (som kunne støtte seg på den modne, flerårige MEB-plattformen) er MEB+ en helt ny plattform uten reell driftshistorikk - lavere konfidens enn Elroqs tilsvarende vurdering, per prinsippet om at manglende egen historikk gir lavere konfidens, ikke automatisk lavere score. [Kriterium W014]</t>
        </is>
      </c>
      <c r="H132" t="inlineStr">
        <is>
          <t>EV_000162</t>
        </is>
      </c>
      <c r="I132" t="inlineStr">
        <is>
          <t>1.9</t>
        </is>
      </c>
    </row>
    <row r="133">
      <c r="A133" t="inlineStr">
        <is>
          <t>REV_000132</t>
        </is>
      </c>
      <c r="C133" t="inlineStr">
        <is>
          <t>SKODA_EPIQ_SELECTION_55_LAUNCH_EDITION</t>
        </is>
      </c>
      <c r="D133" t="inlineStr">
        <is>
          <t>Langtidseierskap</t>
        </is>
      </c>
      <c r="E133" t="n">
        <v>4</v>
      </c>
      <c r="F133" t="inlineStr">
        <is>
          <t>HIGH</t>
        </is>
      </c>
      <c r="G133" t="inlineStr">
        <is>
          <t>Samme solide, merkevaredekkende garanti- og serviceapparat som allerede dokumentert for Elroq - denne policyen er modelluavhengig, så høy konfidens til tross for at Epiq selv er helt ny. [Kriterium W015]</t>
        </is>
      </c>
      <c r="H133" t="inlineStr">
        <is>
          <t>EV_000163</t>
        </is>
      </c>
      <c r="I133" t="inlineStr">
        <is>
          <t>1.9</t>
        </is>
      </c>
    </row>
    <row r="134">
      <c r="A134" t="inlineStr">
        <is>
          <t>REV_000133</t>
        </is>
      </c>
      <c r="C134" t="inlineStr">
        <is>
          <t>SKODA_EPIQ_SELECTION_55_LAUNCH_EDITION</t>
        </is>
      </c>
      <c r="D134" t="inlineStr">
        <is>
          <t>Langtidseierskap</t>
        </is>
      </c>
      <c r="E134" t="n">
        <v>3</v>
      </c>
      <c r="F134" t="inlineStr">
        <is>
          <t>LOW</t>
        </is>
      </c>
      <c r="G134" t="inlineStr">
        <is>
          <t>Skodas generelle nordiske merkevareomdømme er godt, men MEB+-plattformen mangler den flerårige vintertest-historikken som støttet Elroqs tilsvarende vurdering - reflektert i lavere konfidens enn Elroqs W016-score. [Kriterium W016]</t>
        </is>
      </c>
      <c r="H134" t="inlineStr">
        <is>
          <t>EV_000164</t>
        </is>
      </c>
      <c r="I134" t="inlineStr">
        <is>
          <t>1.9</t>
        </is>
      </c>
    </row>
    <row r="135">
      <c r="A135" t="inlineStr">
        <is>
          <t>REV_000134</t>
        </is>
      </c>
      <c r="C135" t="inlineStr">
        <is>
          <t>SKODA_EPIQ_SELECTION_55_LAUNCH_EDITION</t>
        </is>
      </c>
      <c r="D135" t="inlineStr">
        <is>
          <t>Økonomi</t>
        </is>
      </c>
      <c r="E135" t="n">
        <v>3</v>
      </c>
      <c r="F135" t="inlineStr">
        <is>
          <t>MEDIUM</t>
        </is>
      </c>
      <c r="G135" t="inlineStr">
        <is>
          <t>Solid utstyrsnivå til en pris under Elroq for en sammenlignbar (mindre) SUV - reell verdi i utstyr og pris, men score modereres av at dette er en ennå ikke levert modell uten sammenlignbar driftshistorikk. [Kriterium W017]</t>
        </is>
      </c>
      <c r="H135" t="inlineStr">
        <is>
          <t>EV_000165</t>
        </is>
      </c>
      <c r="I135" t="inlineStr">
        <is>
          <t>1.9</t>
        </is>
      </c>
    </row>
    <row r="136">
      <c r="A136" t="inlineStr">
        <is>
          <t>REV_000135</t>
        </is>
      </c>
      <c r="C136" t="inlineStr">
        <is>
          <t>SKODA_EPIQ_SELECTION_55_LAUNCH_EDITION</t>
        </is>
      </c>
      <c r="D136" t="inlineStr">
        <is>
          <t>Praktisk bruk</t>
        </is>
      </c>
      <c r="E136" t="n">
        <v>4</v>
      </c>
      <c r="F136" t="inlineStr">
        <is>
          <t>MEDIUM</t>
        </is>
      </c>
      <c r="G136" t="inlineStr">
        <is>
          <t>Romslig bagasjerom for segmentet pluss frunk gir god fleksibilitet for voksne passasjerer og last - positivt for en husholdning uten barn hvor voksen-/lastfleksibilitet veier tyngre enn ISOFIX-hensyn. [Kriterium W018]</t>
        </is>
      </c>
      <c r="H136" t="inlineStr">
        <is>
          <t>EV_000166</t>
        </is>
      </c>
      <c r="I136" t="inlineStr">
        <is>
          <t>1.9</t>
        </is>
      </c>
    </row>
    <row r="137">
      <c r="A137" t="inlineStr">
        <is>
          <t>REV_000136</t>
        </is>
      </c>
      <c r="C137" t="inlineStr">
        <is>
          <t>SKODA_EPIQ_SELECTION_55_LAUNCH_EDITION</t>
        </is>
      </c>
      <c r="D137" t="inlineStr">
        <is>
          <t>Garasje</t>
        </is>
      </c>
      <c r="E137" t="n">
        <v>4</v>
      </c>
      <c r="F137" t="inlineStr">
        <is>
          <t>HIGH</t>
        </is>
      </c>
      <c r="G137" t="inlineStr">
        <is>
          <t>Deterministisk beregnet fra offisiell lengdemargin (330mm), samme rubrikk som øvrige kjøretøy i sammenligningen. [Kriterium W019]</t>
        </is>
      </c>
      <c r="H137" t="inlineStr">
        <is>
          <t>EV_000167</t>
        </is>
      </c>
      <c r="I137" t="inlineStr">
        <is>
          <t>1.9</t>
        </is>
      </c>
    </row>
    <row r="138">
      <c r="A138" t="inlineStr">
        <is>
          <t>REV_000137</t>
        </is>
      </c>
      <c r="C138" t="inlineStr">
        <is>
          <t>SKODA_EPIQ_SELECTION_55_LAUNCH_EDITION</t>
        </is>
      </c>
      <c r="D138" t="inlineStr">
        <is>
          <t>Rekkevidde/lading</t>
        </is>
      </c>
      <c r="E138" t="n">
        <v>3</v>
      </c>
      <c r="F138" t="inlineStr">
        <is>
          <t>LOW</t>
        </is>
      </c>
      <c r="G138" t="inlineStr">
        <is>
          <t>Ladeegenskaper virker konkurransedyktige (133 kW DC oppgitt), men reell usikkerhet i det eksakte DC-tallet på tvers av kilder gir lavere konfidens enn ellers ved 8000 km/år-bruksmønsteret dette kriteriet vektlegges mot. [Kriterium W020]</t>
        </is>
      </c>
      <c r="H138" t="inlineStr">
        <is>
          <t>EV_000168</t>
        </is>
      </c>
      <c r="I138" t="inlineStr">
        <is>
          <t>1.9</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389900 kr incl. VAT/fees for the GT Line trim itself (verified directly against the live official Kia nettbutikk configurator, no optional extras), for 453km WLTP range - second-best range of the six at a middle price point (cheaper than Tesla and Volvo P5 Long Range, pricier than Renault and Skoda, essentially tied with BYD Design), with the richest standard equipment list gathered in this dataset. The buyer's own dealer quote (423340 kr total) reflects personal options (4-seat conversion, winter wheels, registration tax) and is not representative of the trim's own comparison price.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row r="149">
      <c r="A149" t="inlineStr">
        <is>
          <t>EV_000148</t>
        </is>
      </c>
      <c r="C149" t="inlineStr">
        <is>
          <t>VOLVO_EX30_P5_LONG_RANGE</t>
        </is>
      </c>
      <c r="D149" t="inlineStr">
        <is>
          <t>Ladeegenskaper/rekkevidde: Offisiell Volvo-spesifikasjon for P5 Long Range: 175 kW DC-hurtiglading (samme som P8 AWD), 475 km WLTP-rekkevidde og 17 kWh/100km forbruk - noe lengre rekkevidde og lavere forbruk enn P8 AWD (450 km / 17,5 kWh/100km), som forventet for en enmotors bakhjulsdrevet konfigurasjon.</t>
        </is>
      </c>
      <c r="E149" t="inlineStr">
        <is>
          <t>SRC_VOLVO_NO_EX30_SPECS</t>
        </is>
      </c>
      <c r="F149" t="inlineStr">
        <is>
          <t>MEDIUM</t>
        </is>
      </c>
    </row>
    <row r="150">
      <c r="A150" t="inlineStr">
        <is>
          <t>EV_000149</t>
        </is>
      </c>
      <c r="C150" t="inlineStr">
        <is>
          <t>VOLVO_EX30_P5_LONG_RANGE</t>
        </is>
      </c>
      <c r="D150" t="inlineStr">
        <is>
          <t>Price positioning: 437900 kr incl. VAT/fees (official Volvo specification page) for P5 Long Range, 475km WLTP range and 17 kWh/100km consumption - still the highest price of the six configurations compared, but without the dual-motor/performance premium that applied to P8 AWD (this is a single-motor RWD configuration).</t>
        </is>
      </c>
      <c r="E150" t="inlineStr">
        <is>
          <t>SRC_VOLVO_NO_EX30_SPECS</t>
        </is>
      </c>
      <c r="F150" t="inlineStr">
        <is>
          <t>MEDIUM</t>
        </is>
      </c>
    </row>
    <row r="151">
      <c r="A151" t="inlineStr">
        <is>
          <t>EV_000150</t>
        </is>
      </c>
      <c r="C151" t="inlineStr">
        <is>
          <t>VOLVO_EX30_P5_LONG_RANGE</t>
        </is>
      </c>
      <c r="D151" t="inlineStr">
        <is>
          <t>Frydenbøs egen EX30-kampanjeside bekrefter at Single Motor Extended Range (476 km rekkevidde - matcher denne konfigurasjonens registrerte WLTP-tall) selges som Plus-utstyrsnivå i det norske markedet (468 900 kr veiledende), ikke Core eller Ultra. Løser for første gang hvilket utstyrsnivå denne konfigurasjonen faktisk tilsvarer.</t>
        </is>
      </c>
      <c r="E151" t="inlineStr">
        <is>
          <t>SRC_FRYDENBO_EX30_CAMPAIGN_PRICING</t>
        </is>
      </c>
      <c r="F151" t="inlineStr">
        <is>
          <t>MEDIUM</t>
        </is>
      </c>
    </row>
    <row r="152">
      <c r="A152" t="inlineStr">
        <is>
          <t>EV_000151</t>
        </is>
      </c>
      <c r="C152" t="inlineStr">
        <is>
          <t>VOLVO_EX30_P5_LONG_RANGE</t>
        </is>
      </c>
      <c r="D152" t="inlineStr">
        <is>
          <t>Frydenbøs utstyrsnivå-veiledning bekrefter at Adaptiv Cruise Kontroll og ryggekamera er standard fra og med Core-nivå (laveste nivå) på EX30 - dermed inkludert på Plus (se EV_000150 for bekreftelse av at denne konfigurasjonen er Plus-nivå). 360-graders kamera forblir forbeholdt Ultra, ikke inkludert her.</t>
        </is>
      </c>
      <c r="E152" t="inlineStr">
        <is>
          <t>SRC_FRYDENBO_EX30_UTSTYRSNIVA_GUIDE</t>
        </is>
      </c>
      <c r="F152" t="inlineStr">
        <is>
          <t>MEDIUM</t>
        </is>
      </c>
    </row>
    <row r="153">
      <c r="A153" t="inlineStr">
        <is>
          <t>EV_000152</t>
        </is>
      </c>
      <c r="C153" t="inlineStr">
        <is>
          <t>SKODA_EPIQ_SELECTION_55_LAUNCH_EDITION</t>
        </is>
      </c>
      <c r="D153" t="inlineStr">
        <is>
          <t>What Car? (prototypkjøring) beskriver bilen som "hushed, with very little road noise" ved motorveifart. Electrifying.com (separat prototypkjøring i Porto) bemerker derimot at man "notice suspension and tyre noise", selv om helhetsinntrykket beskrives som "a refined and calm car". Reell kildeuenighet mellom to uavhengige forhåndsvurderinger av samme ikke-produksjonsklare prototyp.</t>
        </is>
      </c>
      <c r="E153" t="inlineStr">
        <is>
          <t>SRC_WHATCAR_SKODA_EPIQ_REVIEW,SRC_ELECTRIFYING_SKODA_EPIQ_REVIEW</t>
        </is>
      </c>
      <c r="F153" t="inlineStr">
        <is>
          <t>LOW</t>
        </is>
      </c>
    </row>
    <row r="154">
      <c r="A154" t="inlineStr">
        <is>
          <t>EV_000153</t>
        </is>
      </c>
      <c r="C154" t="inlineStr">
        <is>
          <t>SKODA_EPIQ_SELECTION_55_LAUNCH_EDITION</t>
        </is>
      </c>
      <c r="D154" t="inlineStr">
        <is>
          <t>What Car?: "suspension strikes a good balance between control and suppleness", håndterer lavfartshumper bedre enn konkurrenter, "body control in check over undulating roads" ved høyere fart. Electrifying.com: bilen "rides well even over very rough surfaces" på Portos dårlige veier. Begge kilder bekrefter god seteplass foran og bak.</t>
        </is>
      </c>
      <c r="E154" t="inlineStr">
        <is>
          <t>SRC_WHATCAR_SKODA_EPIQ_REVIEW,SRC_ELECTRIFYING_SKODA_EPIQ_REVIEW</t>
        </is>
      </c>
      <c r="F154" t="inlineStr">
        <is>
          <t>LOW</t>
        </is>
      </c>
    </row>
    <row r="155">
      <c r="A155" t="inlineStr">
        <is>
          <t>EV_000154</t>
        </is>
      </c>
      <c r="C155" t="inlineStr">
        <is>
          <t>SKODA_EPIQ_SELECTION_55_LAUNCH_EDITION</t>
        </is>
      </c>
      <c r="D155" t="inlineStr">
        <is>
          <t>What Car?: "short bonnet and slim windscreen pillars provide clear forward views", og "large back window means that you can see plenty behind you". Electrifying.com bekrefter "decent turning circle for those moments when you want to squeeze into a tight space".</t>
        </is>
      </c>
      <c r="E155" t="inlineStr">
        <is>
          <t>SRC_WHATCAR_SKODA_EPIQ_REVIEW,SRC_ELECTRIFYING_SKODA_EPIQ_REVIEW</t>
        </is>
      </c>
      <c r="F155" t="inlineStr">
        <is>
          <t>LOW</t>
        </is>
      </c>
    </row>
    <row r="156">
      <c r="A156" t="inlineStr">
        <is>
          <t>EV_000155</t>
        </is>
      </c>
      <c r="C156" t="inlineStr">
        <is>
          <t>SKODA_EPIQ_SELECTION_55_LAUNCH_EDITION</t>
        </is>
      </c>
      <c r="D156" t="inlineStr">
        <is>
          <t>What Car?: "light steering suggests it's been tuned to make effortlessly threading through town a priority" - men presiserer eksplisitt at "handling characteristics on twisty roads remain untested". Electrifying.com: styringen er "reasonably hefty and direct, yet light enough", kjørefølelsen "very grown-up" med "predictable pedal responses".</t>
        </is>
      </c>
      <c r="E156" t="inlineStr">
        <is>
          <t>SRC_WHATCAR_SKODA_EPIQ_REVIEW,SRC_ELECTRIFYING_SKODA_EPIQ_REVIEW</t>
        </is>
      </c>
      <c r="F156" t="inlineStr">
        <is>
          <t>LOW</t>
        </is>
      </c>
    </row>
    <row r="157">
      <c r="A157" t="inlineStr">
        <is>
          <t>EV_000156</t>
        </is>
      </c>
      <c r="C157" t="inlineStr">
        <is>
          <t>SKODA_EPIQ_SELECTION_55_LAUNCH_EDITION</t>
        </is>
      </c>
      <c r="D157" t="inlineStr">
        <is>
          <t>What Car?: 5,3-tommers digitalt display og 13-tommers berøringsskjerm er "clear and easy to read" og "reacts to your prods quickly"; fysiske snarveisknapper under skjermen forenkler klimaanlegg-betjening og unngår unødig menynavigering. Autoria.no (norsk prisliste) bekrefter "Navigasjonssystem" som standardutstyr på Epiq 55 Launch Edition.</t>
        </is>
      </c>
      <c r="E157" t="inlineStr">
        <is>
          <t>SRC_WHATCAR_SKODA_EPIQ_REVIEW,SRC_AUTORIA_SKODA_EPIQ_PRIS</t>
        </is>
      </c>
      <c r="F157" t="inlineStr">
        <is>
          <t>MEDIUM</t>
        </is>
      </c>
    </row>
    <row r="158">
      <c r="A158" t="inlineStr">
        <is>
          <t>EV_000157</t>
        </is>
      </c>
      <c r="C158" t="inlineStr">
        <is>
          <t>SKODA_EPIQ_SELECTION_55_LAUNCH_EDITION</t>
        </is>
      </c>
      <c r="D158" t="inlineStr">
        <is>
          <t>Electrifying.com bekrefter eksplisitt: "Standard 13-inch touchscreen with Apple CarPlay and Android Auto". Autoria.nos norske utstyrsliste for Launch Edition nevner derimot ikke Apple CarPlay til tross for en ellers omfattende liste - sannsynligvis en ufullstendig markedsføringsliste snarere enn reell fraværende funksjon, gitt at trådløs CarPlay/Android Auto er standard på tvers av hele Skoda/VW MEB-plattformen.</t>
        </is>
      </c>
      <c r="E158" t="inlineStr">
        <is>
          <t>SRC_ELECTRIFYING_SKODA_EPIQ_REVIEW,SRC_AUTORIA_SKODA_EPIQ_PRIS</t>
        </is>
      </c>
      <c r="F158" t="inlineStr">
        <is>
          <t>LOW</t>
        </is>
      </c>
    </row>
    <row r="159">
      <c r="A159" t="inlineStr">
        <is>
          <t>EV_000158</t>
        </is>
      </c>
      <c r="C159" t="inlineStr">
        <is>
          <t>SKODA_EPIQ_SELECTION_55_LAUNCH_EDITION</t>
        </is>
      </c>
      <c r="D159" t="inlineStr">
        <is>
          <t>Autoria.no (norsk prisliste for Epiq 55 Launch Edition) bekrefter "Parkeringssensorer foran og bak" og "Ryggekamera" som standardutstyr. Ingen 360-graders kamera er nevnt eller bekreftet tilgjengelig for denne konfigurasjonen.</t>
        </is>
      </c>
      <c r="E159" t="inlineStr">
        <is>
          <t>SRC_AUTORIA_SKODA_EPIQ_PRIS</t>
        </is>
      </c>
      <c r="F159" t="inlineStr">
        <is>
          <t>MEDIUM</t>
        </is>
      </c>
    </row>
    <row r="160">
      <c r="A160" t="inlineStr">
        <is>
          <t>EV_000159</t>
        </is>
      </c>
      <c r="C160" t="inlineStr">
        <is>
          <t>SKODA_EPIQ_SELECTION_55_LAUNCH_EDITION</t>
        </is>
      </c>
      <c r="D160" t="inlineStr">
        <is>
          <t>What Car?: kabinen har "soft touch materials all over the dashboard" med "scratchy plastics kept quite low down", vurdert som "impressive" for prisklassen. Electrifying.com beskriver ulike fargevalg/materialpakker (Loft med "part leatherette", Suite med "faux suede and leatherette") - navngivning som ikke er direkte bekreftet å tilsvare de norske Essence/Selection-nivåene.</t>
        </is>
      </c>
      <c r="E160" t="inlineStr">
        <is>
          <t>SRC_WHATCAR_SKODA_EPIQ_REVIEW,SRC_ELECTRIFYING_SKODA_EPIQ_REVIEW</t>
        </is>
      </c>
      <c r="F160" t="inlineStr">
        <is>
          <t>LOW</t>
        </is>
      </c>
    </row>
    <row r="161">
      <c r="A161" t="inlineStr">
        <is>
          <t>EV_000160</t>
        </is>
      </c>
      <c r="C161" t="inlineStr">
        <is>
          <t>SKODA_EPIQ_SELECTION_55_LAUNCH_EDITION</t>
        </is>
      </c>
      <c r="D161" t="inlineStr">
        <is>
          <t>What Car? bekrefter "plenty of steering wheel and seat adjustment" for å finne en komfortabel kjørestilling, kombinert med fysiske snarveisknapper som reduserer skjermavhengighet for hyppig brukte funksjoner.</t>
        </is>
      </c>
      <c r="E161" t="inlineStr">
        <is>
          <t>SRC_WHATCAR_SKODA_EPIQ_REVIEW</t>
        </is>
      </c>
      <c r="F161" t="inlineStr">
        <is>
          <t>LOW</t>
        </is>
      </c>
    </row>
    <row r="162">
      <c r="A162" t="inlineStr">
        <is>
          <t>EV_000161</t>
        </is>
      </c>
      <c r="C162" t="inlineStr">
        <is>
          <t>SKODA_EPIQ_SELECTION_55_LAUNCH_EDITION</t>
        </is>
      </c>
      <c r="D162" t="inlineStr">
        <is>
          <t>What Car? fremhever spesifikt at "physical shortcut buttons beneath the screen simplify climate control access, avoiding excessive menu diving" - en direkte kommentar til betjeningsdesign, ikke bare skjermkvalitet.</t>
        </is>
      </c>
      <c r="E162" t="inlineStr">
        <is>
          <t>SRC_WHATCAR_SKODA_EPIQ_REVIEW</t>
        </is>
      </c>
      <c r="F162" t="inlineStr">
        <is>
          <t>LOW</t>
        </is>
      </c>
    </row>
    <row r="163">
      <c r="A163" t="inlineStr">
        <is>
          <t>EV_000162</t>
        </is>
      </c>
      <c r="C163" t="inlineStr">
        <is>
          <t>SKODA_EPIQ_SELECTION_55_LAUNCH_EDITION</t>
        </is>
      </c>
      <c r="D163" t="inlineStr">
        <is>
          <t>Epiq bygges på MEB+, en ny plattform utviklet spesielt for kompakte elbiler, delt kun med den også ennå ikke lanserte VW ID.2. I motsetning til Elroqs MEB-plattform (delt med Enyaq/ID.3/ID.4/ID.5/Q4 e-tron, med flere års reell driftserfaring på tvers av merker - se W014-vurderingen for SKODA_ELROQ_SELECTION_60), har MEB+ ingen reell driftshistorikk å falle tilbake på ennå.</t>
        </is>
      </c>
      <c r="F163" t="inlineStr">
        <is>
          <t>LOW</t>
        </is>
      </c>
    </row>
    <row r="164">
      <c r="A164" t="inlineStr">
        <is>
          <t>EV_000163</t>
        </is>
      </c>
      <c r="C164" t="inlineStr">
        <is>
          <t>SKODA_EPIQ_SELECTION_55_LAUNCH_EDITION</t>
        </is>
      </c>
      <c r="D164" t="inlineStr">
        <is>
          <t>Skoda-Norge (importert av Harald A. Møller AS) tilbyr samme garantivilkår på alle nye elbiler uavhengig av modell: 5 års/100 000 km generell nybilgaranti samt 8 års/160 000 km batterigaranti (minst 70% kapasitet) - samme merkevaredekkende policy allerede dokumentert for Elroq Selection 60, og et langt etablert, landsdekkende forhandlernett via Møller-apparatet.</t>
        </is>
      </c>
      <c r="F164" t="inlineStr">
        <is>
          <t>HIGH</t>
        </is>
      </c>
    </row>
    <row r="165">
      <c r="A165" t="inlineStr">
        <is>
          <t>EV_000164</t>
        </is>
      </c>
      <c r="C165" t="inlineStr">
        <is>
          <t>SKODA_EPIQ_SELECTION_55_LAUNCH_EDITION</t>
        </is>
      </c>
      <c r="D165" t="inlineStr">
        <is>
          <t>MEB+-plattformen har ingen dokumentert flerårig nordisk vintererfaring ennå, i motsetning til Elroqs MEB-plattform som NAF/Motor har testet siden januar 2022 med gjennomgående sterke resultater. Skoda generelt har solid nordisk tilstedeværelse og erfaring, men den spesifikke MEB+-plattformen er uprøvd i nordisk klima.</t>
        </is>
      </c>
      <c r="F165" t="inlineStr">
        <is>
          <t>LOW</t>
        </is>
      </c>
    </row>
    <row r="166">
      <c r="A166" t="inlineStr">
        <is>
          <t>EV_000165</t>
        </is>
      </c>
      <c r="C166" t="inlineStr">
        <is>
          <t>SKODA_EPIQ_SELECTION_55_LAUNCH_EDITION</t>
        </is>
      </c>
      <c r="D166" t="inlineStr">
        <is>
          <t>Epiq Selection 55 Launch Edition koster 359 900 kr og inkluderer adaptiv cruisekontroll, navigasjon, ryggekamera, parkeringssensorer foran/bak, oppvarmede seter/ratt og 18" felg som standard - 15 000 kr billigere enn Elroq Selection 60 (374 900 kr) for et mindre, men nyere og bedre grunnutstyrt kjøretøy. Prisen alene reflekterer ikke den ekstra usikkerheten som følger med en helt ny, ennå ikke levert modell.</t>
        </is>
      </c>
      <c r="E166" t="inlineStr">
        <is>
          <t>SRC_SULLAND_SKODA_EPIQ</t>
        </is>
      </c>
      <c r="F166" t="inlineStr">
        <is>
          <t>MEDIUM</t>
        </is>
      </c>
    </row>
    <row r="167">
      <c r="A167" t="inlineStr">
        <is>
          <t>EV_000166</t>
        </is>
      </c>
      <c r="C167" t="inlineStr">
        <is>
          <t>SKODA_EPIQ_SELECTION_55_LAUNCH_EDITION</t>
        </is>
      </c>
      <c r="D167" t="inlineStr">
        <is>
          <t>Sulland bekrefter 475 liter bagasjerom (ekspanderbart til 1345 liter med nedfelte seter) - stort for segmentet - samt en 25-liters frunk for ekstra oppbevaring (Skodas pressemateriale). Dimensjoner (4170x1800x1580mm) gir god kabinplass til tross for kompakte utvendige mål.</t>
        </is>
      </c>
      <c r="E167" t="inlineStr">
        <is>
          <t>SRC_SULLAND_SKODA_EPIQ,SRC_SKODA_STORYBOARD_EPIQ_PRESSKIT</t>
        </is>
      </c>
      <c r="F167" t="inlineStr">
        <is>
          <t>MEDIUM</t>
        </is>
      </c>
    </row>
    <row r="168">
      <c r="A168" t="inlineStr">
        <is>
          <t>EV_000167</t>
        </is>
      </c>
      <c r="C168" t="inlineStr">
        <is>
          <t>SKODA_EPIQ_SELECTION_55_LAUNCH_EDITION</t>
        </is>
      </c>
      <c r="D168" t="inlineStr">
        <is>
          <t>Offisiell lengde 4170mm (Sulland) gir 330mm margin til 4500mm-grensen. Etter samme rubrikk som brukt for øvrige kjøretøy (&gt;=400mm=5, 250-399mm=4, 100-249mm=3, 1-99mm=2, over grensen=1): 330mm faller i 250-399mm-intervallet.</t>
        </is>
      </c>
      <c r="E168" t="inlineStr">
        <is>
          <t>SRC_SULLAND_SKODA_EPIQ</t>
        </is>
      </c>
      <c r="F168" t="inlineStr">
        <is>
          <t>HIGH</t>
        </is>
      </c>
    </row>
    <row r="169">
      <c r="A169" t="inlineStr">
        <is>
          <t>EV_000168</t>
        </is>
      </c>
      <c r="C169" t="inlineStr">
        <is>
          <t>SKODA_EPIQ_SELECTION_55_LAUNCH_EDITION</t>
        </is>
      </c>
      <c r="D169" t="inlineStr">
        <is>
          <t>ArenaEV oppgir 11 kW AC og 133 kW DC-lading (10-80% på 24 minutter, per Sulland) for Epiq 55. Andre kilder oppgir avvikende DC-tall (105-125 kW) for samme variant - reell kildeuenighet, sannsynligvis fordi spesifikasjonene ikke er fullt stabilisert for denne ennå ikke leverte modellen.</t>
        </is>
      </c>
      <c r="E169" t="inlineStr">
        <is>
          <t>SRC_ARENAEV_SKODA_EPIQ_CHARGING</t>
        </is>
      </c>
      <c r="F169" t="inlineStr">
        <is>
          <t>LOW</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10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2026-07-07</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 Re-verified 2026-07-07 (user opened the live page directly): the page displays "Totalpris 389 900 kr inkl. mva" for this exact GT Line configuration (no optional extras beyond the GT Line package itself). This total was not cross-checked against this same source when BasePrice/ConfiguredPrice were first recorded (2026-07-06) - an internal component sum from a separate dealer-quote document (251655+94762=346417) was used instead, without reconciling it against the total already shown on this cited page. The 389900kr figure directly from this source is now treated as authoritative for BasePrice/ConfiguredPrice.</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https://www.frydenbo-bil.no/aktuelt/slik-velger-du-riktig-utstyrsniva-for-din-volvo-ex30</t>
        </is>
      </c>
      <c r="G39" t="inlineStr">
        <is>
          <t>2026-07-06</t>
        </is>
      </c>
      <c r="H39" t="inlineStr">
        <is>
          <t>Independently corroborates that at the Twin Performance AWD powertrain, Plus trim (468,900 NOK) excludes the 360-degree camera/Park Pilot, which is only added at Ultra trim (~505,900 NOK) for the same powertrain. Same article also confirms Adaptive Cruise Control and a reversing camera are standard from Core level upward across the EX30 range.</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row r="97">
      <c r="A97" t="inlineStr">
        <is>
          <t>SRC_FRYDENBO_EX30_UTSTYRSNIVA_GUIDE</t>
        </is>
      </c>
      <c r="B97" t="inlineStr">
        <is>
          <t>OTHER</t>
        </is>
      </c>
      <c r="C97" t="inlineStr">
        <is>
          <t>Slik velger du riktig utstyrsnivå for din Volvo EX30</t>
        </is>
      </c>
      <c r="D97" t="inlineStr">
        <is>
          <t>Frydenbø Bil (Volvo-forhandler, Norge)</t>
        </is>
      </c>
      <c r="E97" t="inlineStr">
        <is>
          <t>https://www.frydenbo-bil.no/aktuelt/slik-velger-du-riktig-utstyrsniva-for-din-volvo-ex30</t>
        </is>
      </c>
      <c r="G97" t="inlineStr">
        <is>
          <t>2026-07-08</t>
        </is>
      </c>
      <c r="H97" t="inlineStr">
        <is>
          <t>Bekrefter at Adaptiv Cruise Kontroll og ryggekamera er standard fra og med Core-utstyrsnivå (laveste nivå) på EX30; 360-graders kamera forblir forbeholdt Ultra.</t>
        </is>
      </c>
      <c r="I97" t="inlineStr">
        <is>
          <t>NB</t>
        </is>
      </c>
    </row>
    <row r="98">
      <c r="A98" t="inlineStr">
        <is>
          <t>SRC_FRYDENBO_EX30_CAMPAIGN_PRICING</t>
        </is>
      </c>
      <c r="B98" t="inlineStr">
        <is>
          <t>OTHER</t>
        </is>
      </c>
      <c r="C98" t="inlineStr">
        <is>
          <t>Kampanje på Volvo EX30 (modell/utstyrsnivå/pris-oversikt)</t>
        </is>
      </c>
      <c r="D98" t="inlineStr">
        <is>
          <t>Frydenbø Bil (Volvo-forhandler, Norge)</t>
        </is>
      </c>
      <c r="E98" t="inlineStr">
        <is>
          <t>https://www.frydenbo-bil.no/kampanje/nybil/volvo/ex30</t>
        </is>
      </c>
      <c r="G98" t="inlineStr">
        <is>
          <t>2026-07-08</t>
        </is>
      </c>
      <c r="H98" t="inlineStr">
        <is>
          <t>Bekrefter at Single Motor Extended Range (476 km rekkevidde, matcher denne konfigurasjonens registrerte WLTP) selges som Plus-utstyrsnivå i det norske markedet - ikke Core eller Ultra. Første uavhengige bekreftelse av hvilket utstyrsnivå P5 Long Range faktisk tilsvarer (se REV_000057s tidligere åpne usikkerhet).</t>
        </is>
      </c>
      <c r="I98" t="inlineStr">
        <is>
          <t>NB</t>
        </is>
      </c>
    </row>
    <row r="99">
      <c r="A99" t="inlineStr">
        <is>
          <t>SRC_NAF_BILGUIDEN_VOLVO_EX30</t>
        </is>
      </c>
      <c r="B99" t="inlineStr">
        <is>
          <t>PROFESSIONAL_REVIEW</t>
        </is>
      </c>
      <c r="C99" t="inlineStr">
        <is>
          <t>Volvo EX30 - pris, rekkevidde og tester</t>
        </is>
      </c>
      <c r="D99" t="inlineStr">
        <is>
          <t>NAF (Norges Automobil-Forbund)</t>
        </is>
      </c>
      <c r="E99" t="inlineStr">
        <is>
          <t>https://www.naf.no/bilguiden/bilmodell/volvo-ex30</t>
        </is>
      </c>
      <c r="G99" t="inlineStr">
        <is>
          <t>2026-07-08</t>
        </is>
      </c>
      <c r="H99" t="inlineStr">
        <is>
          <t>Oppgir bagasjeromskapasitet (318 liter bak, 7 liter foran/frunk) og maksimal DC-ladeeffekt (153 kW). Ikke trimnivå-spesifikk.</t>
        </is>
      </c>
      <c r="I99" t="inlineStr">
        <is>
          <t>NB</t>
        </is>
      </c>
    </row>
    <row r="100">
      <c r="A100" t="inlineStr">
        <is>
          <t>SRC_AUTOMOLI_VOLVO_EX30_SPECS</t>
        </is>
      </c>
      <c r="B100" t="inlineStr">
        <is>
          <t>OTHER</t>
        </is>
      </c>
      <c r="C100" t="inlineStr">
        <is>
          <t>Tekniske data Volvo EX30</t>
        </is>
      </c>
      <c r="D100" t="inlineStr">
        <is>
          <t>Automoli</t>
        </is>
      </c>
      <c r="E100" t="inlineStr">
        <is>
          <t>https://www.automoli.com/no/vehicles/volvo/ex30/ex30-9517/</t>
        </is>
      </c>
      <c r="G100" t="inlineStr">
        <is>
          <t>2026-07-08</t>
        </is>
      </c>
      <c r="H100" t="inlineStr">
        <is>
          <t>Oppgir bakkeklaring (165mm, oppgitt å gjelde alle tre motorvarianter) og alternative bagasjeromstall (min 234L / maks 904L). Eneste funnet kilde for bakkeklaring - ikke uavhengig krysssjekket.</t>
        </is>
      </c>
      <c r="I100" t="inlineStr">
        <is>
          <t>NB</t>
        </is>
      </c>
    </row>
    <row r="101">
      <c r="A101" t="inlineStr">
        <is>
          <t>SRC_ZECAR_VOLVO_EX30_CHARGING</t>
        </is>
      </c>
      <c r="B101" t="inlineStr">
        <is>
          <t>OTHER</t>
        </is>
      </c>
      <c r="C101" t="inlineStr">
        <is>
          <t>Volvo EX30 Single Motor Extended Charging Guide</t>
        </is>
      </c>
      <c r="D101" t="inlineStr">
        <is>
          <t>Zecar</t>
        </is>
      </c>
      <c r="E101" t="inlineStr">
        <is>
          <t>https://zecar.com/ev-charging-guides/volvo/ex30/2024/single-motor-extended</t>
        </is>
      </c>
      <c r="G101" t="inlineStr">
        <is>
          <t>2026-07-08</t>
        </is>
      </c>
      <c r="H101" t="inlineStr">
        <is>
          <t>Oppgir 11 kW AC/onboard-lading for Single Motor Extended Range (P5 Long Range). 22kW er kun tilgjengelig som opsjon på Twin Performance (AWD), ikke relevant for denne konfigurasjonen.</t>
        </is>
      </c>
      <c r="I101" t="inlineStr">
        <is>
          <t>EN</t>
        </is>
      </c>
    </row>
    <row r="102">
      <c r="A102" t="inlineStr">
        <is>
          <t>SRC_SULLAND_SKODA_EPIQ</t>
        </is>
      </c>
      <c r="B102" t="inlineStr">
        <is>
          <t>MANUFACTURER</t>
        </is>
      </c>
      <c r="C102" t="inlineStr">
        <is>
          <t>Nye Skoda Epiq - Sulland</t>
        </is>
      </c>
      <c r="D102" t="inlineStr">
        <is>
          <t>Sulland (Skoda-forhandler, Norge)</t>
        </is>
      </c>
      <c r="E102" t="inlineStr">
        <is>
          <t>https://www.sulland.no/nybil/skoda/epiq</t>
        </is>
      </c>
      <c r="G102" t="inlineStr">
        <is>
          <t>2026-07-08</t>
        </is>
      </c>
      <c r="H102" t="inlineStr">
        <is>
          <t>Norsk forhandlerside. Bekrefter dimensjoner (4170x1800x1580mm), bagasjerom (475L), maks tilhengervekt (1200kg), batteri netto (52 kWt), motoreffekt (211 hk), WLTP-rekkevidde (435 km Selection / 440 km Essence), forbruk (13,7 kWt/100km), DC-lading (10-80% på 24 min), pris for begge Launch Edition-variantene.</t>
        </is>
      </c>
      <c r="I102" t="inlineStr">
        <is>
          <t>NB</t>
        </is>
      </c>
    </row>
    <row r="103">
      <c r="A103" t="inlineStr">
        <is>
          <t>SRC_AUTORIA_SKODA_EPIQ_PRIS</t>
        </is>
      </c>
      <c r="B103" t="inlineStr">
        <is>
          <t>OTHER</t>
        </is>
      </c>
      <c r="C103" t="inlineStr">
        <is>
          <t>Skoda Epiq - Pris - Kampanje - Leasing</t>
        </is>
      </c>
      <c r="D103" t="inlineStr">
        <is>
          <t>Autoria.no</t>
        </is>
      </c>
      <c r="E103" t="inlineStr">
        <is>
          <t>https://www.autoria.no/kampanjer/epiq-pris</t>
        </is>
      </c>
      <c r="G103" t="inlineStr">
        <is>
          <t>2026-07-08</t>
        </is>
      </c>
      <c r="H103" t="inlineStr">
        <is>
          <t>Norsk utstyrsliste for Epiq 55 Launch Edition: bekrefter adaptiv cruise kontroll, ryggekamera, parkeringssensorer foran og bak, og Lane Assist som standardutstyr. Apple CarPlay ikke nevnt på denne listen til tross for at internasjonale kilder oppgir det som standard - se W007-Reviewen for drøfting.</t>
        </is>
      </c>
      <c r="I103" t="inlineStr">
        <is>
          <t>NB</t>
        </is>
      </c>
    </row>
    <row r="104">
      <c r="A104" t="inlineStr">
        <is>
          <t>SRC_AUTODATA_SKODA_EPIQ55</t>
        </is>
      </c>
      <c r="B104" t="inlineStr">
        <is>
          <t>OTHER</t>
        </is>
      </c>
      <c r="C104" t="inlineStr">
        <is>
          <t>Skoda Epiq 55 55 kWh (211 Hp) Electric - technical specs</t>
        </is>
      </c>
      <c r="D104" t="inlineStr">
        <is>
          <t>Auto-data.net</t>
        </is>
      </c>
      <c r="E104" t="inlineStr">
        <is>
          <t>https://www.auto-data.net/en/skoda-epiq-55-55-kwh-211hp-electric-56719</t>
        </is>
      </c>
      <c r="G104" t="inlineStr">
        <is>
          <t>2026-07-08</t>
        </is>
      </c>
      <c r="H104" t="inlineStr">
        <is>
          <t>Oppgir egenvekt (1469 kg), toppfart (160 km/t), dreiemoment (290 Nm), 0-100 km/t (7,4 sek).</t>
        </is>
      </c>
      <c r="I104" t="inlineStr">
        <is>
          <t>EN</t>
        </is>
      </c>
    </row>
    <row r="105">
      <c r="A105" t="inlineStr">
        <is>
          <t>SRC_ARENAEV_SKODA_EPIQ_CHARGING</t>
        </is>
      </c>
      <c r="B105" t="inlineStr">
        <is>
          <t>OTHER</t>
        </is>
      </c>
      <c r="C105" t="inlineStr">
        <is>
          <t>Skoda details the Epiq's power, batteries, range, and performance</t>
        </is>
      </c>
      <c r="D105" t="inlineStr">
        <is>
          <t>ArenaEV</t>
        </is>
      </c>
      <c r="E105" t="inlineStr">
        <is>
          <t>https://www.arenaev.com/skoda_details_the_epiqs_power_batteries_range_and_performance-news-5585.php</t>
        </is>
      </c>
      <c r="G105" t="inlineStr">
        <is>
          <t>2026-07-08</t>
        </is>
      </c>
      <c r="H105" t="inlineStr">
        <is>
          <t>Oppgir 11 kW AC / 133 kW DC-lading for Epiq 55. Andre kilder oppgir avvikende DC-tall (105-125 kW) - reell kildeuenighet, sannsynligvis fordi spesifikasjonene ikke er fullt stabilisert for denne ennå ikke lanserte modellen. Laveste konfidens gitt spredningen i tallene.</t>
        </is>
      </c>
      <c r="I105" t="inlineStr">
        <is>
          <t>EN</t>
        </is>
      </c>
    </row>
    <row r="106">
      <c r="A106" t="inlineStr">
        <is>
          <t>SRC_SKODA_STORYBOARD_EPIQ_PRESSKIT</t>
        </is>
      </c>
      <c r="B106" t="inlineStr">
        <is>
          <t>MANUFACTURER</t>
        </is>
      </c>
      <c r="C106" t="inlineStr">
        <is>
          <t>Skoda Epiq press kit - the new all-electric entry model</t>
        </is>
      </c>
      <c r="D106" t="inlineStr">
        <is>
          <t>Skoda Auto (Storyboard)</t>
        </is>
      </c>
      <c r="E106" t="inlineStr">
        <is>
          <t>https://www.skoda-storyboard.com/en/press-kits/skoda-epiq-press-kit/skoda-epiq-the-new-all-electric-entry-model-combining-accessibilitycompact-dimensions-and-everyday-practicality/</t>
        </is>
      </c>
      <c r="G106" t="inlineStr">
        <is>
          <t>2026-07-08</t>
        </is>
      </c>
      <c r="H106" t="inlineStr">
        <is>
          <t>Internasjonalt pressemateriale. Bekrefter frunk-volum (25 liter) og luftmotstandstall (Cw 0,275). Ikke markedsspesifikt, men fysiske mål antas like på tvers av markeder.</t>
        </is>
      </c>
      <c r="I106" t="inlineStr">
        <is>
          <t>EN</t>
        </is>
      </c>
    </row>
    <row r="107">
      <c r="A107" t="inlineStr">
        <is>
          <t>SRC_WHATCAR_SKODA_EPIQ_REVIEW</t>
        </is>
      </c>
      <c r="B107" t="inlineStr">
        <is>
          <t>PROFESSIONAL_REVIEW</t>
        </is>
      </c>
      <c r="C107" t="inlineStr">
        <is>
          <t>Skoda Epiq review</t>
        </is>
      </c>
      <c r="D107" t="inlineStr">
        <is>
          <t>What Car?</t>
        </is>
      </c>
      <c r="E107" t="inlineStr">
        <is>
          <t>https://www.whatcar.com/skoda/epiq/estate/review/n29034</t>
        </is>
      </c>
      <c r="G107" t="inlineStr">
        <is>
          <t>2026-07-08</t>
        </is>
      </c>
      <c r="H107" t="inlineStr">
        <is>
          <t>Forhåndsvurdering basert på prototypkjøring - ikke ferdig produksjonsbil, ikke spesifisert utstyrsnivå. Dekker kjørekomfort, synlighet, styring, kupéstøy, seteplass, materialkvalitet og betjening.</t>
        </is>
      </c>
      <c r="I107" t="inlineStr">
        <is>
          <t>EN</t>
        </is>
      </c>
    </row>
    <row r="108">
      <c r="A108" t="inlineStr">
        <is>
          <t>SRC_ELECTRIFYING_SKODA_EPIQ_REVIEW</t>
        </is>
      </c>
      <c r="B108" t="inlineStr">
        <is>
          <t>PROFESSIONAL_REVIEW</t>
        </is>
      </c>
      <c r="C108" t="inlineStr">
        <is>
          <t>Skoda Epiq Review &amp; Buying Guide</t>
        </is>
      </c>
      <c r="D108" t="inlineStr">
        <is>
          <t>Electrifying.com</t>
        </is>
      </c>
      <c r="E108" t="inlineStr">
        <is>
          <t>https://www.electrifying.com/long-term-reviews/skoda-reviews/epiq/review</t>
        </is>
      </c>
      <c r="G108" t="inlineStr">
        <is>
          <t>2026-07-08</t>
        </is>
      </c>
      <c r="H108" t="inlineStr">
        <is>
          <t>Forhåndsvurdering basert på ca. 1 times prototypkjøring i Porto (anmelder Vicky Parrott) - ikke ferdig produksjonsbil. Dekker kjørekomfort, styring, materialkvalitet, infotainment og seteplass.</t>
        </is>
      </c>
      <c r="I108" t="inlineStr">
        <is>
          <t>EN</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3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VOLVO_EX30_P5_LONG_RANGE</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VOLVO_EX30_P5_LONG_RANGE</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VOLVO_EX30_P5_LONG_RANGE</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VOLVO_EX30_P5_LONG_RANGE</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VOLVO_EX30_P5_LONG_RANGE</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VOLVO_EX30_P5_LONG_RANGE</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VOLVO_EX30_P5_LONG_RANGE</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VOLVO_EX30_P5_LONG_RANGE</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VOLVO_EX30_P5_LONG_RANGE</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VOLVO_EX30_P5_LONG_RANGE</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VOLVO_EX30_P5_LONG_RANGE</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VOLVO_EX30_P5_LONG_RANGE</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VOLVO_EX30_P5_LONG_RANGE</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VOLVO_EX30_P5_LONG_RANGE</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VOLVO_EX30_P5_LONG_RANGE</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VOLVO_EX30_P5_LONG_RANGE</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VOLVO_EX30_P5_LONG_RANGE</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VOLVO_EX30_P5_LONG_RANGE</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VOLVO_EX30_P5_LONG_RANGE</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VOLVO_EX30_P5_LONG_RANGE</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row r="122">
      <c r="A122" t="inlineStr">
        <is>
          <t>SCORE_000122</t>
        </is>
      </c>
      <c r="B122" t="inlineStr">
        <is>
          <t>SKODA_EPIQ_SELECTION_55_LAUNCH_EDITION</t>
        </is>
      </c>
      <c r="C122" t="inlineStr">
        <is>
          <t>W001</t>
        </is>
      </c>
      <c r="D122" t="inlineStr">
        <is>
          <t>REV_000121</t>
        </is>
      </c>
      <c r="E122" t="inlineStr">
        <is>
          <t>1.9</t>
        </is>
      </c>
      <c r="F122">
        <f>ROUND(INDEX('07_Reviews'!$E:$E,MATCH(D122,'07_Reviews'!$A:$A,0))/5*100,2)</f>
        <v/>
      </c>
      <c r="G122">
        <f>ROUND(F122*INDEX('01_Criteria'!$F:$F,MATCH(C122,'01_Criteria'!$A:$A,0))/100,2)</f>
        <v/>
      </c>
      <c r="H122" t="inlineStr">
        <is>
          <t>Review score 3/5 (normalized RawScore = 60.0/100 on a documented 1-5 scale). Traceable to REV_000121 -&gt; supporting Evidence EV_000152 -&gt; cited Source.</t>
        </is>
      </c>
    </row>
    <row r="123">
      <c r="A123" t="inlineStr">
        <is>
          <t>SCORE_000123</t>
        </is>
      </c>
      <c r="B123" t="inlineStr">
        <is>
          <t>SKODA_EPIQ_SELECTION_55_LAUNCH_EDITION</t>
        </is>
      </c>
      <c r="C123" t="inlineStr">
        <is>
          <t>W002</t>
        </is>
      </c>
      <c r="D123" t="inlineStr">
        <is>
          <t>REV_000122</t>
        </is>
      </c>
      <c r="E123" t="inlineStr">
        <is>
          <t>1.9</t>
        </is>
      </c>
      <c r="F123">
        <f>ROUND(INDEX('07_Reviews'!$E:$E,MATCH(D123,'07_Reviews'!$A:$A,0))/5*100,2)</f>
        <v/>
      </c>
      <c r="G123">
        <f>ROUND(F123*INDEX('01_Criteria'!$F:$F,MATCH(C123,'01_Criteria'!$A:$A,0))/100,2)</f>
        <v/>
      </c>
      <c r="H123" t="inlineStr">
        <is>
          <t>Review score 4/5 (normalized RawScore = 80.0/100 on a documented 1-5 scale). Traceable to REV_000122 -&gt; supporting Evidence EV_000153 -&gt; cited Source.</t>
        </is>
      </c>
    </row>
    <row r="124">
      <c r="A124" t="inlineStr">
        <is>
          <t>SCORE_000124</t>
        </is>
      </c>
      <c r="B124" t="inlineStr">
        <is>
          <t>SKODA_EPIQ_SELECTION_55_LAUNCH_EDITION</t>
        </is>
      </c>
      <c r="C124" t="inlineStr">
        <is>
          <t>W003</t>
        </is>
      </c>
      <c r="D124" t="inlineStr">
        <is>
          <t>REV_000123</t>
        </is>
      </c>
      <c r="E124" t="inlineStr">
        <is>
          <t>1.9</t>
        </is>
      </c>
      <c r="F124">
        <f>ROUND(INDEX('07_Reviews'!$E:$E,MATCH(D124,'07_Reviews'!$A:$A,0))/5*100,2)</f>
        <v/>
      </c>
      <c r="G124">
        <f>ROUND(F124*INDEX('01_Criteria'!$F:$F,MATCH(C124,'01_Criteria'!$A:$A,0))/100,2)</f>
        <v/>
      </c>
      <c r="H124" t="inlineStr">
        <is>
          <t>Review score 4/5 (normalized RawScore = 80.0/100 on a documented 1-5 scale). Traceable to REV_000123 -&gt; supporting Evidence EV_000154 -&gt; cited Source.</t>
        </is>
      </c>
    </row>
    <row r="125">
      <c r="A125" t="inlineStr">
        <is>
          <t>SCORE_000125</t>
        </is>
      </c>
      <c r="B125" t="inlineStr">
        <is>
          <t>SKODA_EPIQ_SELECTION_55_LAUNCH_EDITION</t>
        </is>
      </c>
      <c r="C125" t="inlineStr">
        <is>
          <t>W004</t>
        </is>
      </c>
      <c r="D125" t="inlineStr">
        <is>
          <t>REV_000124</t>
        </is>
      </c>
      <c r="E125" t="inlineStr">
        <is>
          <t>1.9</t>
        </is>
      </c>
      <c r="F125">
        <f>ROUND(INDEX('07_Reviews'!$E:$E,MATCH(D125,'07_Reviews'!$A:$A,0))/5*100,2)</f>
        <v/>
      </c>
      <c r="G125">
        <f>ROUND(F125*INDEX('01_Criteria'!$F:$F,MATCH(C125,'01_Criteria'!$A:$A,0))/100,2)</f>
        <v/>
      </c>
      <c r="H125" t="inlineStr">
        <is>
          <t>Review score 3/5 (normalized RawScore = 60.0/100 on a documented 1-5 scale). Traceable to REV_000124 -&gt; supporting Evidence EV_000155 -&gt; cited Source.</t>
        </is>
      </c>
    </row>
    <row r="126">
      <c r="A126" t="inlineStr">
        <is>
          <t>SCORE_000126</t>
        </is>
      </c>
      <c r="B126" t="inlineStr">
        <is>
          <t>SKODA_EPIQ_SELECTION_55_LAUNCH_EDITION</t>
        </is>
      </c>
      <c r="C126" t="inlineStr">
        <is>
          <t>W005</t>
        </is>
      </c>
      <c r="D126" t="inlineStr">
        <is>
          <t>REV_000125</t>
        </is>
      </c>
      <c r="E126" t="inlineStr">
        <is>
          <t>1.9</t>
        </is>
      </c>
      <c r="F126">
        <f>ROUND(INDEX('07_Reviews'!$E:$E,MATCH(D126,'07_Reviews'!$A:$A,0))/5*100,2)</f>
        <v/>
      </c>
      <c r="G126">
        <f>ROUND(F126*INDEX('01_Criteria'!$F:$F,MATCH(C126,'01_Criteria'!$A:$A,0))/100,2)</f>
        <v/>
      </c>
      <c r="H126" t="inlineStr">
        <is>
          <t>Review score 4/5 (normalized RawScore = 80.0/100 on a documented 1-5 scale). Traceable to REV_000125 -&gt; supporting Evidence EV_000156 -&gt; cited Source.</t>
        </is>
      </c>
    </row>
    <row r="127">
      <c r="A127" t="inlineStr">
        <is>
          <t>SCORE_000127</t>
        </is>
      </c>
      <c r="B127" t="inlineStr">
        <is>
          <t>SKODA_EPIQ_SELECTION_55_LAUNCH_EDITION</t>
        </is>
      </c>
      <c r="C127" t="inlineStr">
        <is>
          <t>W007</t>
        </is>
      </c>
      <c r="D127" t="inlineStr">
        <is>
          <t>REV_000126</t>
        </is>
      </c>
      <c r="E127" t="inlineStr">
        <is>
          <t>1.9</t>
        </is>
      </c>
      <c r="F127">
        <f>ROUND(INDEX('07_Reviews'!$E:$E,MATCH(D127,'07_Reviews'!$A:$A,0))/5*100,2)</f>
        <v/>
      </c>
      <c r="G127">
        <f>ROUND(F127*INDEX('01_Criteria'!$F:$F,MATCH(C127,'01_Criteria'!$A:$A,0))/100,2)</f>
        <v/>
      </c>
      <c r="H127" t="inlineStr">
        <is>
          <t>Review score 4/5 (normalized RawScore = 80.0/100 on a documented 1-5 scale). Traceable to REV_000126 -&gt; supporting Evidence EV_000157 -&gt; cited Source.</t>
        </is>
      </c>
    </row>
    <row r="128">
      <c r="A128" t="inlineStr">
        <is>
          <t>SCORE_000128</t>
        </is>
      </c>
      <c r="B128" t="inlineStr">
        <is>
          <t>SKODA_EPIQ_SELECTION_55_LAUNCH_EDITION</t>
        </is>
      </c>
      <c r="C128" t="inlineStr">
        <is>
          <t>W009</t>
        </is>
      </c>
      <c r="D128" t="inlineStr">
        <is>
          <t>REV_000127</t>
        </is>
      </c>
      <c r="E128" t="inlineStr">
        <is>
          <t>1.9</t>
        </is>
      </c>
      <c r="F128">
        <f>ROUND(INDEX('07_Reviews'!$E:$E,MATCH(D128,'07_Reviews'!$A:$A,0))/5*100,2)</f>
        <v/>
      </c>
      <c r="G128">
        <f>ROUND(F128*INDEX('01_Criteria'!$F:$F,MATCH(C128,'01_Criteria'!$A:$A,0))/100,2)</f>
        <v/>
      </c>
      <c r="H128" t="inlineStr">
        <is>
          <t>Review score 3/5 (normalized RawScore = 60.0/100 on a documented 1-5 scale). Traceable to REV_000127 -&gt; supporting Evidence EV_000158 -&gt; cited Source.</t>
        </is>
      </c>
    </row>
    <row r="129">
      <c r="A129" t="inlineStr">
        <is>
          <t>SCORE_000129</t>
        </is>
      </c>
      <c r="B129" t="inlineStr">
        <is>
          <t>SKODA_EPIQ_SELECTION_55_LAUNCH_EDITION</t>
        </is>
      </c>
      <c r="C129" t="inlineStr">
        <is>
          <t>W010</t>
        </is>
      </c>
      <c r="D129" t="inlineStr">
        <is>
          <t>REV_000128</t>
        </is>
      </c>
      <c r="E129" t="inlineStr">
        <is>
          <t>1.9</t>
        </is>
      </c>
      <c r="F129">
        <f>ROUND(INDEX('07_Reviews'!$E:$E,MATCH(D129,'07_Reviews'!$A:$A,0))/5*100,2)</f>
        <v/>
      </c>
      <c r="G129">
        <f>ROUND(F129*INDEX('01_Criteria'!$F:$F,MATCH(C129,'01_Criteria'!$A:$A,0))/100,2)</f>
        <v/>
      </c>
      <c r="H129" t="inlineStr">
        <is>
          <t>Review score 3/5 (normalized RawScore = 60.0/100 on a documented 1-5 scale). Traceable to REV_000128 -&gt; supporting Evidence EV_000159 -&gt; cited Source.</t>
        </is>
      </c>
    </row>
    <row r="130">
      <c r="A130" t="inlineStr">
        <is>
          <t>SCORE_000130</t>
        </is>
      </c>
      <c r="B130" t="inlineStr">
        <is>
          <t>SKODA_EPIQ_SELECTION_55_LAUNCH_EDITION</t>
        </is>
      </c>
      <c r="C130" t="inlineStr">
        <is>
          <t>W012</t>
        </is>
      </c>
      <c r="D130" t="inlineStr">
        <is>
          <t>REV_000129</t>
        </is>
      </c>
      <c r="E130" t="inlineStr">
        <is>
          <t>1.9</t>
        </is>
      </c>
      <c r="F130">
        <f>ROUND(INDEX('07_Reviews'!$E:$E,MATCH(D130,'07_Reviews'!$A:$A,0))/5*100,2)</f>
        <v/>
      </c>
      <c r="G130">
        <f>ROUND(F130*INDEX('01_Criteria'!$F:$F,MATCH(C130,'01_Criteria'!$A:$A,0))/100,2)</f>
        <v/>
      </c>
      <c r="H130" t="inlineStr">
        <is>
          <t>Review score 3/5 (normalized RawScore = 60.0/100 on a documented 1-5 scale). Traceable to REV_000129 -&gt; supporting Evidence EV_000160 -&gt; cited Source.</t>
        </is>
      </c>
    </row>
    <row r="131">
      <c r="A131" t="inlineStr">
        <is>
          <t>SCORE_000131</t>
        </is>
      </c>
      <c r="B131" t="inlineStr">
        <is>
          <t>SKODA_EPIQ_SELECTION_55_LAUNCH_EDITION</t>
        </is>
      </c>
      <c r="C131" t="inlineStr">
        <is>
          <t>W013</t>
        </is>
      </c>
      <c r="D131" t="inlineStr">
        <is>
          <t>REV_000130</t>
        </is>
      </c>
      <c r="E131" t="inlineStr">
        <is>
          <t>1.9</t>
        </is>
      </c>
      <c r="F131">
        <f>ROUND(INDEX('07_Reviews'!$E:$E,MATCH(D131,'07_Reviews'!$A:$A,0))/5*100,2)</f>
        <v/>
      </c>
      <c r="G131">
        <f>ROUND(F131*INDEX('01_Criteria'!$F:$F,MATCH(C131,'01_Criteria'!$A:$A,0))/100,2)</f>
        <v/>
      </c>
      <c r="H131" t="inlineStr">
        <is>
          <t>Review score 4/5 (normalized RawScore = 80.0/100 on a documented 1-5 scale). Traceable to REV_000130 -&gt; supporting Evidence EV_000161 -&gt; cited Source.</t>
        </is>
      </c>
    </row>
    <row r="132">
      <c r="A132" t="inlineStr">
        <is>
          <t>SCORE_000132</t>
        </is>
      </c>
      <c r="B132" t="inlineStr">
        <is>
          <t>SKODA_EPIQ_SELECTION_55_LAUNCH_EDITION</t>
        </is>
      </c>
      <c r="C132" t="inlineStr">
        <is>
          <t>W014</t>
        </is>
      </c>
      <c r="D132" t="inlineStr">
        <is>
          <t>REV_000131</t>
        </is>
      </c>
      <c r="E132" t="inlineStr">
        <is>
          <t>1.9</t>
        </is>
      </c>
      <c r="F132">
        <f>ROUND(INDEX('07_Reviews'!$E:$E,MATCH(D132,'07_Reviews'!$A:$A,0))/5*100,2)</f>
        <v/>
      </c>
      <c r="G132">
        <f>ROUND(F132*INDEX('01_Criteria'!$F:$F,MATCH(C132,'01_Criteria'!$A:$A,0))/100,2)</f>
        <v/>
      </c>
      <c r="H132" t="inlineStr">
        <is>
          <t>Review score 3/5 (normalized RawScore = 60.0/100 on a documented 1-5 scale). Traceable to REV_000131 -&gt; supporting Evidence EV_000162 -&gt; cited Source.</t>
        </is>
      </c>
    </row>
    <row r="133">
      <c r="A133" t="inlineStr">
        <is>
          <t>SCORE_000133</t>
        </is>
      </c>
      <c r="B133" t="inlineStr">
        <is>
          <t>SKODA_EPIQ_SELECTION_55_LAUNCH_EDITION</t>
        </is>
      </c>
      <c r="C133" t="inlineStr">
        <is>
          <t>W015</t>
        </is>
      </c>
      <c r="D133" t="inlineStr">
        <is>
          <t>REV_000132</t>
        </is>
      </c>
      <c r="E133" t="inlineStr">
        <is>
          <t>1.9</t>
        </is>
      </c>
      <c r="F133">
        <f>ROUND(INDEX('07_Reviews'!$E:$E,MATCH(D133,'07_Reviews'!$A:$A,0))/5*100,2)</f>
        <v/>
      </c>
      <c r="G133">
        <f>ROUND(F133*INDEX('01_Criteria'!$F:$F,MATCH(C133,'01_Criteria'!$A:$A,0))/100,2)</f>
        <v/>
      </c>
      <c r="H133" t="inlineStr">
        <is>
          <t>Review score 4/5 (normalized RawScore = 80.0/100 on a documented 1-5 scale). Traceable to REV_000132 -&gt; supporting Evidence EV_000163 -&gt; cited Source.</t>
        </is>
      </c>
    </row>
    <row r="134">
      <c r="A134" t="inlineStr">
        <is>
          <t>SCORE_000134</t>
        </is>
      </c>
      <c r="B134" t="inlineStr">
        <is>
          <t>SKODA_EPIQ_SELECTION_55_LAUNCH_EDITION</t>
        </is>
      </c>
      <c r="C134" t="inlineStr">
        <is>
          <t>W016</t>
        </is>
      </c>
      <c r="D134" t="inlineStr">
        <is>
          <t>REV_000133</t>
        </is>
      </c>
      <c r="E134" t="inlineStr">
        <is>
          <t>1.9</t>
        </is>
      </c>
      <c r="F134">
        <f>ROUND(INDEX('07_Reviews'!$E:$E,MATCH(D134,'07_Reviews'!$A:$A,0))/5*100,2)</f>
        <v/>
      </c>
      <c r="G134">
        <f>ROUND(F134*INDEX('01_Criteria'!$F:$F,MATCH(C134,'01_Criteria'!$A:$A,0))/100,2)</f>
        <v/>
      </c>
      <c r="H134" t="inlineStr">
        <is>
          <t>Review score 3/5 (normalized RawScore = 60.0/100 on a documented 1-5 scale). Traceable to REV_000133 -&gt; supporting Evidence EV_000164 -&gt; cited Source.</t>
        </is>
      </c>
    </row>
    <row r="135">
      <c r="A135" t="inlineStr">
        <is>
          <t>SCORE_000135</t>
        </is>
      </c>
      <c r="B135" t="inlineStr">
        <is>
          <t>SKODA_EPIQ_SELECTION_55_LAUNCH_EDITION</t>
        </is>
      </c>
      <c r="C135" t="inlineStr">
        <is>
          <t>W017</t>
        </is>
      </c>
      <c r="D135" t="inlineStr">
        <is>
          <t>REV_000134</t>
        </is>
      </c>
      <c r="E135" t="inlineStr">
        <is>
          <t>1.9</t>
        </is>
      </c>
      <c r="F135">
        <f>ROUND(INDEX('07_Reviews'!$E:$E,MATCH(D135,'07_Reviews'!$A:$A,0))/5*100,2)</f>
        <v/>
      </c>
      <c r="G135">
        <f>ROUND(F135*INDEX('01_Criteria'!$F:$F,MATCH(C135,'01_Criteria'!$A:$A,0))/100,2)</f>
        <v/>
      </c>
      <c r="H135" t="inlineStr">
        <is>
          <t>Review score 3/5 (normalized RawScore = 60.0/100 on a documented 1-5 scale). Traceable to REV_000134 -&gt; supporting Evidence EV_000165 -&gt; cited Source.</t>
        </is>
      </c>
    </row>
    <row r="136">
      <c r="A136" t="inlineStr">
        <is>
          <t>SCORE_000136</t>
        </is>
      </c>
      <c r="B136" t="inlineStr">
        <is>
          <t>SKODA_EPIQ_SELECTION_55_LAUNCH_EDITION</t>
        </is>
      </c>
      <c r="C136" t="inlineStr">
        <is>
          <t>W018</t>
        </is>
      </c>
      <c r="D136" t="inlineStr">
        <is>
          <t>REV_000135</t>
        </is>
      </c>
      <c r="E136" t="inlineStr">
        <is>
          <t>1.9</t>
        </is>
      </c>
      <c r="F136">
        <f>ROUND(INDEX('07_Reviews'!$E:$E,MATCH(D136,'07_Reviews'!$A:$A,0))/5*100,2)</f>
        <v/>
      </c>
      <c r="G136">
        <f>ROUND(F136*INDEX('01_Criteria'!$F:$F,MATCH(C136,'01_Criteria'!$A:$A,0))/100,2)</f>
        <v/>
      </c>
      <c r="H136" t="inlineStr">
        <is>
          <t>Review score 4/5 (normalized RawScore = 80.0/100 on a documented 1-5 scale). Traceable to REV_000135 -&gt; supporting Evidence EV_000166 -&gt; cited Source.</t>
        </is>
      </c>
    </row>
    <row r="137">
      <c r="A137" t="inlineStr">
        <is>
          <t>SCORE_000137</t>
        </is>
      </c>
      <c r="B137" t="inlineStr">
        <is>
          <t>SKODA_EPIQ_SELECTION_55_LAUNCH_EDITION</t>
        </is>
      </c>
      <c r="C137" t="inlineStr">
        <is>
          <t>W019</t>
        </is>
      </c>
      <c r="D137" t="inlineStr">
        <is>
          <t>REV_000136</t>
        </is>
      </c>
      <c r="E137" t="inlineStr">
        <is>
          <t>1.9</t>
        </is>
      </c>
      <c r="F137">
        <f>ROUND(INDEX('07_Reviews'!$E:$E,MATCH(D137,'07_Reviews'!$A:$A,0))/5*100,2)</f>
        <v/>
      </c>
      <c r="G137">
        <f>ROUND(F137*INDEX('01_Criteria'!$F:$F,MATCH(C137,'01_Criteria'!$A:$A,0))/100,2)</f>
        <v/>
      </c>
      <c r="H137" t="inlineStr">
        <is>
          <t>Review score 4/5 (normalized RawScore = 80.0/100 on a documented 1-5 scale). Traceable to REV_000136 -&gt; supporting Evidence EV_000167 -&gt; cited Source.</t>
        </is>
      </c>
    </row>
    <row r="138">
      <c r="A138" t="inlineStr">
        <is>
          <t>SCORE_000138</t>
        </is>
      </c>
      <c r="B138" t="inlineStr">
        <is>
          <t>SKODA_EPIQ_SELECTION_55_LAUNCH_EDITION</t>
        </is>
      </c>
      <c r="C138" t="inlineStr">
        <is>
          <t>W020</t>
        </is>
      </c>
      <c r="D138" t="inlineStr">
        <is>
          <t>REV_000137</t>
        </is>
      </c>
      <c r="E138" t="inlineStr">
        <is>
          <t>1.9</t>
        </is>
      </c>
      <c r="F138">
        <f>ROUND(INDEX('07_Reviews'!$E:$E,MATCH(D138,'07_Reviews'!$A:$A,0))/5*100,2)</f>
        <v/>
      </c>
      <c r="G138">
        <f>ROUND(F138*INDEX('01_Criteria'!$F:$F,MATCH(C138,'01_Criteria'!$A:$A,0))/100,2)</f>
        <v/>
      </c>
      <c r="H138" t="inlineStr">
        <is>
          <t>Review score 3/5 (normalized RawScore = 60.0/100 on a documented 1-5 scale). Traceable to REV_000137 -&gt; supporting Evidence EV_000168 -&gt;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35"/>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row r="28">
      <c r="A28" t="inlineStr">
        <is>
          <t>DEC_DASHBOARD_001</t>
        </is>
      </c>
      <c r="B28" t="inlineStr">
        <is>
          <t>2026-07-07</t>
        </is>
      </c>
      <c r="C28" t="inlineStr">
        <is>
          <t>1.8</t>
        </is>
      </c>
      <c r="D28" t="inlineStr">
        <is>
          <t>Added 15_Dashboard worksheet - Decision Summary, Category Breakdown, and Coverage Grid</t>
        </is>
      </c>
      <c r="E28" t="inlineStr">
        <is>
          <t>Comparing the 6 scored cars required opening 3-4 sheets and cross-referencing IDs by hand; 12_OverallScores is a data table, not a presentation layer. Converged two reviewed dashboard proposals into one v1 scope: a ranked Decision Summary (with Hard Requirement status correctly distinguishing PASS/UNKNOWN/FAIL-overridden/FAIL-excluded, not a bare PASS/FAIL), a Category Breakdown chart, and a Coverage Grid heatmap - the latter surfaces gaps like M003 winter-range being Unknown for 5 of 6 flagships in one glance, instead of only being visible by remembering it across separate sessions.</t>
        </is>
      </c>
      <c r="F28" t="inlineStr">
        <is>
          <t>Claude</t>
        </is>
      </c>
      <c r="G28" t="inlineStr">
        <is>
          <t>Scoped to the 6 already-scored flagship Configurations only. Every cell is a formula reading from 10_Scoring/12_OverallScores/01_Criteria/03_Configurations/14_HardRequirementResults - no new information introduced, nothing recomputed that 12_OverallScores already computes. Confirmed via scripts/onboarding_helpers.py coverage that the Coverage Grid formulas correctly union VehicleID- and ConfigurationID-level records (BYD has 14 Technical facts at Vehicle level, zero at Configuration level - a naive Configuration-only COUNTIF would have shown zero). Charts/heatmap colors could not be visually verified in this environment (no LibreOffice/GUI) - confirm visually in Excel. Not tied to a full ADR - presentational/tooling only, no methodology or weight change.</t>
        </is>
      </c>
      <c r="H28" t="inlineStr">
        <is>
          <t>NONE</t>
        </is>
      </c>
    </row>
    <row r="29">
      <c r="A29" t="inlineStr">
        <is>
          <t>DEC_DASHBOARD_002</t>
        </is>
      </c>
      <c r="B29" t="inlineStr">
        <is>
          <t>2026-07-07</t>
        </is>
      </c>
      <c r="C29" t="inlineStr">
        <is>
          <t>1.8</t>
        </is>
      </c>
      <c r="D29" t="inlineStr">
        <is>
          <t>Fixed 01_Criteria.Weight stored as text, causing 12_OverallScores.CoveragePercent #DIV/0!</t>
        </is>
      </c>
      <c r="E29" t="inlineStr">
        <is>
          <t>Opening the workbook in real Excel (apparently for the first time since these formulas were written under ADR-005) surfaced a pre-existing data-type bug: all 29 01_Criteria.Weight cells were stored as text strings (e.g. the text "8", not the number 8). SUMIFS/SUM ignore text values in a sum range even when they look numeric - only arithmetic operators like * and / auto-coerce text - so 12_OverallScores.CoveragePercent's denominator (a SUMIFS summing Weight directly) evaluated to 0, producing #DIV/0! for every Configuration. 12_OverallScores.OverallScore was unaffected, since it sums 10_Scoring.WeightedScore, a formula column whose own multiplication against Weight already auto-coerced the text correctly. This predates this session entirely - 01_Criteria was never touched while building the Dashboard - and was only caught now because no earlier session had ever actually opened this file in a real calculation engine; the Python dry-run script (scripts/onboarding_helpers.py) reimplements the same arithmetic independently in Python, which coerces the text values fine and so never exercised the live Excel SUMIFS behaviour that exposed this bug.</t>
        </is>
      </c>
      <c r="F29" t="inlineStr">
        <is>
          <t>Claude</t>
        </is>
      </c>
      <c r="G29" t="inlineStr">
        <is>
          <t>Converted all 29 01_Criteria.F (Weight) cells from text to numeric, same displayed values, no Weight actually changed. Re-verified via scripts/onboarding_helpers.py coverage that OverallScore rankings are unaffected (already independent of this bug). No FrameworkVersion change - the weights themselves are identical, only their Excel data type was corrected.</t>
        </is>
      </c>
      <c r="H29" t="inlineStr">
        <is>
          <t>NONE</t>
        </is>
      </c>
    </row>
    <row r="30">
      <c r="A30" t="inlineStr">
        <is>
          <t>DEC_DASHBOARD_003</t>
        </is>
      </c>
      <c r="B30" t="inlineStr">
        <is>
          <t>2026-07-07</t>
        </is>
      </c>
      <c r="C30" t="inlineStr">
        <is>
          <t>1.8</t>
        </is>
      </c>
      <c r="D30" t="inlineStr">
        <is>
          <t>Fixed 15_Dashboard Category Breakdown circular reference (column H collision)</t>
        </is>
      </c>
      <c r="E30" t="inlineStr">
        <is>
          <t>The 8 weighted Categories occupy columns B-I in the Category Breakdown block, but the ConfigurationID helper-anchor column was also hardcoded to column H (following the same pattern used safely in Decision Summary and Coverage Grid, which only use 6 visible columns each and never reach H). Column H is the 7th category (Garasje), so the category-formula loop overwrote the literal ConfigurationID anchor with a formula that reads {row} as its own ConfigurationID key - a genuine self-reference. This broke every cell in the block (all keyed off the now-circular H) and surfaced as Numbers refusing to calculate H29 and Excel Online reporting the workbook as unreadable.</t>
        </is>
      </c>
      <c r="F30" t="inlineStr">
        <is>
          <t>Claude</t>
        </is>
      </c>
      <c r="G30" t="inlineStr">
        <is>
          <t>Moved the ConfigurationID anchor to column J (clear of all 8 category columns), restored the Garasje header at H28, and rewrote all 20 buffered data rows (29-48) to key off  instead of . Re-verified independently in Python: BYD Teknologi=14.2 and Garasje=1.8 both match this sessions own recorded per-criterion scores exactly. Chart and conditional formatting untouched (both were already correctly scoped to columns B-I / B53:F72, unaffected by the anchor column).</t>
        </is>
      </c>
      <c r="H30" t="inlineStr">
        <is>
          <t>NONE</t>
        </is>
      </c>
    </row>
    <row r="31">
      <c r="A31" t="inlineStr">
        <is>
          <t>DEC_DASHBOARD_004</t>
        </is>
      </c>
      <c r="B31" t="inlineStr">
        <is>
          <t>2026-07-07</t>
        </is>
      </c>
      <c r="C31" t="inlineStr">
        <is>
          <t>1.8</t>
        </is>
      </c>
      <c r="D31" t="inlineStr">
        <is>
          <t>Switched Volvo EX30 flagship Configuration from P8 AWD to P5 Long Range</t>
        </is>
      </c>
      <c r="E31" t="inlineStr">
        <is>
          <t>User request: P8 AWD (AWD, dual-motor, Twin Performance, 468 900 kr) is a performance halo trim that does not match the mid-tier positioning chosen as flagship for the other five vehicles; P5 Long Range (RWD, single-motor, 437 900 kr) is a closer trim-level match. P8 AWD was originally chosen specifically because Motor.no tested that exact configuration directly, not for cross-vehicle parity - a known, previously-flagged asymmetry (DEC_DATA_004).</t>
        </is>
      </c>
      <c r="F31" t="inlineStr">
        <is>
          <t>Claude</t>
        </is>
      </c>
      <c r="G31" t="inlineStr">
        <is>
          <t>All 20 Reviews/Scores and the OverallScores row moved from VOLVO_EX30_P8_AWD to VOLVO_EX30_P5_LONG_RANGE (same ReviewID/ScoreID/OverallScoreID, ConfigurationID updated in place). 15 of 20 Reviews needed no other change (evidence was already Vehicle-level or drivetrain-independent - length, warranty, OTA, interior, infotainment, CarPlay, boot volume per Volvos own official page). Two Reviews had genuinely wrong facts for the new Configuration and were corrected: W020 (charging/range - P5 Long Range is actually 475km/17kWh/100km vs P8s 450km/17.5, same 175kW DC) and W017 (price/value - 437 900kr not 468 900kr, and the ex-AWD-premium framing no longer applies since P5 Long Range is RWD; score left at 2/5 since it remains the priciest of six with no offsetting advantage). Three Reviews got an explicit caveat and a confidence downgrade because their evidence was tied to the P8 AWD/Twin Performance drivetrain specifically: W008 (ACC quality, HIGH-&gt;MEDIUM), W009 (360-camera equipment tier, HIGH-&gt;LOW), W016 (Nordic maturity - the only winter-range data point was measured on the AWD powertrain, MEDIUM-&gt;LOW, consistent with 14_HardRequirementResults already showing M003 as Unknown for this exact Configuration rather than inheriting P8s PASS). P8 AWD remains in 03_Configurations as a real, priced sibling trim, not deleted. 15_Dashboard and scripts/onboarding_helpers.py FLAGSHIP_CONFIGURATION_IDS updated to reference the new flagship.</t>
        </is>
      </c>
      <c r="H31" t="inlineStr">
        <is>
          <t>NONE</t>
        </is>
      </c>
    </row>
    <row r="32">
      <c r="A32" t="inlineStr">
        <is>
          <t>DEC_DASHBOARD_005</t>
        </is>
      </c>
      <c r="B32" t="inlineStr">
        <is>
          <t>2026-07-07</t>
        </is>
      </c>
      <c r="C32" t="inlineStr">
        <is>
          <t>1.8</t>
        </is>
      </c>
      <c r="D32" t="inlineStr">
        <is>
          <t>Corrected Kia EV2 GT Line BasePrice/ConfiguredPrice from 346417/423340 to 389900</t>
        </is>
      </c>
      <c r="E32" t="inlineStr">
        <is>
          <t>User flagged that 346417 kr did not match their actual offer and asked to verify directly against the live official Kia nettbutikk configurator. Direct verification (user opened https://nettbutikk.kia.no/ev2/oppsummering, same configuration, same SourceID SRC_KIA_NETTBUTIKK_EV2 already cited in this row for technical facts) confirmed the page displays "Totalpris 389 900 kr inkl. mva" for GT Line with no optional extras - not 346417. The original 346417 figure came from summing two component prices in a separate dealer quote document (251655+94762) that was never reconciled against the total already shown on the official configurator page cited in the very same row for other facts - an internal-arithmetic error, not a genuine price change over time.</t>
        </is>
      </c>
      <c r="F32" t="inlineStr">
        <is>
          <t>Claude</t>
        </is>
      </c>
      <c r="G32" t="inlineStr">
        <is>
          <t>BasePrice and ConfiguredPrice both set to 389900 (matching every other vehicle in this workbook, where ConfiguredPrice = BasePrice when no buyer-specific options are being compared). The original dealer quote (423340 kr total, including 4-seat conversion, winter wheels, delivery and registration tax) is preserved in 03_Configurations.Notes as real historical context, not deleted - it simply no longer determines the comparison price. 08_Evidence EV_000052 and 07_Reviews REV_000040 (W017) corrected to match: REV_000040s claim that Kia was "cheapest of the five" is no longer true at 389900 kr (Renault 364900 and Skoda 374900 remain cheaper; Kia is essentially tied with BYD at 389920) - reworded honestly rather than left standing. Score left unchanged at 4/5: comprehensive standard equipment still justifies a strong-value score at a middle price point, just not the previously-claimed "cheapest AND best equipped" combination.</t>
        </is>
      </c>
      <c r="H32" t="inlineStr">
        <is>
          <t>NONE</t>
        </is>
      </c>
    </row>
    <row r="33">
      <c r="A33" t="inlineStr">
        <is>
          <t>DEC_ADR_014</t>
        </is>
      </c>
      <c r="B33" t="inlineStr">
        <is>
          <t>2026-07-08</t>
        </is>
      </c>
      <c r="C33" t="inlineStr">
        <is>
          <t>1.9</t>
        </is>
      </c>
      <c r="D33" t="inlineStr">
        <is>
          <t>Introduced a WLTP-based estimation method for M003 (winter motorway range) when no independent winter test exists, and resolved it for all six flagship Configurations (ADR-014)</t>
        </is>
      </c>
      <c r="E33" t="inlineStr">
        <is>
          <t>M003 had been UNKNOWN for all six flagships since DEC_M003_VERIFY - only two real winter test data points exist workbook-wide (Volvo P8 AWD, mismatched-trim Renault). User confirmed the underlying need tolerates one charging stop (not a strict zero-stop 300km requirement) but chose to fix the immediate data gap with a conservative WLTP x 0.70 estimate (below both real observed ratios of 72-75%) rather than wait indefinitely for real winter test data on 2026-model-year cars.</t>
        </is>
      </c>
      <c r="F33" t="inlineStr">
        <is>
          <t>Claude</t>
        </is>
      </c>
      <c r="G33" t="inlineStr">
        <is>
          <t>6 HardRequirementResults rows updated in place (IDs unchanged): Tesla/Skoda/Volvo/Kia now PASS at LOW confidence; Renault and BYD now FAIL at LOW confidence. Per user's explicit direction, Renault and BYD are kept scored via HardRequirementOverride=TRUE, same treatment as Tesla's existing M002 FAIL override - not excluded from the comparison. 6 new 04_Technical TF_WINTER_HIGHWAY_RANGE_ESTIMATE rows added (TECH_000160-000165), Qualifier-disambiguated from the 2 existing real-test-based rows (Volvo P8 AWD, Renault Techno) which were left untouched. 15_Dashboard Decision Summary gained a Hard Requirement Reason column. Whether M003's own binary PASS/FAIL shape should be redefined to reflect a real 1-stop tolerance instead of a flat 300km/no-stop gate is a separate, larger question - deliberately out of scope here, see ADR-014 Alternatives Considered.</t>
        </is>
      </c>
      <c r="H33" t="inlineStr">
        <is>
          <t>METHODOLOGY</t>
        </is>
      </c>
    </row>
    <row r="34">
      <c r="A34" t="inlineStr">
        <is>
          <t>DEC_DATA_011</t>
        </is>
      </c>
      <c r="B34" t="inlineStr">
        <is>
          <t>2026-07-08</t>
        </is>
      </c>
      <c r="C34" t="inlineStr">
        <is>
          <t>1.9</t>
        </is>
      </c>
      <c r="D34" t="inlineStr">
        <is>
          <t>Researched Volvo EX30 P5 Long Range: resolved M004/M005 from Unknown/borrowed, populated Equipment, added Boot Volume/Ground Clearance/AC Charging Technical facts, upgraded W009 Review confidence</t>
        </is>
      </c>
      <c r="E34" t="inlineStr">
        <is>
          <t>Volvo P5 Long Range had the thinnest data footprint of the six flagships: M005 (rearview camera) was UNKNOWN, M004 (ACC) was PASS but LOW-confidence borrowed from the P8 AWD sibling configuration, 05_Equipment had only 1 row (CarPlay), and REV_000057 (W009) carried an explicit open question - which equipment tier (Plus/Ultra) P5 Long Range is actually sold at was never independently confirmed, only assumed identical to P8 AWD.</t>
        </is>
      </c>
      <c r="F34" t="inlineStr">
        <is>
          <t>Claude</t>
        </is>
      </c>
      <c r="G34" t="inlineStr">
        <is>
          <t>Official volvocars.com pages returned HTTP 403 for direct fetch throughout this research (manufacturer site blocks automated fetching) - all facts sourced from accessible secondary sources instead (Frydenbo, a Volvo Norway dealer; NAF; Automoli; Zecar), each fetched and read directly per the ADR-013 sourcing rule (a search summary alone was never used to confirm content). Key finding: Frydenbo's own EX30 campaign pricing page confirms Single Motor Extended Range (476km, matching this Configuration's own WLTP figure) is sold as Plus trim in the Norwegian market - resolving REV_000057's previously open question. HRR_000071 (M004) and HRR_000088 (M005) both now PASS at MEDIUM confidence (was LOW/UNKNOWN). 4 new 05_Equipment rows (EQ_000069-072). 3 new 04_Technical rows (TECH_000166-168): Boot Volume 318L (MEDIUM, NAF), Ground Clearance 165mm (LOW, single-source Automoli, not independently cross-checked), AC charging 11kW (MEDIUM, Zecar). REV_000057 confidence upgraded LOW-&gt;MEDIUM, EvidenceID extended to include the new trim-confirming EV_000150. Score (2/5, no 360 camera) unchanged - the underlying conclusion was already correct, only the confidence behind it improves. Separately noted but NOT resolved: Frydenbo's campaign page states 468,900 kr (regular) for this exact Plus/Single-Motor-Extended-Range combination, which does not match this Configuration's recorded 437,900 kr price (see 03_Configurations) - a real discrepancy worth checking, out of scope for this research pass, flagged for the user rather than silently corrected (same precedent as the Kia price fix). RESOLVED 2026-07-08: user confirmed 437 900 kr is the correct base price for this Plus-trim configuration - the 468 900 kr figure on Frydenbo campaign page very likely includes a bundled winter-tire package (mandatory in Norway, commonly bundled by dealers), not a genuine price discrepancy like the earlier Kia case. No price change made.</t>
        </is>
      </c>
      <c r="H34" t="inlineStr">
        <is>
          <t>NONE</t>
        </is>
      </c>
    </row>
    <row r="35">
      <c r="A35" t="inlineStr">
        <is>
          <t>DEC_DATA_012</t>
        </is>
      </c>
      <c r="B35" t="inlineStr">
        <is>
          <t>2026-07-08</t>
        </is>
      </c>
      <c r="C35" t="inlineStr">
        <is>
          <t>1.9</t>
        </is>
      </c>
      <c r="D35" t="inlineStr">
        <is>
          <t>Added seventh Vehicle (Skoda Epiq) - Selection 55 Launch Edition scored end-to-end, Essence 55 Launch Edition as sibling</t>
        </is>
      </c>
      <c r="E35" t="inlineStr">
        <is>
          <t>User requested a car to challenge Skoda Elroq (2nd place) and chose Epiq, a brand-new pre-release Skoda model launching Q4 2026 in Norway, explicitly anticipating fewer real-world tests than the other six vehicles (same caveat as Kia EV2 at onboarding time).</t>
        </is>
      </c>
      <c r="F35" t="inlineStr">
        <is>
          <t>Claude</t>
        </is>
      </c>
      <c r="G35" t="inlineStr">
        <is>
          <t>Confirmed naming directly with a Norwegian dealer (Sulland): "Epiq Selection 55 Launch Edition" (359 900 kr) is a real, currently-orderable Norwegian SKU, distinct from the separate, more expensive "First Edition" special edition found during research - avoided conflating the two. Skoda has no skoda.no manufacturer site; sourced instead from Sulland and Autoria.no (Norwegian dealers/resellers), auto-data.net, ArenaEV, Skoda's international press kit, and two prototype-drive previews (What Car?, Electrifying.com) - both explicitly not full production-car road tests. All 5 Hard Requirements resolved for both Configurations (M001/M002/M004/M005 PASS for Selection at MEDIUM-HIGH confidence; M004/M005 left UNKNOWN for Essence since no direct Norwegian source confirms its equipment beyond interior/wheel packages). M003 (winter range) resolved via the ADR-014 WLTP x 0.70 estimate for both configs (Selection: 304.5km, a 4.5km margin - very tight; Essence: 308km). Scored 17 of 20 weighted Criteria for the flagship (Selection) - W006 (OTA/future-proofing), W008 (real-world ADAS quality beyond confirmed presence), and W011 (long-term build quality/rattles) deliberately left unscored, no genuine evidence existed for any of the three from a ~1-hour prototype preview drive. Resulting CoveragePercent is 86% (vs 100% for all six existing flagships) - the lowest in the comparison, honestly reflecting the pre-release data gap rather than forcing full coverage. OverallScore: 59.2 - 7th of 7, below every existing vehicle including Elroq, not the stronger competitor the user was hoping to add. W014/W016 (manufacturer risk / Nordic maturity) scored more conservatively than Elroq's equivalent criteria specifically because Epiq sits on MEB+, a brand-new platform shared only with the also-unreleased VW ID.2 - unlike Elroq's mature, multi-year MEB inheritance. W015 (warranty) reused Skoda/Moller's existing brand-wide warranty policy already documented for Elroq, at the same HIGH confidence. 15_Dashboard (Decision Summary row 12, Category Breakdown row 35 + chart series, Coverage Grid row 59) and scripts/onboarding_helpers.py FLAGSHIP_CONFIGURATION_IDS updated to include the new flagship.</t>
        </is>
      </c>
      <c r="H35"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VOLVO_EX30_P5_LONG_RANGE</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row r="8">
      <c r="A8" t="inlineStr">
        <is>
          <t>OVSC_000007</t>
        </is>
      </c>
      <c r="B8" t="inlineStr">
        <is>
          <t>SKODA_EPIQ_SELECTION_55_LAUNCH_EDITION</t>
        </is>
      </c>
      <c r="C8" t="inlineStr">
        <is>
          <t>1.9</t>
        </is>
      </c>
      <c r="D8">
        <f>SUMIFS('10_Scoring'!$G$2:$G$1000,'10_Scoring'!$B$2:$B$1000,B8,'10_Scoring'!$E$2:$E$1000,C8)</f>
        <v/>
      </c>
      <c r="E8">
        <f>ROUND(SUMPRODUCT(('10_Scoring'!$B$2:$B$1000=B8)*('10_Scoring'!$E$2:$E$1000=C8)*IFERROR(INDEX('01_Criteria'!$F$2:$F$1000,MATCH('10_Scoring'!$C$2:$C$1000,'01_Criteria'!$A$2:$A$1000,0)),0))/SUMIFS('01_Criteria'!$F$2:$F$1000,'01_Criteria'!$E$2:$E$1000,"WEIGHTED",'01_Criteria'!$H$2:$H$1000,"TRUE")*100,2)</f>
        <v/>
      </c>
      <c r="F8">
        <f>COUNTIFS('10_Scoring'!$B$2:$B$1000,B8,'10_Scoring'!$E$2:$E$1000,C8)</f>
        <v/>
      </c>
      <c r="G8">
        <f>COUNTIFS('01_Criteria'!$E$2:$E$1000,"WEIGHTED",'01_Criteria'!$H$2:$H$1000,"TRUE")</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1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PASS</t>
        </is>
      </c>
      <c r="E38" t="inlineStr">
        <is>
          <t>LOW</t>
        </is>
      </c>
      <c r="F38" t="inlineStr">
        <is>
          <t>Estimert vintervegkjørelengde = 70% av WLTP (ADR-014): 691 km (19-tommers hjul, konservativt valgt fremfor 750 km/18-tommers) x 0.70 = 483.7 km, god margin over ~300 km-kravet. Faktiske vintertester funnet tidligere ble forkastet som upålitelige (utdatert generasjon; NAF-tall matcher ingen registrert konfigurasjon) - forblir en LOW-konfidens estimering, ikke en måling.</t>
        </is>
      </c>
      <c r="H38" t="inlineStr">
        <is>
          <t>1.9</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FAIL</t>
        </is>
      </c>
      <c r="E44" t="inlineStr">
        <is>
          <t>LOW</t>
        </is>
      </c>
      <c r="F44" t="inlineStr">
        <is>
          <t>Estimert vintervegkjørelengde = 70% av WLTP (ADR-014): 398 km x 0.70 = 278.6 km, under ~300 km-kravet med 21.4 km. Bekreftes av det eksisterende reelle datapunktet (elbil.no, Iconic-trim, 287 km) - begge tall peker under 300 km selv om testen ikke matcher trim/forhold nøyaktig.</t>
        </is>
      </c>
      <c r="G44" t="inlineStr">
        <is>
          <t>SRC_ELBIL_RENAULT4_TEST</t>
        </is>
      </c>
      <c r="H44" t="inlineStr">
        <is>
          <t>1.9</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PASS</t>
        </is>
      </c>
      <c r="E49" t="inlineStr">
        <is>
          <t>LOW</t>
        </is>
      </c>
      <c r="F49" t="inlineStr">
        <is>
          <t>Ingen uavhengig vintertest funnet. Estimert vintervegkjørelengde = 70% av WLTP (ADR-014): 448 km x 0.70 = 313.6 km, bestått med kun 13.6 km margin - tett, men bestått under denne metodikken.</t>
        </is>
      </c>
      <c r="H49" t="inlineStr">
        <is>
          <t>1.9</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PASS</t>
        </is>
      </c>
      <c r="E53" t="inlineStr">
        <is>
          <t>LOW</t>
        </is>
      </c>
      <c r="F53" t="inlineStr">
        <is>
          <t>Ingen vintertest vurdert for denne spesifikke konfigurasjonen. Estimert vintervegkjørelengde = 70% av WLTP (ADR-014): 475 km x 0.70 = 332.5 km, bestått med 32.5 km margin. Bekreftes av det reelle testresultatet for søsterkonfigurasjonen P8 AWD (338 km, samme plattform) som ligger tett opptil.</t>
        </is>
      </c>
      <c r="H53" t="inlineStr">
        <is>
          <t>1.9</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PASS</t>
        </is>
      </c>
      <c r="E55" t="inlineStr">
        <is>
          <t>LOW</t>
        </is>
      </c>
      <c r="F55" t="inlineStr">
        <is>
          <t>Ingen uavhengig vintertest funnet - trolig fordi modellen er for ny for det norske markedet. Estimert vintervegkjørelengde = 70% av WLTP (ADR-014): 453 km x 0.70 = 317.1 km, bestått med 17.1 km margin.</t>
        </is>
      </c>
      <c r="H55" t="inlineStr">
        <is>
          <t>1.9</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MEDIUM</t>
        </is>
      </c>
      <c r="F72" t="inlineStr">
        <is>
          <t>Bekreftet standard fra og med Core-utstyrsnivå per Frydenbøs egen utstyrsnivå-veiledning. Denne konfigurasjonen (Single Motor Extended Range) er uavhengig bekreftet solgt som Plus-nivå i det norske markedet (Frydenbøs kampanjeside, 476 km rekkevidde matcher registrert WLTP) - Plus ligger over Core, så ACC er inkludert uavhengig av tidligere usikkerhet knyttet til P8 AWD-utledningen.</t>
        </is>
      </c>
      <c r="H72" t="inlineStr">
        <is>
          <t>1.9</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PASS</t>
        </is>
      </c>
      <c r="E89" t="inlineStr">
        <is>
          <t>MEDIUM</t>
        </is>
      </c>
      <c r="F89" t="inlineStr">
        <is>
          <t>Ryggekamera bekreftet standard fra og med Core-utstyrsnivå per Frydenbøs egen utstyrsnivå-veiledning. Denne konfigurasjonen uavhengig bekreftet som Plus-nivå i det norske markedet (se M004-begrunnelse) - ryggekamera dermed inkludert.</t>
        </is>
      </c>
      <c r="H89" t="inlineStr">
        <is>
          <t>1.9</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FAIL</t>
        </is>
      </c>
      <c r="E99" t="inlineStr">
        <is>
          <t>LOW</t>
        </is>
      </c>
      <c r="F99" t="inlineStr">
        <is>
          <t>Ingen bekreftet uavhengig vintertest funnet (tidligere søkemotor-sammendrag om 311 km kunne ikke bekreftes mot NAFs egen side). Estimert vintervegkjørelengde = 70% av WLTP (ADR-014): 420 km x 0.70 = 294.0 km, marginalt under ~300 km-kravet med 6.0 km - svært tett, i praksis på grensen.</t>
        </is>
      </c>
      <c r="H99" t="inlineStr">
        <is>
          <t>1.9</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row r="102">
      <c r="A102" t="inlineStr">
        <is>
          <t>HRR_000101</t>
        </is>
      </c>
      <c r="B102" t="inlineStr">
        <is>
          <t>SKODA_EPIQ_SELECTION_55_LAUNCH_EDITION</t>
        </is>
      </c>
      <c r="C102" t="inlineStr">
        <is>
          <t>M001</t>
        </is>
      </c>
      <c r="D102" t="inlineStr">
        <is>
          <t>PASS</t>
        </is>
      </c>
      <c r="E102" t="inlineStr">
        <is>
          <t>HIGH</t>
        </is>
      </c>
      <c r="F102" t="inlineStr">
        <is>
          <t>Skoda Epiq er en helelektrisk modell (BEV); ingen forbrenningsmotor- eller hybridvariant eksisterer.</t>
        </is>
      </c>
      <c r="H102" t="inlineStr">
        <is>
          <t>1.9</t>
        </is>
      </c>
    </row>
    <row r="103">
      <c r="A103" t="inlineStr">
        <is>
          <t>HRR_000102</t>
        </is>
      </c>
      <c r="B103" t="inlineStr">
        <is>
          <t>SKODA_EPIQ_SELECTION_55_LAUNCH_EDITION</t>
        </is>
      </c>
      <c r="C103" t="inlineStr">
        <is>
          <t>M002</t>
        </is>
      </c>
      <c r="D103" t="inlineStr">
        <is>
          <t>PASS</t>
        </is>
      </c>
      <c r="E103" t="inlineStr">
        <is>
          <t>MEDIUM</t>
        </is>
      </c>
      <c r="F103" t="inlineStr">
        <is>
          <t>Offisiell lengde 4170mm (Sulland) er godt innenfor 4500mm-grensen, med 330mm margin.</t>
        </is>
      </c>
      <c r="H103" t="inlineStr">
        <is>
          <t>1.9</t>
        </is>
      </c>
    </row>
    <row r="104">
      <c r="A104" t="inlineStr">
        <is>
          <t>HRR_000103</t>
        </is>
      </c>
      <c r="B104" t="inlineStr">
        <is>
          <t>SKODA_EPIQ_SELECTION_55_LAUNCH_EDITION</t>
        </is>
      </c>
      <c r="C104" t="inlineStr">
        <is>
          <t>M003</t>
        </is>
      </c>
      <c r="D104" t="inlineStr">
        <is>
          <t>PASS</t>
        </is>
      </c>
      <c r="E104" t="inlineStr">
        <is>
          <t>LOW</t>
        </is>
      </c>
      <c r="F104" t="inlineStr">
        <is>
          <t>Ingen uavhengig vintertest eksisterer for denne ennå ikke leverte modellen. Estimert vintervegkjørelengde = 70% av WLTP (ADR-014): 435 km x 0.70 = 304.5 km, bestått med kun 4.5 km margin - svært tett, i praksis på grensen.</t>
        </is>
      </c>
      <c r="H104" t="inlineStr">
        <is>
          <t>1.9</t>
        </is>
      </c>
    </row>
    <row r="105">
      <c r="A105" t="inlineStr">
        <is>
          <t>HRR_000104</t>
        </is>
      </c>
      <c r="B105" t="inlineStr">
        <is>
          <t>SKODA_EPIQ_SELECTION_55_LAUNCH_EDITION</t>
        </is>
      </c>
      <c r="C105" t="inlineStr">
        <is>
          <t>M004</t>
        </is>
      </c>
      <c r="D105" t="inlineStr">
        <is>
          <t>PASS</t>
        </is>
      </c>
      <c r="E105" t="inlineStr">
        <is>
          <t>MEDIUM</t>
        </is>
      </c>
      <c r="F105" t="inlineStr">
        <is>
          <t>Adaptiv cruise kontroll bekreftet standard i norsk utstyrsliste (Autoria.no) for Epiq 55 Launch Edition.</t>
        </is>
      </c>
      <c r="G105" t="inlineStr">
        <is>
          <t>SRC_AUTORIA_SKODA_EPIQ_PRIS</t>
        </is>
      </c>
      <c r="H105" t="inlineStr">
        <is>
          <t>1.9</t>
        </is>
      </c>
    </row>
    <row r="106">
      <c r="A106" t="inlineStr">
        <is>
          <t>HRR_000105</t>
        </is>
      </c>
      <c r="B106" t="inlineStr">
        <is>
          <t>SKODA_EPIQ_SELECTION_55_LAUNCH_EDITION</t>
        </is>
      </c>
      <c r="C106" t="inlineStr">
        <is>
          <t>M005</t>
        </is>
      </c>
      <c r="D106" t="inlineStr">
        <is>
          <t>PASS</t>
        </is>
      </c>
      <c r="E106" t="inlineStr">
        <is>
          <t>MEDIUM</t>
        </is>
      </c>
      <c r="F106" t="inlineStr">
        <is>
          <t>Ryggekamera bekreftet standard i norsk utstyrsliste (Autoria.no) for Epiq 55 Launch Edition.</t>
        </is>
      </c>
      <c r="G106" t="inlineStr">
        <is>
          <t>SRC_AUTORIA_SKODA_EPIQ_PRIS</t>
        </is>
      </c>
      <c r="H106" t="inlineStr">
        <is>
          <t>1.9</t>
        </is>
      </c>
    </row>
    <row r="107">
      <c r="A107" t="inlineStr">
        <is>
          <t>HRR_000106</t>
        </is>
      </c>
      <c r="B107" t="inlineStr">
        <is>
          <t>SKODA_EPIQ_ESSENCE_55_LAUNCH_EDITION</t>
        </is>
      </c>
      <c r="C107" t="inlineStr">
        <is>
          <t>M001</t>
        </is>
      </c>
      <c r="D107" t="inlineStr">
        <is>
          <t>PASS</t>
        </is>
      </c>
      <c r="E107" t="inlineStr">
        <is>
          <t>HIGH</t>
        </is>
      </c>
      <c r="F107" t="inlineStr">
        <is>
          <t>Skoda Epiq er en helelektrisk modell (BEV); ingen forbrenningsmotor- eller hybridvariant eksisterer.</t>
        </is>
      </c>
      <c r="H107" t="inlineStr">
        <is>
          <t>1.9</t>
        </is>
      </c>
    </row>
    <row r="108">
      <c r="A108" t="inlineStr">
        <is>
          <t>HRR_000107</t>
        </is>
      </c>
      <c r="B108" t="inlineStr">
        <is>
          <t>SKODA_EPIQ_ESSENCE_55_LAUNCH_EDITION</t>
        </is>
      </c>
      <c r="C108" t="inlineStr">
        <is>
          <t>M002</t>
        </is>
      </c>
      <c r="D108" t="inlineStr">
        <is>
          <t>PASS</t>
        </is>
      </c>
      <c r="E108" t="inlineStr">
        <is>
          <t>MEDIUM</t>
        </is>
      </c>
      <c r="F108" t="inlineStr">
        <is>
          <t>Offisiell lengde 4170mm (Sulland, delt mellom alle Epiq-varianter) er godt innenfor 4500mm-grensen, med 330mm margin.</t>
        </is>
      </c>
      <c r="H108" t="inlineStr">
        <is>
          <t>1.9</t>
        </is>
      </c>
    </row>
    <row r="109">
      <c r="A109" t="inlineStr">
        <is>
          <t>HRR_000108</t>
        </is>
      </c>
      <c r="B109" t="inlineStr">
        <is>
          <t>SKODA_EPIQ_ESSENCE_55_LAUNCH_EDITION</t>
        </is>
      </c>
      <c r="C109" t="inlineStr">
        <is>
          <t>M003</t>
        </is>
      </c>
      <c r="D109" t="inlineStr">
        <is>
          <t>PASS</t>
        </is>
      </c>
      <c r="E109" t="inlineStr">
        <is>
          <t>LOW</t>
        </is>
      </c>
      <c r="F109" t="inlineStr">
        <is>
          <t>Ingen uavhengig vintertest eksisterer for denne ennå ikke leverte modellen. Estimert vintervegkjørelengde = 70% av WLTP (ADR-014): 440 km x 0.70 = 308.0 km, bestått med 8 km margin.</t>
        </is>
      </c>
      <c r="H109" t="inlineStr">
        <is>
          <t>1.9</t>
        </is>
      </c>
    </row>
    <row r="110">
      <c r="A110" t="inlineStr">
        <is>
          <t>HRR_000109</t>
        </is>
      </c>
      <c r="B110" t="inlineStr">
        <is>
          <t>SKODA_EPIQ_ESSENCE_55_LAUNCH_EDITION</t>
        </is>
      </c>
      <c r="C110" t="inlineStr">
        <is>
          <t>M004</t>
        </is>
      </c>
      <c r="D110" t="inlineStr">
        <is>
          <t>UNKNOWN</t>
        </is>
      </c>
      <c r="E110" t="inlineStr">
        <is>
          <t>LOW</t>
        </is>
      </c>
      <c r="F110" t="inlineStr">
        <is>
          <t>Ikke bekreftet for denne spesifikke (grunnivå) konfigurasjonen - Sullands egen prisliste nevner kun interior- og felgpakke for Essence, ingen fullstendig utstyrsliste ble funnet ved direkte henting. Internasjonale kilder hevder adaptiv cruise kontroll er standard selv på laveste nivå, men dette er ikke bekreftet mot en norsk kilde direkte - forblir bevisst ukjent fremfor antatt.</t>
        </is>
      </c>
      <c r="H110" t="inlineStr">
        <is>
          <t>1.9</t>
        </is>
      </c>
    </row>
    <row r="111">
      <c r="A111" t="inlineStr">
        <is>
          <t>HRR_000110</t>
        </is>
      </c>
      <c r="B111" t="inlineStr">
        <is>
          <t>SKODA_EPIQ_ESSENCE_55_LAUNCH_EDITION</t>
        </is>
      </c>
      <c r="C111" t="inlineStr">
        <is>
          <t>M005</t>
        </is>
      </c>
      <c r="D111" t="inlineStr">
        <is>
          <t>UNKNOWN</t>
        </is>
      </c>
      <c r="E111" t="inlineStr">
        <is>
          <t>LOW</t>
        </is>
      </c>
      <c r="F111" t="inlineStr">
        <is>
          <t>Ikke bekreftet for denne konfigurasjonen. Enkelte kilder antyder ryggekamera er en Selection-nivå-tilføyelse, ikke inkludert på Essence, men dette er heller ikke uavhengig bekreftet mot en norsk kilde direkte - forblir bevisst ukjent fremfor antatt.</t>
        </is>
      </c>
      <c r="H111" t="inlineStr">
        <is>
          <t>1.9</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15"/>
  <sheetViews>
    <sheetView showGridLines="0"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3" customWidth="1" min="4" max="4"/>
    <col width="15" customWidth="1" min="5" max="5"/>
    <col width="30" customWidth="1" min="6" max="6"/>
    <col width="3" customWidth="1" min="7" max="7"/>
    <col width="32" customWidth="1" min="8" max="8"/>
    <col width="22" customWidth="1" min="9" max="9"/>
    <col width="32" customWidth="1" min="10" max="10"/>
    <col width="20" customWidth="1" min="11" max="11"/>
    <col width="3" customWidth="1" min="12" max="12"/>
    <col width="55" customWidth="1" min="13" max="13"/>
    <col width="55" customWidth="1" min="14" max="14"/>
    <col width="3" customWidth="1" min="15" max="15"/>
    <col width="16" customWidth="1" min="16" max="16"/>
    <col width="16" customWidth="1" min="17" max="17"/>
    <col width="55" customWidth="1" min="18" max="18"/>
  </cols>
  <sheetData>
    <row r="1">
      <c r="A1" s="2" t="inlineStr">
        <is>
          <t>EV Decision Framework - Dashboard</t>
        </is>
      </c>
    </row>
    <row r="2">
      <c r="A2" s="3" t="inlineStr">
        <is>
          <t>Flagship Configurations only - see 03_Configurations for the full 20-Configuration set.</t>
        </is>
      </c>
    </row>
    <row r="4">
      <c r="A4" s="4" t="inlineStr">
        <is>
          <t>1. Decision Summary</t>
        </is>
      </c>
    </row>
    <row r="5">
      <c r="A5" s="1" t="inlineStr">
        <is>
          <t>Rank</t>
        </is>
      </c>
      <c r="B5" s="1" t="inlineStr">
        <is>
          <t>Vehicle / Trim</t>
        </is>
      </c>
      <c r="C5" s="1" t="inlineStr">
        <is>
          <t>ConfiguredPrice</t>
        </is>
      </c>
      <c r="D5" s="1" t="inlineStr">
        <is>
          <t>OverallScore</t>
        </is>
      </c>
      <c r="E5" s="1" t="inlineStr">
        <is>
          <t>CoveragePercent</t>
        </is>
      </c>
      <c r="F5" s="1" t="inlineStr">
        <is>
          <t>Hard Requirement Status</t>
        </is>
      </c>
      <c r="H5" s="5" t="inlineStr">
        <is>
          <t>ConfigurationID</t>
        </is>
      </c>
      <c r="I5" s="5" t="inlineStr">
        <is>
          <t>Manufacturer</t>
        </is>
      </c>
      <c r="J5" s="5" t="inlineStr">
        <is>
          <t>Model</t>
        </is>
      </c>
      <c r="K5" s="5" t="inlineStr">
        <is>
          <t>Trim</t>
        </is>
      </c>
      <c r="L5" s="5" t="inlineStr">
        <is>
          <t>HasFail</t>
        </is>
      </c>
      <c r="M5" s="5" t="inlineStr">
        <is>
          <t>HasUnknown</t>
        </is>
      </c>
      <c r="N5" s="5" t="inlineStr">
        <is>
          <t>FailCriterion</t>
        </is>
      </c>
      <c r="R5" s="10" t="inlineStr">
        <is>
          <t>Hard Requirement Reason</t>
        </is>
      </c>
    </row>
    <row r="6" ht="45" customHeight="1">
      <c r="A6" s="6">
        <f>IF($H6="","",RANK($D6,$D$6:$D$25,0))</f>
        <v/>
      </c>
      <c r="B6" s="6">
        <f>IF($H6="","",$I6&amp;" "&amp;$J6&amp;" ("&amp;$K6&amp;")")</f>
        <v/>
      </c>
      <c r="C6" s="6">
        <f>IFERROR(INDEX('03_Configurations'!$G$2:$G$1000,MATCH($H6,'03_Configurations'!$A$2:$A$1000,0)),"")</f>
        <v/>
      </c>
      <c r="D6" s="6">
        <f>IFERROR(INDEX('12_OverallScores'!$D$2:$D$1000,MATCH($H6,'12_OverallScores'!$B$2:$B$1000,0)),"")</f>
        <v/>
      </c>
      <c r="E6" s="6">
        <f>IFERROR(INDEX('12_OverallScores'!$E$2:$E$1000,MATCH($H6,'12_OverallScores'!$B$2:$B$1000,0)),"")</f>
        <v/>
      </c>
      <c r="F6" s="6">
        <f>IF($H6="","",IF($L6&gt;0,IF(IFERROR(INDEX('03_Configurations'!$I$2:$I$1000,MATCH($H6,'03_Configurations'!$A$2:$A$1000,0)),"FALSE")="TRUE","FAIL ("&amp;$N6&amp;") - kept, overridden","FAIL ("&amp;$N6&amp;") - excluded"),IF($M6&gt;0,"UNKNOWN","PASS")))</f>
        <v/>
      </c>
      <c r="G6" s="6" t="n"/>
      <c r="H6" s="6" t="inlineStr">
        <is>
          <t>TESLA_MODEL_3_LONG_RANGE_RWD</t>
        </is>
      </c>
      <c r="I6" s="6">
        <f>IFERROR(INDEX('02_Vehicles'!$B$2:$B$1000,MATCH(INDEX('03_Configurations'!$B$2:$B$1000,MATCH($H6,'03_Configurations'!$A$2:$A$1000,0)),'02_Vehicles'!$A$2:$A$1000,0)),"")</f>
        <v/>
      </c>
      <c r="J6" s="6">
        <f>IFERROR(INDEX('02_Vehicles'!$C$2:$C$1000,MATCH(INDEX('03_Configurations'!$B$2:$B$1000,MATCH($H6,'03_Configurations'!$A$2:$A$1000,0)),'02_Vehicles'!$A$2:$A$1000,0)),"")</f>
        <v/>
      </c>
      <c r="K6" s="6">
        <f>IFERROR(INDEX('03_Configurations'!$E$2:$E$1000,MATCH($H6,'03_Configurations'!$A$2:$A$1000,0)),"")</f>
        <v/>
      </c>
      <c r="L6" s="6">
        <f>IF($H6="","",COUNTIFS('14_HardRequirementResults'!$B$2:$B$1000,$H6,'14_HardRequirementResults'!$D$2:$D$1000,"FAIL"))</f>
        <v/>
      </c>
      <c r="M6" s="6">
        <f>IF($H6="","",COUNTIFS('14_HardRequirementResults'!$B$2:$B$1000,$H6,'14_HardRequirementResults'!$D$2:$D$1000,"UNKNOWN"))</f>
        <v/>
      </c>
      <c r="N6" s="6">
        <f>IF($L6="","",IF($L6&gt;0,IFERROR(INDEX('14_HardRequirementResults'!$C$2:$C$1000,MATCH(1,INDEX(('14_HardRequirementResults'!$B$2:$B$1000=$H6)*('14_HardRequirementResults'!$D$2:$D$1000="FAIL"),0),0)),""),""))</f>
        <v/>
      </c>
      <c r="R6" s="11">
        <f>IF($N6="","",IFERROR(INDEX('14_HardRequirementResults'!$F$2:$F$1000,MATCH(1,INDEX(('14_HardRequirementResults'!$B$2:$B$1000=$H6)*('14_HardRequirementResults'!$C$2:$C$1000=$N6),0),0)),""))</f>
        <v/>
      </c>
    </row>
    <row r="7" ht="45" customHeight="1">
      <c r="A7" s="6">
        <f>IF($H7="","",RANK($D7,$D$6:$D$25,0))</f>
        <v/>
      </c>
      <c r="B7" s="6">
        <f>IF($H7="","",$I7&amp;" "&amp;$J7&amp;" ("&amp;$K7&amp;")")</f>
        <v/>
      </c>
      <c r="C7" s="6">
        <f>IFERROR(INDEX('03_Configurations'!$G$2:$G$1000,MATCH($H7,'03_Configurations'!$A$2:$A$1000,0)),"")</f>
        <v/>
      </c>
      <c r="D7" s="6">
        <f>IFERROR(INDEX('12_OverallScores'!$D$2:$D$1000,MATCH($H7,'12_OverallScores'!$B$2:$B$1000,0)),"")</f>
        <v/>
      </c>
      <c r="E7" s="6">
        <f>IFERROR(INDEX('12_OverallScores'!$E$2:$E$1000,MATCH($H7,'12_OverallScores'!$B$2:$B$1000,0)),"")</f>
        <v/>
      </c>
      <c r="F7" s="6">
        <f>IF($H7="","",IF($L7&gt;0,IF(IFERROR(INDEX('03_Configurations'!$I$2:$I$1000,MATCH($H7,'03_Configurations'!$A$2:$A$1000,0)),"FALSE")="TRUE","FAIL ("&amp;$N7&amp;") - kept, overridden","FAIL ("&amp;$N7&amp;") - excluded"),IF($M7&gt;0,"UNKNOWN","PASS")))</f>
        <v/>
      </c>
      <c r="G7" s="6" t="n"/>
      <c r="H7" s="6" t="inlineStr">
        <is>
          <t>RENAULT_4_TECHNO</t>
        </is>
      </c>
      <c r="I7" s="6">
        <f>IFERROR(INDEX('02_Vehicles'!$B$2:$B$1000,MATCH(INDEX('03_Configurations'!$B$2:$B$1000,MATCH($H7,'03_Configurations'!$A$2:$A$1000,0)),'02_Vehicles'!$A$2:$A$1000,0)),"")</f>
        <v/>
      </c>
      <c r="J7" s="6">
        <f>IFERROR(INDEX('02_Vehicles'!$C$2:$C$1000,MATCH(INDEX('03_Configurations'!$B$2:$B$1000,MATCH($H7,'03_Configurations'!$A$2:$A$1000,0)),'02_Vehicles'!$A$2:$A$1000,0)),"")</f>
        <v/>
      </c>
      <c r="K7" s="6">
        <f>IFERROR(INDEX('03_Configurations'!$E$2:$E$1000,MATCH($H7,'03_Configurations'!$A$2:$A$1000,0)),"")</f>
        <v/>
      </c>
      <c r="L7" s="6">
        <f>IF($H7="","",COUNTIFS('14_HardRequirementResults'!$B$2:$B$1000,$H7,'14_HardRequirementResults'!$D$2:$D$1000,"FAIL"))</f>
        <v/>
      </c>
      <c r="M7" s="6">
        <f>IF($H7="","",COUNTIFS('14_HardRequirementResults'!$B$2:$B$1000,$H7,'14_HardRequirementResults'!$D$2:$D$1000,"UNKNOWN"))</f>
        <v/>
      </c>
      <c r="N7" s="6">
        <f>IF($L7="","",IF($L7&gt;0,IFERROR(INDEX('14_HardRequirementResults'!$C$2:$C$1000,MATCH(1,INDEX(('14_HardRequirementResults'!$B$2:$B$1000=$H7)*('14_HardRequirementResults'!$D$2:$D$1000="FAIL"),0),0)),""),""))</f>
        <v/>
      </c>
      <c r="R7" s="11">
        <f>IF($N7="","",IFERROR(INDEX('14_HardRequirementResults'!$F$2:$F$1000,MATCH(1,INDEX(('14_HardRequirementResults'!$B$2:$B$1000=$H7)*('14_HardRequirementResults'!$C$2:$C$1000=$N7),0),0)),""))</f>
        <v/>
      </c>
    </row>
    <row r="8" ht="45" customHeight="1">
      <c r="A8" s="6">
        <f>IF($H8="","",RANK($D8,$D$6:$D$25,0))</f>
        <v/>
      </c>
      <c r="B8" s="6">
        <f>IF($H8="","",$I8&amp;" "&amp;$J8&amp;" ("&amp;$K8&amp;")")</f>
        <v/>
      </c>
      <c r="C8" s="6">
        <f>IFERROR(INDEX('03_Configurations'!$G$2:$G$1000,MATCH($H8,'03_Configurations'!$A$2:$A$1000,0)),"")</f>
        <v/>
      </c>
      <c r="D8" s="6">
        <f>IFERROR(INDEX('12_OverallScores'!$D$2:$D$1000,MATCH($H8,'12_OverallScores'!$B$2:$B$1000,0)),"")</f>
        <v/>
      </c>
      <c r="E8" s="6">
        <f>IFERROR(INDEX('12_OverallScores'!$E$2:$E$1000,MATCH($H8,'12_OverallScores'!$B$2:$B$1000,0)),"")</f>
        <v/>
      </c>
      <c r="F8" s="6">
        <f>IF($H8="","",IF($L8&gt;0,IF(IFERROR(INDEX('03_Configurations'!$I$2:$I$1000,MATCH($H8,'03_Configurations'!$A$2:$A$1000,0)),"FALSE")="TRUE","FAIL ("&amp;$N8&amp;") - kept, overridden","FAIL ("&amp;$N8&amp;") - excluded"),IF($M8&gt;0,"UNKNOWN","PASS")))</f>
        <v/>
      </c>
      <c r="G8" s="6" t="n"/>
      <c r="H8" s="6" t="inlineStr">
        <is>
          <t>SKODA_ELROQ_SELECTION_60</t>
        </is>
      </c>
      <c r="I8" s="6">
        <f>IFERROR(INDEX('02_Vehicles'!$B$2:$B$1000,MATCH(INDEX('03_Configurations'!$B$2:$B$1000,MATCH($H8,'03_Configurations'!$A$2:$A$1000,0)),'02_Vehicles'!$A$2:$A$1000,0)),"")</f>
        <v/>
      </c>
      <c r="J8" s="6">
        <f>IFERROR(INDEX('02_Vehicles'!$C$2:$C$1000,MATCH(INDEX('03_Configurations'!$B$2:$B$1000,MATCH($H8,'03_Configurations'!$A$2:$A$1000,0)),'02_Vehicles'!$A$2:$A$1000,0)),"")</f>
        <v/>
      </c>
      <c r="K8" s="6">
        <f>IFERROR(INDEX('03_Configurations'!$E$2:$E$1000,MATCH($H8,'03_Configurations'!$A$2:$A$1000,0)),"")</f>
        <v/>
      </c>
      <c r="L8" s="6">
        <f>IF($H8="","",COUNTIFS('14_HardRequirementResults'!$B$2:$B$1000,$H8,'14_HardRequirementResults'!$D$2:$D$1000,"FAIL"))</f>
        <v/>
      </c>
      <c r="M8" s="6">
        <f>IF($H8="","",COUNTIFS('14_HardRequirementResults'!$B$2:$B$1000,$H8,'14_HardRequirementResults'!$D$2:$D$1000,"UNKNOWN"))</f>
        <v/>
      </c>
      <c r="N8" s="6">
        <f>IF($L8="","",IF($L8&gt;0,IFERROR(INDEX('14_HardRequirementResults'!$C$2:$C$1000,MATCH(1,INDEX(('14_HardRequirementResults'!$B$2:$B$1000=$H8)*('14_HardRequirementResults'!$D$2:$D$1000="FAIL"),0),0)),""),""))</f>
        <v/>
      </c>
      <c r="R8" s="11">
        <f>IF($N8="","",IFERROR(INDEX('14_HardRequirementResults'!$F$2:$F$1000,MATCH(1,INDEX(('14_HardRequirementResults'!$B$2:$B$1000=$H8)*('14_HardRequirementResults'!$C$2:$C$1000=$N8),0),0)),""))</f>
        <v/>
      </c>
    </row>
    <row r="9" ht="45" customHeight="1">
      <c r="A9" s="6">
        <f>IF($H9="","",RANK($D9,$D$6:$D$25,0))</f>
        <v/>
      </c>
      <c r="B9" s="6">
        <f>IF($H9="","",$I9&amp;" "&amp;$J9&amp;" ("&amp;$K9&amp;")")</f>
        <v/>
      </c>
      <c r="C9" s="6">
        <f>IFERROR(INDEX('03_Configurations'!$G$2:$G$1000,MATCH($H9,'03_Configurations'!$A$2:$A$1000,0)),"")</f>
        <v/>
      </c>
      <c r="D9" s="6">
        <f>IFERROR(INDEX('12_OverallScores'!$D$2:$D$1000,MATCH($H9,'12_OverallScores'!$B$2:$B$1000,0)),"")</f>
        <v/>
      </c>
      <c r="E9" s="6">
        <f>IFERROR(INDEX('12_OverallScores'!$E$2:$E$1000,MATCH($H9,'12_OverallScores'!$B$2:$B$1000,0)),"")</f>
        <v/>
      </c>
      <c r="F9" s="6">
        <f>IF($H9="","",IF($L9&gt;0,IF(IFERROR(INDEX('03_Configurations'!$I$2:$I$1000,MATCH($H9,'03_Configurations'!$A$2:$A$1000,0)),"FALSE")="TRUE","FAIL ("&amp;$N9&amp;") - kept, overridden","FAIL ("&amp;$N9&amp;") - excluded"),IF($M9&gt;0,"UNKNOWN","PASS")))</f>
        <v/>
      </c>
      <c r="G9" s="6" t="n"/>
      <c r="H9" s="6" t="inlineStr">
        <is>
          <t>VOLVO_EX30_P5_LONG_RANGE</t>
        </is>
      </c>
      <c r="I9" s="6">
        <f>IFERROR(INDEX('02_Vehicles'!$B$2:$B$1000,MATCH(INDEX('03_Configurations'!$B$2:$B$1000,MATCH($H9,'03_Configurations'!$A$2:$A$1000,0)),'02_Vehicles'!$A$2:$A$1000,0)),"")</f>
        <v/>
      </c>
      <c r="J9" s="6">
        <f>IFERROR(INDEX('02_Vehicles'!$C$2:$C$1000,MATCH(INDEX('03_Configurations'!$B$2:$B$1000,MATCH($H9,'03_Configurations'!$A$2:$A$1000,0)),'02_Vehicles'!$A$2:$A$1000,0)),"")</f>
        <v/>
      </c>
      <c r="K9" s="6">
        <f>IFERROR(INDEX('03_Configurations'!$E$2:$E$1000,MATCH($H9,'03_Configurations'!$A$2:$A$1000,0)),"")</f>
        <v/>
      </c>
      <c r="L9" s="6">
        <f>IF($H9="","",COUNTIFS('14_HardRequirementResults'!$B$2:$B$1000,$H9,'14_HardRequirementResults'!$D$2:$D$1000,"FAIL"))</f>
        <v/>
      </c>
      <c r="M9" s="6">
        <f>IF($H9="","",COUNTIFS('14_HardRequirementResults'!$B$2:$B$1000,$H9,'14_HardRequirementResults'!$D$2:$D$1000,"UNKNOWN"))</f>
        <v/>
      </c>
      <c r="N9" s="6">
        <f>IF($L9="","",IF($L9&gt;0,IFERROR(INDEX('14_HardRequirementResults'!$C$2:$C$1000,MATCH(1,INDEX(('14_HardRequirementResults'!$B$2:$B$1000=$H9)*('14_HardRequirementResults'!$D$2:$D$1000="FAIL"),0),0)),""),""))</f>
        <v/>
      </c>
      <c r="R9" s="11">
        <f>IF($N9="","",IFERROR(INDEX('14_HardRequirementResults'!$F$2:$F$1000,MATCH(1,INDEX(('14_HardRequirementResults'!$B$2:$B$1000=$H9)*('14_HardRequirementResults'!$C$2:$C$1000=$N9),0),0)),""))</f>
        <v/>
      </c>
    </row>
    <row r="10" ht="45" customHeight="1">
      <c r="A10" s="6">
        <f>IF($H10="","",RANK($D10,$D$6:$D$25,0))</f>
        <v/>
      </c>
      <c r="B10" s="6">
        <f>IF($H10="","",$I10&amp;" "&amp;$J10&amp;" ("&amp;$K10&amp;")")</f>
        <v/>
      </c>
      <c r="C10" s="6">
        <f>IFERROR(INDEX('03_Configurations'!$G$2:$G$1000,MATCH($H10,'03_Configurations'!$A$2:$A$1000,0)),"")</f>
        <v/>
      </c>
      <c r="D10" s="6">
        <f>IFERROR(INDEX('12_OverallScores'!$D$2:$D$1000,MATCH($H10,'12_OverallScores'!$B$2:$B$1000,0)),"")</f>
        <v/>
      </c>
      <c r="E10" s="6">
        <f>IFERROR(INDEX('12_OverallScores'!$E$2:$E$1000,MATCH($H10,'12_OverallScores'!$B$2:$B$1000,0)),"")</f>
        <v/>
      </c>
      <c r="F10" s="6">
        <f>IF($H10="","",IF($L10&gt;0,IF(IFERROR(INDEX('03_Configurations'!$I$2:$I$1000,MATCH($H10,'03_Configurations'!$A$2:$A$1000,0)),"FALSE")="TRUE","FAIL ("&amp;$N10&amp;") - kept, overridden","FAIL ("&amp;$N10&amp;") - excluded"),IF($M10&gt;0,"UNKNOWN","PASS")))</f>
        <v/>
      </c>
      <c r="G10" s="6" t="n"/>
      <c r="H10" s="6" t="inlineStr">
        <is>
          <t>KIA_EV2_FWD_LONG_RANGE_GT_LINE</t>
        </is>
      </c>
      <c r="I10" s="6">
        <f>IFERROR(INDEX('02_Vehicles'!$B$2:$B$1000,MATCH(INDEX('03_Configurations'!$B$2:$B$1000,MATCH($H10,'03_Configurations'!$A$2:$A$1000,0)),'02_Vehicles'!$A$2:$A$1000,0)),"")</f>
        <v/>
      </c>
      <c r="J10" s="6">
        <f>IFERROR(INDEX('02_Vehicles'!$C$2:$C$1000,MATCH(INDEX('03_Configurations'!$B$2:$B$1000,MATCH($H10,'03_Configurations'!$A$2:$A$1000,0)),'02_Vehicles'!$A$2:$A$1000,0)),"")</f>
        <v/>
      </c>
      <c r="K10" s="6">
        <f>IFERROR(INDEX('03_Configurations'!$E$2:$E$1000,MATCH($H10,'03_Configurations'!$A$2:$A$1000,0)),"")</f>
        <v/>
      </c>
      <c r="L10" s="6">
        <f>IF($H10="","",COUNTIFS('14_HardRequirementResults'!$B$2:$B$1000,$H10,'14_HardRequirementResults'!$D$2:$D$1000,"FAIL"))</f>
        <v/>
      </c>
      <c r="M10" s="6">
        <f>IF($H10="","",COUNTIFS('14_HardRequirementResults'!$B$2:$B$1000,$H10,'14_HardRequirementResults'!$D$2:$D$1000,"UNKNOWN"))</f>
        <v/>
      </c>
      <c r="N10" s="6">
        <f>IF($L10="","",IF($L10&gt;0,IFERROR(INDEX('14_HardRequirementResults'!$C$2:$C$1000,MATCH(1,INDEX(('14_HardRequirementResults'!$B$2:$B$1000=$H10)*('14_HardRequirementResults'!$D$2:$D$1000="FAIL"),0),0)),""),""))</f>
        <v/>
      </c>
      <c r="R10" s="11">
        <f>IF($N10="","",IFERROR(INDEX('14_HardRequirementResults'!$F$2:$F$1000,MATCH(1,INDEX(('14_HardRequirementResults'!$B$2:$B$1000=$H10)*('14_HardRequirementResults'!$C$2:$C$1000=$N10),0),0)),""))</f>
        <v/>
      </c>
    </row>
    <row r="11" ht="45" customHeight="1">
      <c r="A11" s="6">
        <f>IF($H11="","",RANK($D11,$D$6:$D$25,0))</f>
        <v/>
      </c>
      <c r="B11" s="6">
        <f>IF($H11="","",$I11&amp;" "&amp;$J11&amp;" ("&amp;$K11&amp;")")</f>
        <v/>
      </c>
      <c r="C11" s="6">
        <f>IFERROR(INDEX('03_Configurations'!$G$2:$G$1000,MATCH($H11,'03_Configurations'!$A$2:$A$1000,0)),"")</f>
        <v/>
      </c>
      <c r="D11" s="6">
        <f>IFERROR(INDEX('12_OverallScores'!$D$2:$D$1000,MATCH($H11,'12_OverallScores'!$B$2:$B$1000,0)),"")</f>
        <v/>
      </c>
      <c r="E11" s="6">
        <f>IFERROR(INDEX('12_OverallScores'!$E$2:$E$1000,MATCH($H11,'12_OverallScores'!$B$2:$B$1000,0)),"")</f>
        <v/>
      </c>
      <c r="F11" s="6">
        <f>IF($H11="","",IF($L11&gt;0,IF(IFERROR(INDEX('03_Configurations'!$I$2:$I$1000,MATCH($H11,'03_Configurations'!$A$2:$A$1000,0)),"FALSE")="TRUE","FAIL ("&amp;$N11&amp;") - kept, overridden","FAIL ("&amp;$N11&amp;") - excluded"),IF($M11&gt;0,"UNKNOWN","PASS")))</f>
        <v/>
      </c>
      <c r="G11" s="6" t="n"/>
      <c r="H11" s="6" t="inlineStr">
        <is>
          <t>BYD_ATTO3_DESIGN</t>
        </is>
      </c>
      <c r="I11" s="6">
        <f>IFERROR(INDEX('02_Vehicles'!$B$2:$B$1000,MATCH(INDEX('03_Configurations'!$B$2:$B$1000,MATCH($H11,'03_Configurations'!$A$2:$A$1000,0)),'02_Vehicles'!$A$2:$A$1000,0)),"")</f>
        <v/>
      </c>
      <c r="J11" s="6">
        <f>IFERROR(INDEX('02_Vehicles'!$C$2:$C$1000,MATCH(INDEX('03_Configurations'!$B$2:$B$1000,MATCH($H11,'03_Configurations'!$A$2:$A$1000,0)),'02_Vehicles'!$A$2:$A$1000,0)),"")</f>
        <v/>
      </c>
      <c r="K11" s="6">
        <f>IFERROR(INDEX('03_Configurations'!$E$2:$E$1000,MATCH($H11,'03_Configurations'!$A$2:$A$1000,0)),"")</f>
        <v/>
      </c>
      <c r="L11" s="6">
        <f>IF($H11="","",COUNTIFS('14_HardRequirementResults'!$B$2:$B$1000,$H11,'14_HardRequirementResults'!$D$2:$D$1000,"FAIL"))</f>
        <v/>
      </c>
      <c r="M11" s="6">
        <f>IF($H11="","",COUNTIFS('14_HardRequirementResults'!$B$2:$B$1000,$H11,'14_HardRequirementResults'!$D$2:$D$1000,"UNKNOWN"))</f>
        <v/>
      </c>
      <c r="N11" s="6">
        <f>IF($L11="","",IF($L11&gt;0,IFERROR(INDEX('14_HardRequirementResults'!$C$2:$C$1000,MATCH(1,INDEX(('14_HardRequirementResults'!$B$2:$B$1000=$H11)*('14_HardRequirementResults'!$D$2:$D$1000="FAIL"),0),0)),""),""))</f>
        <v/>
      </c>
      <c r="R11" s="11">
        <f>IF($N11="","",IFERROR(INDEX('14_HardRequirementResults'!$F$2:$F$1000,MATCH(1,INDEX(('14_HardRequirementResults'!$B$2:$B$1000=$H11)*('14_HardRequirementResults'!$C$2:$C$1000=$N11),0),0)),""))</f>
        <v/>
      </c>
    </row>
    <row r="12" ht="45" customHeight="1">
      <c r="A12" s="6">
        <f>IF($H12="","",RANK($D12,$D$6:$D$25,0))</f>
        <v/>
      </c>
      <c r="B12" s="6">
        <f>IF($H12="","",$I12&amp;" "&amp;$J12&amp;" ("&amp;$K12&amp;")")</f>
        <v/>
      </c>
      <c r="C12" s="6">
        <f>IFERROR(INDEX('03_Configurations'!$G$2:$G$1000,MATCH($H12,'03_Configurations'!$A$2:$A$1000,0)),"")</f>
        <v/>
      </c>
      <c r="D12" s="6">
        <f>IFERROR(INDEX('12_OverallScores'!$D$2:$D$1000,MATCH($H12,'12_OverallScores'!$B$2:$B$1000,0)),"")</f>
        <v/>
      </c>
      <c r="E12" s="6">
        <f>IFERROR(INDEX('12_OverallScores'!$E$2:$E$1000,MATCH($H12,'12_OverallScores'!$B$2:$B$1000,0)),"")</f>
        <v/>
      </c>
      <c r="F12" s="6">
        <f>IF($H12="","",IF($L12&gt;0,IF(IFERROR(INDEX('03_Configurations'!$I$2:$I$1000,MATCH($H12,'03_Configurations'!$A$2:$A$1000,0)),"FALSE")="TRUE","FAIL ("&amp;$N12&amp;") - kept, overridden","FAIL ("&amp;$N12&amp;") - excluded"),IF($M12&gt;0,"UNKNOWN","PASS")))</f>
        <v/>
      </c>
      <c r="G12" s="6" t="n"/>
      <c r="H12" s="6" t="inlineStr">
        <is>
          <t>SKODA_EPIQ_SELECTION_55_LAUNCH_EDITION</t>
        </is>
      </c>
      <c r="I12" s="6">
        <f>IFERROR(INDEX('02_Vehicles'!$B$2:$B$1000,MATCH(INDEX('03_Configurations'!$B$2:$B$1000,MATCH($H12,'03_Configurations'!$A$2:$A$1000,0)),'02_Vehicles'!$A$2:$A$1000,0)),"")</f>
        <v/>
      </c>
      <c r="J12" s="6">
        <f>IFERROR(INDEX('02_Vehicles'!$C$2:$C$1000,MATCH(INDEX('03_Configurations'!$B$2:$B$1000,MATCH($H12,'03_Configurations'!$A$2:$A$1000,0)),'02_Vehicles'!$A$2:$A$1000,0)),"")</f>
        <v/>
      </c>
      <c r="K12" s="6">
        <f>IFERROR(INDEX('03_Configurations'!$E$2:$E$1000,MATCH($H12,'03_Configurations'!$A$2:$A$1000,0)),"")</f>
        <v/>
      </c>
      <c r="L12" s="6">
        <f>IF($H12="","",COUNTIFS('14_HardRequirementResults'!$B$2:$B$1000,$H12,'14_HardRequirementResults'!$D$2:$D$1000,"FAIL"))</f>
        <v/>
      </c>
      <c r="M12" s="6">
        <f>IF($H12="","",COUNTIFS('14_HardRequirementResults'!$B$2:$B$1000,$H12,'14_HardRequirementResults'!$D$2:$D$1000,"UNKNOWN"))</f>
        <v/>
      </c>
      <c r="N12" s="6">
        <f>IF($L12="","",IF($L12&gt;0,IFERROR(INDEX('14_HardRequirementResults'!$C$2:$C$1000,MATCH(1,INDEX(('14_HardRequirementResults'!$B$2:$B$1000=$H12)*('14_HardRequirementResults'!$D$2:$D$1000="FAIL"),0),0)),""),""))</f>
        <v/>
      </c>
      <c r="R12" s="11">
        <f>IF($N12="","",IFERROR(INDEX('14_HardRequirementResults'!$F$2:$F$1000,MATCH(1,INDEX(('14_HardRequirementResults'!$B$2:$B$1000=$H12)*('14_HardRequirementResults'!$C$2:$C$1000=$N12),0),0)),""))</f>
        <v/>
      </c>
    </row>
    <row r="13" ht="45" customHeight="1">
      <c r="A13" s="6">
        <f>IF($H13="","",RANK($D13,$D$6:$D$25,0))</f>
        <v/>
      </c>
      <c r="B13" s="6">
        <f>IF($H13="","",$I13&amp;" "&amp;$J13&amp;" ("&amp;$K13&amp;")")</f>
        <v/>
      </c>
      <c r="C13" s="6">
        <f>IFERROR(INDEX('03_Configurations'!$G$2:$G$1000,MATCH($H13,'03_Configurations'!$A$2:$A$1000,0)),"")</f>
        <v/>
      </c>
      <c r="D13" s="6">
        <f>IFERROR(INDEX('12_OverallScores'!$D$2:$D$1000,MATCH($H13,'12_OverallScores'!$B$2:$B$1000,0)),"")</f>
        <v/>
      </c>
      <c r="E13" s="6">
        <f>IFERROR(INDEX('12_OverallScores'!$E$2:$E$1000,MATCH($H13,'12_OverallScores'!$B$2:$B$1000,0)),"")</f>
        <v/>
      </c>
      <c r="F13" s="6">
        <f>IF($H13="","",IF($L13&gt;0,IF(IFERROR(INDEX('03_Configurations'!$I$2:$I$1000,MATCH($H13,'03_Configurations'!$A$2:$A$1000,0)),"FALSE")="TRUE","FAIL ("&amp;$N13&amp;") - kept, overridden","FAIL ("&amp;$N13&amp;") - excluded"),IF($M13&gt;0,"UNKNOWN","PASS")))</f>
        <v/>
      </c>
      <c r="G13" s="6" t="n"/>
      <c r="H13" s="6" t="n"/>
      <c r="I13" s="6">
        <f>IFERROR(INDEX('02_Vehicles'!$B$2:$B$1000,MATCH(INDEX('03_Configurations'!$B$2:$B$1000,MATCH($H13,'03_Configurations'!$A$2:$A$1000,0)),'02_Vehicles'!$A$2:$A$1000,0)),"")</f>
        <v/>
      </c>
      <c r="J13" s="6">
        <f>IFERROR(INDEX('02_Vehicles'!$C$2:$C$1000,MATCH(INDEX('03_Configurations'!$B$2:$B$1000,MATCH($H13,'03_Configurations'!$A$2:$A$1000,0)),'02_Vehicles'!$A$2:$A$1000,0)),"")</f>
        <v/>
      </c>
      <c r="K13" s="6">
        <f>IFERROR(INDEX('03_Configurations'!$E$2:$E$1000,MATCH($H13,'03_Configurations'!$A$2:$A$1000,0)),"")</f>
        <v/>
      </c>
      <c r="L13" s="6">
        <f>IF($H13="","",COUNTIFS('14_HardRequirementResults'!$B$2:$B$1000,$H13,'14_HardRequirementResults'!$D$2:$D$1000,"FAIL"))</f>
        <v/>
      </c>
      <c r="M13" s="6">
        <f>IF($H13="","",COUNTIFS('14_HardRequirementResults'!$B$2:$B$1000,$H13,'14_HardRequirementResults'!$D$2:$D$1000,"UNKNOWN"))</f>
        <v/>
      </c>
      <c r="N13" s="6">
        <f>IF($L13="","",IF($L13&gt;0,IFERROR(INDEX('14_HardRequirementResults'!$C$2:$C$1000,MATCH(1,INDEX(('14_HardRequirementResults'!$B$2:$B$1000=$H13)*('14_HardRequirementResults'!$D$2:$D$1000="FAIL"),0),0)),""),""))</f>
        <v/>
      </c>
      <c r="R13" s="11">
        <f>IF($N13="","",IFERROR(INDEX('14_HardRequirementResults'!$F$2:$F$1000,MATCH(1,INDEX(('14_HardRequirementResults'!$B$2:$B$1000=$H13)*('14_HardRequirementResults'!$C$2:$C$1000=$N13),0),0)),""))</f>
        <v/>
      </c>
    </row>
    <row r="14" ht="45" customHeight="1">
      <c r="A14" s="6">
        <f>IF($H14="","",RANK($D14,$D$6:$D$25,0))</f>
        <v/>
      </c>
      <c r="B14" s="6">
        <f>IF($H14="","",$I14&amp;" "&amp;$J14&amp;" ("&amp;$K14&amp;")")</f>
        <v/>
      </c>
      <c r="C14" s="6">
        <f>IFERROR(INDEX('03_Configurations'!$G$2:$G$1000,MATCH($H14,'03_Configurations'!$A$2:$A$1000,0)),"")</f>
        <v/>
      </c>
      <c r="D14" s="6">
        <f>IFERROR(INDEX('12_OverallScores'!$D$2:$D$1000,MATCH($H14,'12_OverallScores'!$B$2:$B$1000,0)),"")</f>
        <v/>
      </c>
      <c r="E14" s="6">
        <f>IFERROR(INDEX('12_OverallScores'!$E$2:$E$1000,MATCH($H14,'12_OverallScores'!$B$2:$B$1000,0)),"")</f>
        <v/>
      </c>
      <c r="F14" s="6">
        <f>IF($H14="","",IF($L14&gt;0,IF(IFERROR(INDEX('03_Configurations'!$I$2:$I$1000,MATCH($H14,'03_Configurations'!$A$2:$A$1000,0)),"FALSE")="TRUE","FAIL ("&amp;$N14&amp;") - kept, overridden","FAIL ("&amp;$N14&amp;") - excluded"),IF($M14&gt;0,"UNKNOWN","PASS")))</f>
        <v/>
      </c>
      <c r="G14" s="6" t="n"/>
      <c r="H14" s="6" t="n"/>
      <c r="I14" s="6">
        <f>IFERROR(INDEX('02_Vehicles'!$B$2:$B$1000,MATCH(INDEX('03_Configurations'!$B$2:$B$1000,MATCH($H14,'03_Configurations'!$A$2:$A$1000,0)),'02_Vehicles'!$A$2:$A$1000,0)),"")</f>
        <v/>
      </c>
      <c r="J14" s="6">
        <f>IFERROR(INDEX('02_Vehicles'!$C$2:$C$1000,MATCH(INDEX('03_Configurations'!$B$2:$B$1000,MATCH($H14,'03_Configurations'!$A$2:$A$1000,0)),'02_Vehicles'!$A$2:$A$1000,0)),"")</f>
        <v/>
      </c>
      <c r="K14" s="6">
        <f>IFERROR(INDEX('03_Configurations'!$E$2:$E$1000,MATCH($H14,'03_Configurations'!$A$2:$A$1000,0)),"")</f>
        <v/>
      </c>
      <c r="L14" s="6">
        <f>IF($H14="","",COUNTIFS('14_HardRequirementResults'!$B$2:$B$1000,$H14,'14_HardRequirementResults'!$D$2:$D$1000,"FAIL"))</f>
        <v/>
      </c>
      <c r="M14" s="6">
        <f>IF($H14="","",COUNTIFS('14_HardRequirementResults'!$B$2:$B$1000,$H14,'14_HardRequirementResults'!$D$2:$D$1000,"UNKNOWN"))</f>
        <v/>
      </c>
      <c r="N14" s="6">
        <f>IF($L14="","",IF($L14&gt;0,IFERROR(INDEX('14_HardRequirementResults'!$C$2:$C$1000,MATCH(1,INDEX(('14_HardRequirementResults'!$B$2:$B$1000=$H14)*('14_HardRequirementResults'!$D$2:$D$1000="FAIL"),0),0)),""),""))</f>
        <v/>
      </c>
      <c r="R14" s="11">
        <f>IF($N14="","",IFERROR(INDEX('14_HardRequirementResults'!$F$2:$F$1000,MATCH(1,INDEX(('14_HardRequirementResults'!$B$2:$B$1000=$H14)*('14_HardRequirementResults'!$C$2:$C$1000=$N14),0),0)),""))</f>
        <v/>
      </c>
    </row>
    <row r="15" ht="45" customHeight="1">
      <c r="A15" s="6">
        <f>IF($H15="","",RANK($D15,$D$6:$D$25,0))</f>
        <v/>
      </c>
      <c r="B15" s="6">
        <f>IF($H15="","",$I15&amp;" "&amp;$J15&amp;" ("&amp;$K15&amp;")")</f>
        <v/>
      </c>
      <c r="C15" s="6">
        <f>IFERROR(INDEX('03_Configurations'!$G$2:$G$1000,MATCH($H15,'03_Configurations'!$A$2:$A$1000,0)),"")</f>
        <v/>
      </c>
      <c r="D15" s="6">
        <f>IFERROR(INDEX('12_OverallScores'!$D$2:$D$1000,MATCH($H15,'12_OverallScores'!$B$2:$B$1000,0)),"")</f>
        <v/>
      </c>
      <c r="E15" s="6">
        <f>IFERROR(INDEX('12_OverallScores'!$E$2:$E$1000,MATCH($H15,'12_OverallScores'!$B$2:$B$1000,0)),"")</f>
        <v/>
      </c>
      <c r="F15" s="6">
        <f>IF($H15="","",IF($L15&gt;0,IF(IFERROR(INDEX('03_Configurations'!$I$2:$I$1000,MATCH($H15,'03_Configurations'!$A$2:$A$1000,0)),"FALSE")="TRUE","FAIL ("&amp;$N15&amp;") - kept, overridden","FAIL ("&amp;$N15&amp;") - excluded"),IF($M15&gt;0,"UNKNOWN","PASS")))</f>
        <v/>
      </c>
      <c r="G15" s="6" t="n"/>
      <c r="H15" s="6" t="n"/>
      <c r="I15" s="6">
        <f>IFERROR(INDEX('02_Vehicles'!$B$2:$B$1000,MATCH(INDEX('03_Configurations'!$B$2:$B$1000,MATCH($H15,'03_Configurations'!$A$2:$A$1000,0)),'02_Vehicles'!$A$2:$A$1000,0)),"")</f>
        <v/>
      </c>
      <c r="J15" s="6">
        <f>IFERROR(INDEX('02_Vehicles'!$C$2:$C$1000,MATCH(INDEX('03_Configurations'!$B$2:$B$1000,MATCH($H15,'03_Configurations'!$A$2:$A$1000,0)),'02_Vehicles'!$A$2:$A$1000,0)),"")</f>
        <v/>
      </c>
      <c r="K15" s="6">
        <f>IFERROR(INDEX('03_Configurations'!$E$2:$E$1000,MATCH($H15,'03_Configurations'!$A$2:$A$1000,0)),"")</f>
        <v/>
      </c>
      <c r="L15" s="6">
        <f>IF($H15="","",COUNTIFS('14_HardRequirementResults'!$B$2:$B$1000,$H15,'14_HardRequirementResults'!$D$2:$D$1000,"FAIL"))</f>
        <v/>
      </c>
      <c r="M15" s="6">
        <f>IF($H15="","",COUNTIFS('14_HardRequirementResults'!$B$2:$B$1000,$H15,'14_HardRequirementResults'!$D$2:$D$1000,"UNKNOWN"))</f>
        <v/>
      </c>
      <c r="N15" s="6">
        <f>IF($L15="","",IF($L15&gt;0,IFERROR(INDEX('14_HardRequirementResults'!$C$2:$C$1000,MATCH(1,INDEX(('14_HardRequirementResults'!$B$2:$B$1000=$H15)*('14_HardRequirementResults'!$D$2:$D$1000="FAIL"),0),0)),""),""))</f>
        <v/>
      </c>
      <c r="R15" s="11">
        <f>IF($N15="","",IFERROR(INDEX('14_HardRequirementResults'!$F$2:$F$1000,MATCH(1,INDEX(('14_HardRequirementResults'!$B$2:$B$1000=$H15)*('14_HardRequirementResults'!$C$2:$C$1000=$N15),0),0)),""))</f>
        <v/>
      </c>
    </row>
    <row r="16" ht="45" customHeight="1">
      <c r="A16" s="6">
        <f>IF($H16="","",RANK($D16,$D$6:$D$25,0))</f>
        <v/>
      </c>
      <c r="B16" s="6">
        <f>IF($H16="","",$I16&amp;" "&amp;$J16&amp;" ("&amp;$K16&amp;")")</f>
        <v/>
      </c>
      <c r="C16" s="6">
        <f>IFERROR(INDEX('03_Configurations'!$G$2:$G$1000,MATCH($H16,'03_Configurations'!$A$2:$A$1000,0)),"")</f>
        <v/>
      </c>
      <c r="D16" s="6">
        <f>IFERROR(INDEX('12_OverallScores'!$D$2:$D$1000,MATCH($H16,'12_OverallScores'!$B$2:$B$1000,0)),"")</f>
        <v/>
      </c>
      <c r="E16" s="6">
        <f>IFERROR(INDEX('12_OverallScores'!$E$2:$E$1000,MATCH($H16,'12_OverallScores'!$B$2:$B$1000,0)),"")</f>
        <v/>
      </c>
      <c r="F16" s="6">
        <f>IF($H16="","",IF($L16&gt;0,IF(IFERROR(INDEX('03_Configurations'!$I$2:$I$1000,MATCH($H16,'03_Configurations'!$A$2:$A$1000,0)),"FALSE")="TRUE","FAIL ("&amp;$N16&amp;") - kept, overridden","FAIL ("&amp;$N16&amp;") - excluded"),IF($M16&gt;0,"UNKNOWN","PASS")))</f>
        <v/>
      </c>
      <c r="G16" s="6" t="n"/>
      <c r="H16" s="6" t="n"/>
      <c r="I16" s="6">
        <f>IFERROR(INDEX('02_Vehicles'!$B$2:$B$1000,MATCH(INDEX('03_Configurations'!$B$2:$B$1000,MATCH($H16,'03_Configurations'!$A$2:$A$1000,0)),'02_Vehicles'!$A$2:$A$1000,0)),"")</f>
        <v/>
      </c>
      <c r="J16" s="6">
        <f>IFERROR(INDEX('02_Vehicles'!$C$2:$C$1000,MATCH(INDEX('03_Configurations'!$B$2:$B$1000,MATCH($H16,'03_Configurations'!$A$2:$A$1000,0)),'02_Vehicles'!$A$2:$A$1000,0)),"")</f>
        <v/>
      </c>
      <c r="K16" s="6">
        <f>IFERROR(INDEX('03_Configurations'!$E$2:$E$1000,MATCH($H16,'03_Configurations'!$A$2:$A$1000,0)),"")</f>
        <v/>
      </c>
      <c r="L16" s="6">
        <f>IF($H16="","",COUNTIFS('14_HardRequirementResults'!$B$2:$B$1000,$H16,'14_HardRequirementResults'!$D$2:$D$1000,"FAIL"))</f>
        <v/>
      </c>
      <c r="M16" s="6">
        <f>IF($H16="","",COUNTIFS('14_HardRequirementResults'!$B$2:$B$1000,$H16,'14_HardRequirementResults'!$D$2:$D$1000,"UNKNOWN"))</f>
        <v/>
      </c>
      <c r="N16" s="6">
        <f>IF($L16="","",IF($L16&gt;0,IFERROR(INDEX('14_HardRequirementResults'!$C$2:$C$1000,MATCH(1,INDEX(('14_HardRequirementResults'!$B$2:$B$1000=$H16)*('14_HardRequirementResults'!$D$2:$D$1000="FAIL"),0),0)),""),""))</f>
        <v/>
      </c>
      <c r="R16" s="11">
        <f>IF($N16="","",IFERROR(INDEX('14_HardRequirementResults'!$F$2:$F$1000,MATCH(1,INDEX(('14_HardRequirementResults'!$B$2:$B$1000=$H16)*('14_HardRequirementResults'!$C$2:$C$1000=$N16),0),0)),""))</f>
        <v/>
      </c>
    </row>
    <row r="17" ht="45" customHeight="1">
      <c r="A17" s="6">
        <f>IF($H17="","",RANK($D17,$D$6:$D$25,0))</f>
        <v/>
      </c>
      <c r="B17" s="6">
        <f>IF($H17="","",$I17&amp;" "&amp;$J17&amp;" ("&amp;$K17&amp;")")</f>
        <v/>
      </c>
      <c r="C17" s="6">
        <f>IFERROR(INDEX('03_Configurations'!$G$2:$G$1000,MATCH($H17,'03_Configurations'!$A$2:$A$1000,0)),"")</f>
        <v/>
      </c>
      <c r="D17" s="6">
        <f>IFERROR(INDEX('12_OverallScores'!$D$2:$D$1000,MATCH($H17,'12_OverallScores'!$B$2:$B$1000,0)),"")</f>
        <v/>
      </c>
      <c r="E17" s="6">
        <f>IFERROR(INDEX('12_OverallScores'!$E$2:$E$1000,MATCH($H17,'12_OverallScores'!$B$2:$B$1000,0)),"")</f>
        <v/>
      </c>
      <c r="F17" s="6">
        <f>IF($H17="","",IF($L17&gt;0,IF(IFERROR(INDEX('03_Configurations'!$I$2:$I$1000,MATCH($H17,'03_Configurations'!$A$2:$A$1000,0)),"FALSE")="TRUE","FAIL ("&amp;$N17&amp;") - kept, overridden","FAIL ("&amp;$N17&amp;") - excluded"),IF($M17&gt;0,"UNKNOWN","PASS")))</f>
        <v/>
      </c>
      <c r="G17" s="6" t="n"/>
      <c r="H17" s="6" t="n"/>
      <c r="I17" s="6">
        <f>IFERROR(INDEX('02_Vehicles'!$B$2:$B$1000,MATCH(INDEX('03_Configurations'!$B$2:$B$1000,MATCH($H17,'03_Configurations'!$A$2:$A$1000,0)),'02_Vehicles'!$A$2:$A$1000,0)),"")</f>
        <v/>
      </c>
      <c r="J17" s="6">
        <f>IFERROR(INDEX('02_Vehicles'!$C$2:$C$1000,MATCH(INDEX('03_Configurations'!$B$2:$B$1000,MATCH($H17,'03_Configurations'!$A$2:$A$1000,0)),'02_Vehicles'!$A$2:$A$1000,0)),"")</f>
        <v/>
      </c>
      <c r="K17" s="6">
        <f>IFERROR(INDEX('03_Configurations'!$E$2:$E$1000,MATCH($H17,'03_Configurations'!$A$2:$A$1000,0)),"")</f>
        <v/>
      </c>
      <c r="L17" s="6">
        <f>IF($H17="","",COUNTIFS('14_HardRequirementResults'!$B$2:$B$1000,$H17,'14_HardRequirementResults'!$D$2:$D$1000,"FAIL"))</f>
        <v/>
      </c>
      <c r="M17" s="6">
        <f>IF($H17="","",COUNTIFS('14_HardRequirementResults'!$B$2:$B$1000,$H17,'14_HardRequirementResults'!$D$2:$D$1000,"UNKNOWN"))</f>
        <v/>
      </c>
      <c r="N17" s="6">
        <f>IF($L17="","",IF($L17&gt;0,IFERROR(INDEX('14_HardRequirementResults'!$C$2:$C$1000,MATCH(1,INDEX(('14_HardRequirementResults'!$B$2:$B$1000=$H17)*('14_HardRequirementResults'!$D$2:$D$1000="FAIL"),0),0)),""),""))</f>
        <v/>
      </c>
      <c r="R17" s="11">
        <f>IF($N17="","",IFERROR(INDEX('14_HardRequirementResults'!$F$2:$F$1000,MATCH(1,INDEX(('14_HardRequirementResults'!$B$2:$B$1000=$H17)*('14_HardRequirementResults'!$C$2:$C$1000=$N17),0),0)),""))</f>
        <v/>
      </c>
    </row>
    <row r="18" ht="45" customHeight="1">
      <c r="A18" s="6">
        <f>IF($H18="","",RANK($D18,$D$6:$D$25,0))</f>
        <v/>
      </c>
      <c r="B18" s="6">
        <f>IF($H18="","",$I18&amp;" "&amp;$J18&amp;" ("&amp;$K18&amp;")")</f>
        <v/>
      </c>
      <c r="C18" s="6">
        <f>IFERROR(INDEX('03_Configurations'!$G$2:$G$1000,MATCH($H18,'03_Configurations'!$A$2:$A$1000,0)),"")</f>
        <v/>
      </c>
      <c r="D18" s="6">
        <f>IFERROR(INDEX('12_OverallScores'!$D$2:$D$1000,MATCH($H18,'12_OverallScores'!$B$2:$B$1000,0)),"")</f>
        <v/>
      </c>
      <c r="E18" s="6">
        <f>IFERROR(INDEX('12_OverallScores'!$E$2:$E$1000,MATCH($H18,'12_OverallScores'!$B$2:$B$1000,0)),"")</f>
        <v/>
      </c>
      <c r="F18" s="6">
        <f>IF($H18="","",IF($L18&gt;0,IF(IFERROR(INDEX('03_Configurations'!$I$2:$I$1000,MATCH($H18,'03_Configurations'!$A$2:$A$1000,0)),"FALSE")="TRUE","FAIL ("&amp;$N18&amp;") - kept, overridden","FAIL ("&amp;$N18&amp;") - excluded"),IF($M18&gt;0,"UNKNOWN","PASS")))</f>
        <v/>
      </c>
      <c r="G18" s="6" t="n"/>
      <c r="H18" s="6" t="n"/>
      <c r="I18" s="6">
        <f>IFERROR(INDEX('02_Vehicles'!$B$2:$B$1000,MATCH(INDEX('03_Configurations'!$B$2:$B$1000,MATCH($H18,'03_Configurations'!$A$2:$A$1000,0)),'02_Vehicles'!$A$2:$A$1000,0)),"")</f>
        <v/>
      </c>
      <c r="J18" s="6">
        <f>IFERROR(INDEX('02_Vehicles'!$C$2:$C$1000,MATCH(INDEX('03_Configurations'!$B$2:$B$1000,MATCH($H18,'03_Configurations'!$A$2:$A$1000,0)),'02_Vehicles'!$A$2:$A$1000,0)),"")</f>
        <v/>
      </c>
      <c r="K18" s="6">
        <f>IFERROR(INDEX('03_Configurations'!$E$2:$E$1000,MATCH($H18,'03_Configurations'!$A$2:$A$1000,0)),"")</f>
        <v/>
      </c>
      <c r="L18" s="6">
        <f>IF($H18="","",COUNTIFS('14_HardRequirementResults'!$B$2:$B$1000,$H18,'14_HardRequirementResults'!$D$2:$D$1000,"FAIL"))</f>
        <v/>
      </c>
      <c r="M18" s="6">
        <f>IF($H18="","",COUNTIFS('14_HardRequirementResults'!$B$2:$B$1000,$H18,'14_HardRequirementResults'!$D$2:$D$1000,"UNKNOWN"))</f>
        <v/>
      </c>
      <c r="N18" s="6">
        <f>IF($L18="","",IF($L18&gt;0,IFERROR(INDEX('14_HardRequirementResults'!$C$2:$C$1000,MATCH(1,INDEX(('14_HardRequirementResults'!$B$2:$B$1000=$H18)*('14_HardRequirementResults'!$D$2:$D$1000="FAIL"),0),0)),""),""))</f>
        <v/>
      </c>
      <c r="R18" s="11">
        <f>IF($N18="","",IFERROR(INDEX('14_HardRequirementResults'!$F$2:$F$1000,MATCH(1,INDEX(('14_HardRequirementResults'!$B$2:$B$1000=$H18)*('14_HardRequirementResults'!$C$2:$C$1000=$N18),0),0)),""))</f>
        <v/>
      </c>
    </row>
    <row r="19" ht="45" customHeight="1">
      <c r="A19" s="6">
        <f>IF($H19="","",RANK($D19,$D$6:$D$25,0))</f>
        <v/>
      </c>
      <c r="B19" s="6">
        <f>IF($H19="","",$I19&amp;" "&amp;$J19&amp;" ("&amp;$K19&amp;")")</f>
        <v/>
      </c>
      <c r="C19" s="6">
        <f>IFERROR(INDEX('03_Configurations'!$G$2:$G$1000,MATCH($H19,'03_Configurations'!$A$2:$A$1000,0)),"")</f>
        <v/>
      </c>
      <c r="D19" s="6">
        <f>IFERROR(INDEX('12_OverallScores'!$D$2:$D$1000,MATCH($H19,'12_OverallScores'!$B$2:$B$1000,0)),"")</f>
        <v/>
      </c>
      <c r="E19" s="6">
        <f>IFERROR(INDEX('12_OverallScores'!$E$2:$E$1000,MATCH($H19,'12_OverallScores'!$B$2:$B$1000,0)),"")</f>
        <v/>
      </c>
      <c r="F19" s="6">
        <f>IF($H19="","",IF($L19&gt;0,IF(IFERROR(INDEX('03_Configurations'!$I$2:$I$1000,MATCH($H19,'03_Configurations'!$A$2:$A$1000,0)),"FALSE")="TRUE","FAIL ("&amp;$N19&amp;") - kept, overridden","FAIL ("&amp;$N19&amp;") - excluded"),IF($M19&gt;0,"UNKNOWN","PASS")))</f>
        <v/>
      </c>
      <c r="G19" s="6" t="n"/>
      <c r="H19" s="6" t="n"/>
      <c r="I19" s="6">
        <f>IFERROR(INDEX('02_Vehicles'!$B$2:$B$1000,MATCH(INDEX('03_Configurations'!$B$2:$B$1000,MATCH($H19,'03_Configurations'!$A$2:$A$1000,0)),'02_Vehicles'!$A$2:$A$1000,0)),"")</f>
        <v/>
      </c>
      <c r="J19" s="6">
        <f>IFERROR(INDEX('02_Vehicles'!$C$2:$C$1000,MATCH(INDEX('03_Configurations'!$B$2:$B$1000,MATCH($H19,'03_Configurations'!$A$2:$A$1000,0)),'02_Vehicles'!$A$2:$A$1000,0)),"")</f>
        <v/>
      </c>
      <c r="K19" s="6">
        <f>IFERROR(INDEX('03_Configurations'!$E$2:$E$1000,MATCH($H19,'03_Configurations'!$A$2:$A$1000,0)),"")</f>
        <v/>
      </c>
      <c r="L19" s="6">
        <f>IF($H19="","",COUNTIFS('14_HardRequirementResults'!$B$2:$B$1000,$H19,'14_HardRequirementResults'!$D$2:$D$1000,"FAIL"))</f>
        <v/>
      </c>
      <c r="M19" s="6">
        <f>IF($H19="","",COUNTIFS('14_HardRequirementResults'!$B$2:$B$1000,$H19,'14_HardRequirementResults'!$D$2:$D$1000,"UNKNOWN"))</f>
        <v/>
      </c>
      <c r="N19" s="6">
        <f>IF($L19="","",IF($L19&gt;0,IFERROR(INDEX('14_HardRequirementResults'!$C$2:$C$1000,MATCH(1,INDEX(('14_HardRequirementResults'!$B$2:$B$1000=$H19)*('14_HardRequirementResults'!$D$2:$D$1000="FAIL"),0),0)),""),""))</f>
        <v/>
      </c>
      <c r="R19" s="11">
        <f>IF($N19="","",IFERROR(INDEX('14_HardRequirementResults'!$F$2:$F$1000,MATCH(1,INDEX(('14_HardRequirementResults'!$B$2:$B$1000=$H19)*('14_HardRequirementResults'!$C$2:$C$1000=$N19),0),0)),""))</f>
        <v/>
      </c>
    </row>
    <row r="20" ht="45" customHeight="1">
      <c r="A20" s="6">
        <f>IF($H20="","",RANK($D20,$D$6:$D$25,0))</f>
        <v/>
      </c>
      <c r="B20" s="6">
        <f>IF($H20="","",$I20&amp;" "&amp;$J20&amp;" ("&amp;$K20&amp;")")</f>
        <v/>
      </c>
      <c r="C20" s="6">
        <f>IFERROR(INDEX('03_Configurations'!$G$2:$G$1000,MATCH($H20,'03_Configurations'!$A$2:$A$1000,0)),"")</f>
        <v/>
      </c>
      <c r="D20" s="6">
        <f>IFERROR(INDEX('12_OverallScores'!$D$2:$D$1000,MATCH($H20,'12_OverallScores'!$B$2:$B$1000,0)),"")</f>
        <v/>
      </c>
      <c r="E20" s="6">
        <f>IFERROR(INDEX('12_OverallScores'!$E$2:$E$1000,MATCH($H20,'12_OverallScores'!$B$2:$B$1000,0)),"")</f>
        <v/>
      </c>
      <c r="F20" s="6">
        <f>IF($H20="","",IF($L20&gt;0,IF(IFERROR(INDEX('03_Configurations'!$I$2:$I$1000,MATCH($H20,'03_Configurations'!$A$2:$A$1000,0)),"FALSE")="TRUE","FAIL ("&amp;$N20&amp;") - kept, overridden","FAIL ("&amp;$N20&amp;") - excluded"),IF($M20&gt;0,"UNKNOWN","PASS")))</f>
        <v/>
      </c>
      <c r="G20" s="6" t="n"/>
      <c r="H20" s="6" t="n"/>
      <c r="I20" s="6">
        <f>IFERROR(INDEX('02_Vehicles'!$B$2:$B$1000,MATCH(INDEX('03_Configurations'!$B$2:$B$1000,MATCH($H20,'03_Configurations'!$A$2:$A$1000,0)),'02_Vehicles'!$A$2:$A$1000,0)),"")</f>
        <v/>
      </c>
      <c r="J20" s="6">
        <f>IFERROR(INDEX('02_Vehicles'!$C$2:$C$1000,MATCH(INDEX('03_Configurations'!$B$2:$B$1000,MATCH($H20,'03_Configurations'!$A$2:$A$1000,0)),'02_Vehicles'!$A$2:$A$1000,0)),"")</f>
        <v/>
      </c>
      <c r="K20" s="6">
        <f>IFERROR(INDEX('03_Configurations'!$E$2:$E$1000,MATCH($H20,'03_Configurations'!$A$2:$A$1000,0)),"")</f>
        <v/>
      </c>
      <c r="L20" s="6">
        <f>IF($H20="","",COUNTIFS('14_HardRequirementResults'!$B$2:$B$1000,$H20,'14_HardRequirementResults'!$D$2:$D$1000,"FAIL"))</f>
        <v/>
      </c>
      <c r="M20" s="6">
        <f>IF($H20="","",COUNTIFS('14_HardRequirementResults'!$B$2:$B$1000,$H20,'14_HardRequirementResults'!$D$2:$D$1000,"UNKNOWN"))</f>
        <v/>
      </c>
      <c r="N20" s="6">
        <f>IF($L20="","",IF($L20&gt;0,IFERROR(INDEX('14_HardRequirementResults'!$C$2:$C$1000,MATCH(1,INDEX(('14_HardRequirementResults'!$B$2:$B$1000=$H20)*('14_HardRequirementResults'!$D$2:$D$1000="FAIL"),0),0)),""),""))</f>
        <v/>
      </c>
      <c r="R20" s="11">
        <f>IF($N20="","",IFERROR(INDEX('14_HardRequirementResults'!$F$2:$F$1000,MATCH(1,INDEX(('14_HardRequirementResults'!$B$2:$B$1000=$H20)*('14_HardRequirementResults'!$C$2:$C$1000=$N20),0),0)),""))</f>
        <v/>
      </c>
    </row>
    <row r="21" ht="45" customHeight="1">
      <c r="A21" s="6">
        <f>IF($H21="","",RANK($D21,$D$6:$D$25,0))</f>
        <v/>
      </c>
      <c r="B21" s="6">
        <f>IF($H21="","",$I21&amp;" "&amp;$J21&amp;" ("&amp;$K21&amp;")")</f>
        <v/>
      </c>
      <c r="C21" s="6">
        <f>IFERROR(INDEX('03_Configurations'!$G$2:$G$1000,MATCH($H21,'03_Configurations'!$A$2:$A$1000,0)),"")</f>
        <v/>
      </c>
      <c r="D21" s="6">
        <f>IFERROR(INDEX('12_OverallScores'!$D$2:$D$1000,MATCH($H21,'12_OverallScores'!$B$2:$B$1000,0)),"")</f>
        <v/>
      </c>
      <c r="E21" s="6">
        <f>IFERROR(INDEX('12_OverallScores'!$E$2:$E$1000,MATCH($H21,'12_OverallScores'!$B$2:$B$1000,0)),"")</f>
        <v/>
      </c>
      <c r="F21" s="6">
        <f>IF($H21="","",IF($L21&gt;0,IF(IFERROR(INDEX('03_Configurations'!$I$2:$I$1000,MATCH($H21,'03_Configurations'!$A$2:$A$1000,0)),"FALSE")="TRUE","FAIL ("&amp;$N21&amp;") - kept, overridden","FAIL ("&amp;$N21&amp;") - excluded"),IF($M21&gt;0,"UNKNOWN","PASS")))</f>
        <v/>
      </c>
      <c r="G21" s="6" t="n"/>
      <c r="H21" s="6" t="n"/>
      <c r="I21" s="6">
        <f>IFERROR(INDEX('02_Vehicles'!$B$2:$B$1000,MATCH(INDEX('03_Configurations'!$B$2:$B$1000,MATCH($H21,'03_Configurations'!$A$2:$A$1000,0)),'02_Vehicles'!$A$2:$A$1000,0)),"")</f>
        <v/>
      </c>
      <c r="J21" s="6">
        <f>IFERROR(INDEX('02_Vehicles'!$C$2:$C$1000,MATCH(INDEX('03_Configurations'!$B$2:$B$1000,MATCH($H21,'03_Configurations'!$A$2:$A$1000,0)),'02_Vehicles'!$A$2:$A$1000,0)),"")</f>
        <v/>
      </c>
      <c r="K21" s="6">
        <f>IFERROR(INDEX('03_Configurations'!$E$2:$E$1000,MATCH($H21,'03_Configurations'!$A$2:$A$1000,0)),"")</f>
        <v/>
      </c>
      <c r="L21" s="6">
        <f>IF($H21="","",COUNTIFS('14_HardRequirementResults'!$B$2:$B$1000,$H21,'14_HardRequirementResults'!$D$2:$D$1000,"FAIL"))</f>
        <v/>
      </c>
      <c r="M21" s="6">
        <f>IF($H21="","",COUNTIFS('14_HardRequirementResults'!$B$2:$B$1000,$H21,'14_HardRequirementResults'!$D$2:$D$1000,"UNKNOWN"))</f>
        <v/>
      </c>
      <c r="N21" s="6">
        <f>IF($L21="","",IF($L21&gt;0,IFERROR(INDEX('14_HardRequirementResults'!$C$2:$C$1000,MATCH(1,INDEX(('14_HardRequirementResults'!$B$2:$B$1000=$H21)*('14_HardRequirementResults'!$D$2:$D$1000="FAIL"),0),0)),""),""))</f>
        <v/>
      </c>
      <c r="R21" s="11">
        <f>IF($N21="","",IFERROR(INDEX('14_HardRequirementResults'!$F$2:$F$1000,MATCH(1,INDEX(('14_HardRequirementResults'!$B$2:$B$1000=$H21)*('14_HardRequirementResults'!$C$2:$C$1000=$N21),0),0)),""))</f>
        <v/>
      </c>
    </row>
    <row r="22" ht="45" customHeight="1">
      <c r="A22" s="6">
        <f>IF($H22="","",RANK($D22,$D$6:$D$25,0))</f>
        <v/>
      </c>
      <c r="B22" s="6">
        <f>IF($H22="","",$I22&amp;" "&amp;$J22&amp;" ("&amp;$K22&amp;")")</f>
        <v/>
      </c>
      <c r="C22" s="6">
        <f>IFERROR(INDEX('03_Configurations'!$G$2:$G$1000,MATCH($H22,'03_Configurations'!$A$2:$A$1000,0)),"")</f>
        <v/>
      </c>
      <c r="D22" s="6">
        <f>IFERROR(INDEX('12_OverallScores'!$D$2:$D$1000,MATCH($H22,'12_OverallScores'!$B$2:$B$1000,0)),"")</f>
        <v/>
      </c>
      <c r="E22" s="6">
        <f>IFERROR(INDEX('12_OverallScores'!$E$2:$E$1000,MATCH($H22,'12_OverallScores'!$B$2:$B$1000,0)),"")</f>
        <v/>
      </c>
      <c r="F22" s="6">
        <f>IF($H22="","",IF($L22&gt;0,IF(IFERROR(INDEX('03_Configurations'!$I$2:$I$1000,MATCH($H22,'03_Configurations'!$A$2:$A$1000,0)),"FALSE")="TRUE","FAIL ("&amp;$N22&amp;") - kept, overridden","FAIL ("&amp;$N22&amp;") - excluded"),IF($M22&gt;0,"UNKNOWN","PASS")))</f>
        <v/>
      </c>
      <c r="G22" s="6" t="n"/>
      <c r="H22" s="6" t="n"/>
      <c r="I22" s="6">
        <f>IFERROR(INDEX('02_Vehicles'!$B$2:$B$1000,MATCH(INDEX('03_Configurations'!$B$2:$B$1000,MATCH($H22,'03_Configurations'!$A$2:$A$1000,0)),'02_Vehicles'!$A$2:$A$1000,0)),"")</f>
        <v/>
      </c>
      <c r="J22" s="6">
        <f>IFERROR(INDEX('02_Vehicles'!$C$2:$C$1000,MATCH(INDEX('03_Configurations'!$B$2:$B$1000,MATCH($H22,'03_Configurations'!$A$2:$A$1000,0)),'02_Vehicles'!$A$2:$A$1000,0)),"")</f>
        <v/>
      </c>
      <c r="K22" s="6">
        <f>IFERROR(INDEX('03_Configurations'!$E$2:$E$1000,MATCH($H22,'03_Configurations'!$A$2:$A$1000,0)),"")</f>
        <v/>
      </c>
      <c r="L22" s="6">
        <f>IF($H22="","",COUNTIFS('14_HardRequirementResults'!$B$2:$B$1000,$H22,'14_HardRequirementResults'!$D$2:$D$1000,"FAIL"))</f>
        <v/>
      </c>
      <c r="M22" s="6">
        <f>IF($H22="","",COUNTIFS('14_HardRequirementResults'!$B$2:$B$1000,$H22,'14_HardRequirementResults'!$D$2:$D$1000,"UNKNOWN"))</f>
        <v/>
      </c>
      <c r="N22" s="6">
        <f>IF($L22="","",IF($L22&gt;0,IFERROR(INDEX('14_HardRequirementResults'!$C$2:$C$1000,MATCH(1,INDEX(('14_HardRequirementResults'!$B$2:$B$1000=$H22)*('14_HardRequirementResults'!$D$2:$D$1000="FAIL"),0),0)),""),""))</f>
        <v/>
      </c>
      <c r="R22" s="11">
        <f>IF($N22="","",IFERROR(INDEX('14_HardRequirementResults'!$F$2:$F$1000,MATCH(1,INDEX(('14_HardRequirementResults'!$B$2:$B$1000=$H22)*('14_HardRequirementResults'!$C$2:$C$1000=$N22),0),0)),""))</f>
        <v/>
      </c>
    </row>
    <row r="23" ht="45" customHeight="1">
      <c r="A23" s="6">
        <f>IF($H23="","",RANK($D23,$D$6:$D$25,0))</f>
        <v/>
      </c>
      <c r="B23" s="6">
        <f>IF($H23="","",$I23&amp;" "&amp;$J23&amp;" ("&amp;$K23&amp;")")</f>
        <v/>
      </c>
      <c r="C23" s="6">
        <f>IFERROR(INDEX('03_Configurations'!$G$2:$G$1000,MATCH($H23,'03_Configurations'!$A$2:$A$1000,0)),"")</f>
        <v/>
      </c>
      <c r="D23" s="6">
        <f>IFERROR(INDEX('12_OverallScores'!$D$2:$D$1000,MATCH($H23,'12_OverallScores'!$B$2:$B$1000,0)),"")</f>
        <v/>
      </c>
      <c r="E23" s="6">
        <f>IFERROR(INDEX('12_OverallScores'!$E$2:$E$1000,MATCH($H23,'12_OverallScores'!$B$2:$B$1000,0)),"")</f>
        <v/>
      </c>
      <c r="F23" s="6">
        <f>IF($H23="","",IF($L23&gt;0,IF(IFERROR(INDEX('03_Configurations'!$I$2:$I$1000,MATCH($H23,'03_Configurations'!$A$2:$A$1000,0)),"FALSE")="TRUE","FAIL ("&amp;$N23&amp;") - kept, overridden","FAIL ("&amp;$N23&amp;") - excluded"),IF($M23&gt;0,"UNKNOWN","PASS")))</f>
        <v/>
      </c>
      <c r="G23" s="6" t="n"/>
      <c r="H23" s="6" t="n"/>
      <c r="I23" s="6">
        <f>IFERROR(INDEX('02_Vehicles'!$B$2:$B$1000,MATCH(INDEX('03_Configurations'!$B$2:$B$1000,MATCH($H23,'03_Configurations'!$A$2:$A$1000,0)),'02_Vehicles'!$A$2:$A$1000,0)),"")</f>
        <v/>
      </c>
      <c r="J23" s="6">
        <f>IFERROR(INDEX('02_Vehicles'!$C$2:$C$1000,MATCH(INDEX('03_Configurations'!$B$2:$B$1000,MATCH($H23,'03_Configurations'!$A$2:$A$1000,0)),'02_Vehicles'!$A$2:$A$1000,0)),"")</f>
        <v/>
      </c>
      <c r="K23" s="6">
        <f>IFERROR(INDEX('03_Configurations'!$E$2:$E$1000,MATCH($H23,'03_Configurations'!$A$2:$A$1000,0)),"")</f>
        <v/>
      </c>
      <c r="L23" s="6">
        <f>IF($H23="","",COUNTIFS('14_HardRequirementResults'!$B$2:$B$1000,$H23,'14_HardRequirementResults'!$D$2:$D$1000,"FAIL"))</f>
        <v/>
      </c>
      <c r="M23" s="6">
        <f>IF($H23="","",COUNTIFS('14_HardRequirementResults'!$B$2:$B$1000,$H23,'14_HardRequirementResults'!$D$2:$D$1000,"UNKNOWN"))</f>
        <v/>
      </c>
      <c r="N23" s="6">
        <f>IF($L23="","",IF($L23&gt;0,IFERROR(INDEX('14_HardRequirementResults'!$C$2:$C$1000,MATCH(1,INDEX(('14_HardRequirementResults'!$B$2:$B$1000=$H23)*('14_HardRequirementResults'!$D$2:$D$1000="FAIL"),0),0)),""),""))</f>
        <v/>
      </c>
      <c r="R23" s="11">
        <f>IF($N23="","",IFERROR(INDEX('14_HardRequirementResults'!$F$2:$F$1000,MATCH(1,INDEX(('14_HardRequirementResults'!$B$2:$B$1000=$H23)*('14_HardRequirementResults'!$C$2:$C$1000=$N23),0),0)),""))</f>
        <v/>
      </c>
    </row>
    <row r="24" ht="45" customHeight="1">
      <c r="A24" s="6">
        <f>IF($H24="","",RANK($D24,$D$6:$D$25,0))</f>
        <v/>
      </c>
      <c r="B24" s="6">
        <f>IF($H24="","",$I24&amp;" "&amp;$J24&amp;" ("&amp;$K24&amp;")")</f>
        <v/>
      </c>
      <c r="C24" s="6">
        <f>IFERROR(INDEX('03_Configurations'!$G$2:$G$1000,MATCH($H24,'03_Configurations'!$A$2:$A$1000,0)),"")</f>
        <v/>
      </c>
      <c r="D24" s="6">
        <f>IFERROR(INDEX('12_OverallScores'!$D$2:$D$1000,MATCH($H24,'12_OverallScores'!$B$2:$B$1000,0)),"")</f>
        <v/>
      </c>
      <c r="E24" s="6">
        <f>IFERROR(INDEX('12_OverallScores'!$E$2:$E$1000,MATCH($H24,'12_OverallScores'!$B$2:$B$1000,0)),"")</f>
        <v/>
      </c>
      <c r="F24" s="6">
        <f>IF($H24="","",IF($L24&gt;0,IF(IFERROR(INDEX('03_Configurations'!$I$2:$I$1000,MATCH($H24,'03_Configurations'!$A$2:$A$1000,0)),"FALSE")="TRUE","FAIL ("&amp;$N24&amp;") - kept, overridden","FAIL ("&amp;$N24&amp;") - excluded"),IF($M24&gt;0,"UNKNOWN","PASS")))</f>
        <v/>
      </c>
      <c r="G24" s="6" t="n"/>
      <c r="H24" s="6" t="n"/>
      <c r="I24" s="6">
        <f>IFERROR(INDEX('02_Vehicles'!$B$2:$B$1000,MATCH(INDEX('03_Configurations'!$B$2:$B$1000,MATCH($H24,'03_Configurations'!$A$2:$A$1000,0)),'02_Vehicles'!$A$2:$A$1000,0)),"")</f>
        <v/>
      </c>
      <c r="J24" s="6">
        <f>IFERROR(INDEX('02_Vehicles'!$C$2:$C$1000,MATCH(INDEX('03_Configurations'!$B$2:$B$1000,MATCH($H24,'03_Configurations'!$A$2:$A$1000,0)),'02_Vehicles'!$A$2:$A$1000,0)),"")</f>
        <v/>
      </c>
      <c r="K24" s="6">
        <f>IFERROR(INDEX('03_Configurations'!$E$2:$E$1000,MATCH($H24,'03_Configurations'!$A$2:$A$1000,0)),"")</f>
        <v/>
      </c>
      <c r="L24" s="6">
        <f>IF($H24="","",COUNTIFS('14_HardRequirementResults'!$B$2:$B$1000,$H24,'14_HardRequirementResults'!$D$2:$D$1000,"FAIL"))</f>
        <v/>
      </c>
      <c r="M24" s="6">
        <f>IF($H24="","",COUNTIFS('14_HardRequirementResults'!$B$2:$B$1000,$H24,'14_HardRequirementResults'!$D$2:$D$1000,"UNKNOWN"))</f>
        <v/>
      </c>
      <c r="N24" s="6">
        <f>IF($L24="","",IF($L24&gt;0,IFERROR(INDEX('14_HardRequirementResults'!$C$2:$C$1000,MATCH(1,INDEX(('14_HardRequirementResults'!$B$2:$B$1000=$H24)*('14_HardRequirementResults'!$D$2:$D$1000="FAIL"),0),0)),""),""))</f>
        <v/>
      </c>
      <c r="R24" s="11">
        <f>IF($N24="","",IFERROR(INDEX('14_HardRequirementResults'!$F$2:$F$1000,MATCH(1,INDEX(('14_HardRequirementResults'!$B$2:$B$1000=$H24)*('14_HardRequirementResults'!$C$2:$C$1000=$N24),0),0)),""))</f>
        <v/>
      </c>
    </row>
    <row r="25" ht="45" customHeight="1">
      <c r="A25" s="6">
        <f>IF($H25="","",RANK($D25,$D$6:$D$25,0))</f>
        <v/>
      </c>
      <c r="B25" s="6">
        <f>IF($H25="","",$I25&amp;" "&amp;$J25&amp;" ("&amp;$K25&amp;")")</f>
        <v/>
      </c>
      <c r="C25" s="6">
        <f>IFERROR(INDEX('03_Configurations'!$G$2:$G$1000,MATCH($H25,'03_Configurations'!$A$2:$A$1000,0)),"")</f>
        <v/>
      </c>
      <c r="D25" s="6">
        <f>IFERROR(INDEX('12_OverallScores'!$D$2:$D$1000,MATCH($H25,'12_OverallScores'!$B$2:$B$1000,0)),"")</f>
        <v/>
      </c>
      <c r="E25" s="6">
        <f>IFERROR(INDEX('12_OverallScores'!$E$2:$E$1000,MATCH($H25,'12_OverallScores'!$B$2:$B$1000,0)),"")</f>
        <v/>
      </c>
      <c r="F25" s="6">
        <f>IF($H25="","",IF($L25&gt;0,IF(IFERROR(INDEX('03_Configurations'!$I$2:$I$1000,MATCH($H25,'03_Configurations'!$A$2:$A$1000,0)),"FALSE")="TRUE","FAIL ("&amp;$N25&amp;") - kept, overridden","FAIL ("&amp;$N25&amp;") - excluded"),IF($M25&gt;0,"UNKNOWN","PASS")))</f>
        <v/>
      </c>
      <c r="G25" s="6" t="n"/>
      <c r="H25" s="6" t="n"/>
      <c r="I25" s="6">
        <f>IFERROR(INDEX('02_Vehicles'!$B$2:$B$1000,MATCH(INDEX('03_Configurations'!$B$2:$B$1000,MATCH($H25,'03_Configurations'!$A$2:$A$1000,0)),'02_Vehicles'!$A$2:$A$1000,0)),"")</f>
        <v/>
      </c>
      <c r="J25" s="6">
        <f>IFERROR(INDEX('02_Vehicles'!$C$2:$C$1000,MATCH(INDEX('03_Configurations'!$B$2:$B$1000,MATCH($H25,'03_Configurations'!$A$2:$A$1000,0)),'02_Vehicles'!$A$2:$A$1000,0)),"")</f>
        <v/>
      </c>
      <c r="K25" s="6">
        <f>IFERROR(INDEX('03_Configurations'!$E$2:$E$1000,MATCH($H25,'03_Configurations'!$A$2:$A$1000,0)),"")</f>
        <v/>
      </c>
      <c r="L25" s="6">
        <f>IF($H25="","",COUNTIFS('14_HardRequirementResults'!$B$2:$B$1000,$H25,'14_HardRequirementResults'!$D$2:$D$1000,"FAIL"))</f>
        <v/>
      </c>
      <c r="M25" s="6">
        <f>IF($H25="","",COUNTIFS('14_HardRequirementResults'!$B$2:$B$1000,$H25,'14_HardRequirementResults'!$D$2:$D$1000,"UNKNOWN"))</f>
        <v/>
      </c>
      <c r="N25" s="6">
        <f>IF($L25="","",IF($L25&gt;0,IFERROR(INDEX('14_HardRequirementResults'!$C$2:$C$1000,MATCH(1,INDEX(('14_HardRequirementResults'!$B$2:$B$1000=$H25)*('14_HardRequirementResults'!$D$2:$D$1000="FAIL"),0),0)),""),""))</f>
        <v/>
      </c>
      <c r="R25" s="11">
        <f>IF($N25="","",IFERROR(INDEX('14_HardRequirementResults'!$F$2:$F$1000,MATCH(1,INDEX(('14_HardRequirementResults'!$B$2:$B$1000=$H25)*('14_HardRequirementResults'!$C$2:$C$1000=$N25),0),0)),""))</f>
        <v/>
      </c>
    </row>
    <row r="27">
      <c r="A27" s="4" t="inlineStr">
        <is>
          <t>2. Category Breakdown (WeightedScore sum per Category)</t>
        </is>
      </c>
    </row>
    <row r="28">
      <c r="A28" s="1" t="inlineStr">
        <is>
          <t>Configuration</t>
        </is>
      </c>
      <c r="B28" s="1" t="inlineStr">
        <is>
          <t>Kjøreopplevelse</t>
        </is>
      </c>
      <c r="C28" s="1" t="inlineStr">
        <is>
          <t>Teknologi</t>
        </is>
      </c>
      <c r="D28" s="1" t="inlineStr">
        <is>
          <t>Opplevd kvalitet</t>
        </is>
      </c>
      <c r="E28" s="1" t="inlineStr">
        <is>
          <t>Langtidseierskap</t>
        </is>
      </c>
      <c r="F28" s="1" t="inlineStr">
        <is>
          <t>Økonomi</t>
        </is>
      </c>
      <c r="G28" s="1" t="inlineStr">
        <is>
          <t>Praktisk bruk</t>
        </is>
      </c>
      <c r="H28" s="1" t="inlineStr">
        <is>
          <t>Garasje</t>
        </is>
      </c>
      <c r="I28" s="1" t="inlineStr">
        <is>
          <t>Rekkevidde/lading</t>
        </is>
      </c>
      <c r="J28" s="5" t="inlineStr">
        <is>
          <t>ConfigurationID</t>
        </is>
      </c>
    </row>
    <row r="29">
      <c r="A29" s="6">
        <f>IF($J29="","",$J29)</f>
        <v/>
      </c>
      <c r="B29" s="6">
        <f>IF($J29="","",IFERROR(SUMPRODUCT(('10_Scoring'!$B$2:$B$1000=$J29)*('10_Scoring'!$E$2:$E$1000=INDEX('12_OverallScores'!$C$2:$C$1000,MATCH($J29,'12_OverallScores'!$B$2:$B$1000,0)))*(IFERROR(INDEX('01_Criteria'!$B$2:$B$1000,MATCH('10_Scoring'!$C$2:$C$1000,'01_Criteria'!$A$2:$A$1000,0)),"")=B$28)*'10_Scoring'!$G$2:$G$1000),0))</f>
        <v/>
      </c>
      <c r="C29" s="6">
        <f>IF($J29="","",IFERROR(SUMPRODUCT(('10_Scoring'!$B$2:$B$1000=$J29)*('10_Scoring'!$E$2:$E$1000=INDEX('12_OverallScores'!$C$2:$C$1000,MATCH($J29,'12_OverallScores'!$B$2:$B$1000,0)))*(IFERROR(INDEX('01_Criteria'!$B$2:$B$1000,MATCH('10_Scoring'!$C$2:$C$1000,'01_Criteria'!$A$2:$A$1000,0)),"")=C$28)*'10_Scoring'!$G$2:$G$1000),0))</f>
        <v/>
      </c>
      <c r="D29" s="6">
        <f>IF($J29="","",IFERROR(SUMPRODUCT(('10_Scoring'!$B$2:$B$1000=$J29)*('10_Scoring'!$E$2:$E$1000=INDEX('12_OverallScores'!$C$2:$C$1000,MATCH($J29,'12_OverallScores'!$B$2:$B$1000,0)))*(IFERROR(INDEX('01_Criteria'!$B$2:$B$1000,MATCH('10_Scoring'!$C$2:$C$1000,'01_Criteria'!$A$2:$A$1000,0)),"")=D$28)*'10_Scoring'!$G$2:$G$1000),0))</f>
        <v/>
      </c>
      <c r="E29" s="6">
        <f>IF($J29="","",IFERROR(SUMPRODUCT(('10_Scoring'!$B$2:$B$1000=$J29)*('10_Scoring'!$E$2:$E$1000=INDEX('12_OverallScores'!$C$2:$C$1000,MATCH($J29,'12_OverallScores'!$B$2:$B$1000,0)))*(IFERROR(INDEX('01_Criteria'!$B$2:$B$1000,MATCH('10_Scoring'!$C$2:$C$1000,'01_Criteria'!$A$2:$A$1000,0)),"")=E$28)*'10_Scoring'!$G$2:$G$1000),0))</f>
        <v/>
      </c>
      <c r="F29" s="6">
        <f>IF($J29="","",IFERROR(SUMPRODUCT(('10_Scoring'!$B$2:$B$1000=$J29)*('10_Scoring'!$E$2:$E$1000=INDEX('12_OverallScores'!$C$2:$C$1000,MATCH($J29,'12_OverallScores'!$B$2:$B$1000,0)))*(IFERROR(INDEX('01_Criteria'!$B$2:$B$1000,MATCH('10_Scoring'!$C$2:$C$1000,'01_Criteria'!$A$2:$A$1000,0)),"")=F$28)*'10_Scoring'!$G$2:$G$1000),0))</f>
        <v/>
      </c>
      <c r="G29" s="6">
        <f>IF($J29="","",IFERROR(SUMPRODUCT(('10_Scoring'!$B$2:$B$1000=$J29)*('10_Scoring'!$E$2:$E$1000=INDEX('12_OverallScores'!$C$2:$C$1000,MATCH($J29,'12_OverallScores'!$B$2:$B$1000,0)))*(IFERROR(INDEX('01_Criteria'!$B$2:$B$1000,MATCH('10_Scoring'!$C$2:$C$1000,'01_Criteria'!$A$2:$A$1000,0)),"")=G$28)*'10_Scoring'!$G$2:$G$1000),0))</f>
        <v/>
      </c>
      <c r="H29" s="6">
        <f>IF($J29="","",IFERROR(SUMPRODUCT(('10_Scoring'!$B$2:$B$1000=$J29)*('10_Scoring'!$E$2:$E$1000=INDEX('12_OverallScores'!$C$2:$C$1000,MATCH($J29,'12_OverallScores'!$B$2:$B$1000,0)))*(IFERROR(INDEX('01_Criteria'!$B$2:$B$1000,MATCH('10_Scoring'!$C$2:$C$1000,'01_Criteria'!$A$2:$A$1000,0)),"")=H$28)*'10_Scoring'!$G$2:$G$1000),0))</f>
        <v/>
      </c>
      <c r="I29" s="6">
        <f>IF($J29="","",IFERROR(SUMPRODUCT(('10_Scoring'!$B$2:$B$1000=$J29)*('10_Scoring'!$E$2:$E$1000=INDEX('12_OverallScores'!$C$2:$C$1000,MATCH($J29,'12_OverallScores'!$B$2:$B$1000,0)))*(IFERROR(INDEX('01_Criteria'!$B$2:$B$1000,MATCH('10_Scoring'!$C$2:$C$1000,'01_Criteria'!$A$2:$A$1000,0)),"")=I$28)*'10_Scoring'!$G$2:$G$1000),0))</f>
        <v/>
      </c>
      <c r="J29" s="6" t="inlineStr">
        <is>
          <t>TESLA_MODEL_3_LONG_RANGE_RWD</t>
        </is>
      </c>
    </row>
    <row r="30">
      <c r="A30" s="6">
        <f>IF($J30="","",$J30)</f>
        <v/>
      </c>
      <c r="B30" s="6">
        <f>IF($J30="","",IFERROR(SUMPRODUCT(('10_Scoring'!$B$2:$B$1000=$J30)*('10_Scoring'!$E$2:$E$1000=INDEX('12_OverallScores'!$C$2:$C$1000,MATCH($J30,'12_OverallScores'!$B$2:$B$1000,0)))*(IFERROR(INDEX('01_Criteria'!$B$2:$B$1000,MATCH('10_Scoring'!$C$2:$C$1000,'01_Criteria'!$A$2:$A$1000,0)),"")=B$28)*'10_Scoring'!$G$2:$G$1000),0))</f>
        <v/>
      </c>
      <c r="C30" s="6">
        <f>IF($J30="","",IFERROR(SUMPRODUCT(('10_Scoring'!$B$2:$B$1000=$J30)*('10_Scoring'!$E$2:$E$1000=INDEX('12_OverallScores'!$C$2:$C$1000,MATCH($J30,'12_OverallScores'!$B$2:$B$1000,0)))*(IFERROR(INDEX('01_Criteria'!$B$2:$B$1000,MATCH('10_Scoring'!$C$2:$C$1000,'01_Criteria'!$A$2:$A$1000,0)),"")=C$28)*'10_Scoring'!$G$2:$G$1000),0))</f>
        <v/>
      </c>
      <c r="D30" s="6">
        <f>IF($J30="","",IFERROR(SUMPRODUCT(('10_Scoring'!$B$2:$B$1000=$J30)*('10_Scoring'!$E$2:$E$1000=INDEX('12_OverallScores'!$C$2:$C$1000,MATCH($J30,'12_OverallScores'!$B$2:$B$1000,0)))*(IFERROR(INDEX('01_Criteria'!$B$2:$B$1000,MATCH('10_Scoring'!$C$2:$C$1000,'01_Criteria'!$A$2:$A$1000,0)),"")=D$28)*'10_Scoring'!$G$2:$G$1000),0))</f>
        <v/>
      </c>
      <c r="E30" s="6">
        <f>IF($J30="","",IFERROR(SUMPRODUCT(('10_Scoring'!$B$2:$B$1000=$J30)*('10_Scoring'!$E$2:$E$1000=INDEX('12_OverallScores'!$C$2:$C$1000,MATCH($J30,'12_OverallScores'!$B$2:$B$1000,0)))*(IFERROR(INDEX('01_Criteria'!$B$2:$B$1000,MATCH('10_Scoring'!$C$2:$C$1000,'01_Criteria'!$A$2:$A$1000,0)),"")=E$28)*'10_Scoring'!$G$2:$G$1000),0))</f>
        <v/>
      </c>
      <c r="F30" s="6">
        <f>IF($J30="","",IFERROR(SUMPRODUCT(('10_Scoring'!$B$2:$B$1000=$J30)*('10_Scoring'!$E$2:$E$1000=INDEX('12_OverallScores'!$C$2:$C$1000,MATCH($J30,'12_OverallScores'!$B$2:$B$1000,0)))*(IFERROR(INDEX('01_Criteria'!$B$2:$B$1000,MATCH('10_Scoring'!$C$2:$C$1000,'01_Criteria'!$A$2:$A$1000,0)),"")=F$28)*'10_Scoring'!$G$2:$G$1000),0))</f>
        <v/>
      </c>
      <c r="G30" s="6">
        <f>IF($J30="","",IFERROR(SUMPRODUCT(('10_Scoring'!$B$2:$B$1000=$J30)*('10_Scoring'!$E$2:$E$1000=INDEX('12_OverallScores'!$C$2:$C$1000,MATCH($J30,'12_OverallScores'!$B$2:$B$1000,0)))*(IFERROR(INDEX('01_Criteria'!$B$2:$B$1000,MATCH('10_Scoring'!$C$2:$C$1000,'01_Criteria'!$A$2:$A$1000,0)),"")=G$28)*'10_Scoring'!$G$2:$G$1000),0))</f>
        <v/>
      </c>
      <c r="H30" s="6">
        <f>IF($J30="","",IFERROR(SUMPRODUCT(('10_Scoring'!$B$2:$B$1000=$J30)*('10_Scoring'!$E$2:$E$1000=INDEX('12_OverallScores'!$C$2:$C$1000,MATCH($J30,'12_OverallScores'!$B$2:$B$1000,0)))*(IFERROR(INDEX('01_Criteria'!$B$2:$B$1000,MATCH('10_Scoring'!$C$2:$C$1000,'01_Criteria'!$A$2:$A$1000,0)),"")=H$28)*'10_Scoring'!$G$2:$G$1000),0))</f>
        <v/>
      </c>
      <c r="I30" s="6">
        <f>IF($J30="","",IFERROR(SUMPRODUCT(('10_Scoring'!$B$2:$B$1000=$J30)*('10_Scoring'!$E$2:$E$1000=INDEX('12_OverallScores'!$C$2:$C$1000,MATCH($J30,'12_OverallScores'!$B$2:$B$1000,0)))*(IFERROR(INDEX('01_Criteria'!$B$2:$B$1000,MATCH('10_Scoring'!$C$2:$C$1000,'01_Criteria'!$A$2:$A$1000,0)),"")=I$28)*'10_Scoring'!$G$2:$G$1000),0))</f>
        <v/>
      </c>
      <c r="J30" s="6" t="inlineStr">
        <is>
          <t>RENAULT_4_TECHNO</t>
        </is>
      </c>
    </row>
    <row r="31">
      <c r="A31" s="6">
        <f>IF($J31="","",$J31)</f>
        <v/>
      </c>
      <c r="B31" s="6">
        <f>IF($J31="","",IFERROR(SUMPRODUCT(('10_Scoring'!$B$2:$B$1000=$J31)*('10_Scoring'!$E$2:$E$1000=INDEX('12_OverallScores'!$C$2:$C$1000,MATCH($J31,'12_OverallScores'!$B$2:$B$1000,0)))*(IFERROR(INDEX('01_Criteria'!$B$2:$B$1000,MATCH('10_Scoring'!$C$2:$C$1000,'01_Criteria'!$A$2:$A$1000,0)),"")=B$28)*'10_Scoring'!$G$2:$G$1000),0))</f>
        <v/>
      </c>
      <c r="C31" s="6">
        <f>IF($J31="","",IFERROR(SUMPRODUCT(('10_Scoring'!$B$2:$B$1000=$J31)*('10_Scoring'!$E$2:$E$1000=INDEX('12_OverallScores'!$C$2:$C$1000,MATCH($J31,'12_OverallScores'!$B$2:$B$1000,0)))*(IFERROR(INDEX('01_Criteria'!$B$2:$B$1000,MATCH('10_Scoring'!$C$2:$C$1000,'01_Criteria'!$A$2:$A$1000,0)),"")=C$28)*'10_Scoring'!$G$2:$G$1000),0))</f>
        <v/>
      </c>
      <c r="D31" s="6">
        <f>IF($J31="","",IFERROR(SUMPRODUCT(('10_Scoring'!$B$2:$B$1000=$J31)*('10_Scoring'!$E$2:$E$1000=INDEX('12_OverallScores'!$C$2:$C$1000,MATCH($J31,'12_OverallScores'!$B$2:$B$1000,0)))*(IFERROR(INDEX('01_Criteria'!$B$2:$B$1000,MATCH('10_Scoring'!$C$2:$C$1000,'01_Criteria'!$A$2:$A$1000,0)),"")=D$28)*'10_Scoring'!$G$2:$G$1000),0))</f>
        <v/>
      </c>
      <c r="E31" s="6">
        <f>IF($J31="","",IFERROR(SUMPRODUCT(('10_Scoring'!$B$2:$B$1000=$J31)*('10_Scoring'!$E$2:$E$1000=INDEX('12_OverallScores'!$C$2:$C$1000,MATCH($J31,'12_OverallScores'!$B$2:$B$1000,0)))*(IFERROR(INDEX('01_Criteria'!$B$2:$B$1000,MATCH('10_Scoring'!$C$2:$C$1000,'01_Criteria'!$A$2:$A$1000,0)),"")=E$28)*'10_Scoring'!$G$2:$G$1000),0))</f>
        <v/>
      </c>
      <c r="F31" s="6">
        <f>IF($J31="","",IFERROR(SUMPRODUCT(('10_Scoring'!$B$2:$B$1000=$J31)*('10_Scoring'!$E$2:$E$1000=INDEX('12_OverallScores'!$C$2:$C$1000,MATCH($J31,'12_OverallScores'!$B$2:$B$1000,0)))*(IFERROR(INDEX('01_Criteria'!$B$2:$B$1000,MATCH('10_Scoring'!$C$2:$C$1000,'01_Criteria'!$A$2:$A$1000,0)),"")=F$28)*'10_Scoring'!$G$2:$G$1000),0))</f>
        <v/>
      </c>
      <c r="G31" s="6">
        <f>IF($J31="","",IFERROR(SUMPRODUCT(('10_Scoring'!$B$2:$B$1000=$J31)*('10_Scoring'!$E$2:$E$1000=INDEX('12_OverallScores'!$C$2:$C$1000,MATCH($J31,'12_OverallScores'!$B$2:$B$1000,0)))*(IFERROR(INDEX('01_Criteria'!$B$2:$B$1000,MATCH('10_Scoring'!$C$2:$C$1000,'01_Criteria'!$A$2:$A$1000,0)),"")=G$28)*'10_Scoring'!$G$2:$G$1000),0))</f>
        <v/>
      </c>
      <c r="H31" s="6">
        <f>IF($J31="","",IFERROR(SUMPRODUCT(('10_Scoring'!$B$2:$B$1000=$J31)*('10_Scoring'!$E$2:$E$1000=INDEX('12_OverallScores'!$C$2:$C$1000,MATCH($J31,'12_OverallScores'!$B$2:$B$1000,0)))*(IFERROR(INDEX('01_Criteria'!$B$2:$B$1000,MATCH('10_Scoring'!$C$2:$C$1000,'01_Criteria'!$A$2:$A$1000,0)),"")=H$28)*'10_Scoring'!$G$2:$G$1000),0))</f>
        <v/>
      </c>
      <c r="I31" s="6">
        <f>IF($J31="","",IFERROR(SUMPRODUCT(('10_Scoring'!$B$2:$B$1000=$J31)*('10_Scoring'!$E$2:$E$1000=INDEX('12_OverallScores'!$C$2:$C$1000,MATCH($J31,'12_OverallScores'!$B$2:$B$1000,0)))*(IFERROR(INDEX('01_Criteria'!$B$2:$B$1000,MATCH('10_Scoring'!$C$2:$C$1000,'01_Criteria'!$A$2:$A$1000,0)),"")=I$28)*'10_Scoring'!$G$2:$G$1000),0))</f>
        <v/>
      </c>
      <c r="J31" s="6" t="inlineStr">
        <is>
          <t>SKODA_ELROQ_SELECTION_60</t>
        </is>
      </c>
    </row>
    <row r="32">
      <c r="A32" s="6">
        <f>IF($J32="","",$J32)</f>
        <v/>
      </c>
      <c r="B32" s="6">
        <f>IF($J32="","",IFERROR(SUMPRODUCT(('10_Scoring'!$B$2:$B$1000=$J32)*('10_Scoring'!$E$2:$E$1000=INDEX('12_OverallScores'!$C$2:$C$1000,MATCH($J32,'12_OverallScores'!$B$2:$B$1000,0)))*(IFERROR(INDEX('01_Criteria'!$B$2:$B$1000,MATCH('10_Scoring'!$C$2:$C$1000,'01_Criteria'!$A$2:$A$1000,0)),"")=B$28)*'10_Scoring'!$G$2:$G$1000),0))</f>
        <v/>
      </c>
      <c r="C32" s="6">
        <f>IF($J32="","",IFERROR(SUMPRODUCT(('10_Scoring'!$B$2:$B$1000=$J32)*('10_Scoring'!$E$2:$E$1000=INDEX('12_OverallScores'!$C$2:$C$1000,MATCH($J32,'12_OverallScores'!$B$2:$B$1000,0)))*(IFERROR(INDEX('01_Criteria'!$B$2:$B$1000,MATCH('10_Scoring'!$C$2:$C$1000,'01_Criteria'!$A$2:$A$1000,0)),"")=C$28)*'10_Scoring'!$G$2:$G$1000),0))</f>
        <v/>
      </c>
      <c r="D32" s="6">
        <f>IF($J32="","",IFERROR(SUMPRODUCT(('10_Scoring'!$B$2:$B$1000=$J32)*('10_Scoring'!$E$2:$E$1000=INDEX('12_OverallScores'!$C$2:$C$1000,MATCH($J32,'12_OverallScores'!$B$2:$B$1000,0)))*(IFERROR(INDEX('01_Criteria'!$B$2:$B$1000,MATCH('10_Scoring'!$C$2:$C$1000,'01_Criteria'!$A$2:$A$1000,0)),"")=D$28)*'10_Scoring'!$G$2:$G$1000),0))</f>
        <v/>
      </c>
      <c r="E32" s="6">
        <f>IF($J32="","",IFERROR(SUMPRODUCT(('10_Scoring'!$B$2:$B$1000=$J32)*('10_Scoring'!$E$2:$E$1000=INDEX('12_OverallScores'!$C$2:$C$1000,MATCH($J32,'12_OverallScores'!$B$2:$B$1000,0)))*(IFERROR(INDEX('01_Criteria'!$B$2:$B$1000,MATCH('10_Scoring'!$C$2:$C$1000,'01_Criteria'!$A$2:$A$1000,0)),"")=E$28)*'10_Scoring'!$G$2:$G$1000),0))</f>
        <v/>
      </c>
      <c r="F32" s="6">
        <f>IF($J32="","",IFERROR(SUMPRODUCT(('10_Scoring'!$B$2:$B$1000=$J32)*('10_Scoring'!$E$2:$E$1000=INDEX('12_OverallScores'!$C$2:$C$1000,MATCH($J32,'12_OverallScores'!$B$2:$B$1000,0)))*(IFERROR(INDEX('01_Criteria'!$B$2:$B$1000,MATCH('10_Scoring'!$C$2:$C$1000,'01_Criteria'!$A$2:$A$1000,0)),"")=F$28)*'10_Scoring'!$G$2:$G$1000),0))</f>
        <v/>
      </c>
      <c r="G32" s="6">
        <f>IF($J32="","",IFERROR(SUMPRODUCT(('10_Scoring'!$B$2:$B$1000=$J32)*('10_Scoring'!$E$2:$E$1000=INDEX('12_OverallScores'!$C$2:$C$1000,MATCH($J32,'12_OverallScores'!$B$2:$B$1000,0)))*(IFERROR(INDEX('01_Criteria'!$B$2:$B$1000,MATCH('10_Scoring'!$C$2:$C$1000,'01_Criteria'!$A$2:$A$1000,0)),"")=G$28)*'10_Scoring'!$G$2:$G$1000),0))</f>
        <v/>
      </c>
      <c r="H32" s="6">
        <f>IF($J32="","",IFERROR(SUMPRODUCT(('10_Scoring'!$B$2:$B$1000=$J32)*('10_Scoring'!$E$2:$E$1000=INDEX('12_OverallScores'!$C$2:$C$1000,MATCH($J32,'12_OverallScores'!$B$2:$B$1000,0)))*(IFERROR(INDEX('01_Criteria'!$B$2:$B$1000,MATCH('10_Scoring'!$C$2:$C$1000,'01_Criteria'!$A$2:$A$1000,0)),"")=H$28)*'10_Scoring'!$G$2:$G$1000),0))</f>
        <v/>
      </c>
      <c r="I32" s="6">
        <f>IF($J32="","",IFERROR(SUMPRODUCT(('10_Scoring'!$B$2:$B$1000=$J32)*('10_Scoring'!$E$2:$E$1000=INDEX('12_OverallScores'!$C$2:$C$1000,MATCH($J32,'12_OverallScores'!$B$2:$B$1000,0)))*(IFERROR(INDEX('01_Criteria'!$B$2:$B$1000,MATCH('10_Scoring'!$C$2:$C$1000,'01_Criteria'!$A$2:$A$1000,0)),"")=I$28)*'10_Scoring'!$G$2:$G$1000),0))</f>
        <v/>
      </c>
      <c r="J32" s="6" t="inlineStr">
        <is>
          <t>VOLVO_EX30_P5_LONG_RANGE</t>
        </is>
      </c>
    </row>
    <row r="33">
      <c r="A33" s="6">
        <f>IF($J33="","",$J33)</f>
        <v/>
      </c>
      <c r="B33" s="6">
        <f>IF($J33="","",IFERROR(SUMPRODUCT(('10_Scoring'!$B$2:$B$1000=$J33)*('10_Scoring'!$E$2:$E$1000=INDEX('12_OverallScores'!$C$2:$C$1000,MATCH($J33,'12_OverallScores'!$B$2:$B$1000,0)))*(IFERROR(INDEX('01_Criteria'!$B$2:$B$1000,MATCH('10_Scoring'!$C$2:$C$1000,'01_Criteria'!$A$2:$A$1000,0)),"")=B$28)*'10_Scoring'!$G$2:$G$1000),0))</f>
        <v/>
      </c>
      <c r="C33" s="6">
        <f>IF($J33="","",IFERROR(SUMPRODUCT(('10_Scoring'!$B$2:$B$1000=$J33)*('10_Scoring'!$E$2:$E$1000=INDEX('12_OverallScores'!$C$2:$C$1000,MATCH($J33,'12_OverallScores'!$B$2:$B$1000,0)))*(IFERROR(INDEX('01_Criteria'!$B$2:$B$1000,MATCH('10_Scoring'!$C$2:$C$1000,'01_Criteria'!$A$2:$A$1000,0)),"")=C$28)*'10_Scoring'!$G$2:$G$1000),0))</f>
        <v/>
      </c>
      <c r="D33" s="6">
        <f>IF($J33="","",IFERROR(SUMPRODUCT(('10_Scoring'!$B$2:$B$1000=$J33)*('10_Scoring'!$E$2:$E$1000=INDEX('12_OverallScores'!$C$2:$C$1000,MATCH($J33,'12_OverallScores'!$B$2:$B$1000,0)))*(IFERROR(INDEX('01_Criteria'!$B$2:$B$1000,MATCH('10_Scoring'!$C$2:$C$1000,'01_Criteria'!$A$2:$A$1000,0)),"")=D$28)*'10_Scoring'!$G$2:$G$1000),0))</f>
        <v/>
      </c>
      <c r="E33" s="6">
        <f>IF($J33="","",IFERROR(SUMPRODUCT(('10_Scoring'!$B$2:$B$1000=$J33)*('10_Scoring'!$E$2:$E$1000=INDEX('12_OverallScores'!$C$2:$C$1000,MATCH($J33,'12_OverallScores'!$B$2:$B$1000,0)))*(IFERROR(INDEX('01_Criteria'!$B$2:$B$1000,MATCH('10_Scoring'!$C$2:$C$1000,'01_Criteria'!$A$2:$A$1000,0)),"")=E$28)*'10_Scoring'!$G$2:$G$1000),0))</f>
        <v/>
      </c>
      <c r="F33" s="6">
        <f>IF($J33="","",IFERROR(SUMPRODUCT(('10_Scoring'!$B$2:$B$1000=$J33)*('10_Scoring'!$E$2:$E$1000=INDEX('12_OverallScores'!$C$2:$C$1000,MATCH($J33,'12_OverallScores'!$B$2:$B$1000,0)))*(IFERROR(INDEX('01_Criteria'!$B$2:$B$1000,MATCH('10_Scoring'!$C$2:$C$1000,'01_Criteria'!$A$2:$A$1000,0)),"")=F$28)*'10_Scoring'!$G$2:$G$1000),0))</f>
        <v/>
      </c>
      <c r="G33" s="6">
        <f>IF($J33="","",IFERROR(SUMPRODUCT(('10_Scoring'!$B$2:$B$1000=$J33)*('10_Scoring'!$E$2:$E$1000=INDEX('12_OverallScores'!$C$2:$C$1000,MATCH($J33,'12_OverallScores'!$B$2:$B$1000,0)))*(IFERROR(INDEX('01_Criteria'!$B$2:$B$1000,MATCH('10_Scoring'!$C$2:$C$1000,'01_Criteria'!$A$2:$A$1000,0)),"")=G$28)*'10_Scoring'!$G$2:$G$1000),0))</f>
        <v/>
      </c>
      <c r="H33" s="6">
        <f>IF($J33="","",IFERROR(SUMPRODUCT(('10_Scoring'!$B$2:$B$1000=$J33)*('10_Scoring'!$E$2:$E$1000=INDEX('12_OverallScores'!$C$2:$C$1000,MATCH($J33,'12_OverallScores'!$B$2:$B$1000,0)))*(IFERROR(INDEX('01_Criteria'!$B$2:$B$1000,MATCH('10_Scoring'!$C$2:$C$1000,'01_Criteria'!$A$2:$A$1000,0)),"")=H$28)*'10_Scoring'!$G$2:$G$1000),0))</f>
        <v/>
      </c>
      <c r="I33" s="6">
        <f>IF($J33="","",IFERROR(SUMPRODUCT(('10_Scoring'!$B$2:$B$1000=$J33)*('10_Scoring'!$E$2:$E$1000=INDEX('12_OverallScores'!$C$2:$C$1000,MATCH($J33,'12_OverallScores'!$B$2:$B$1000,0)))*(IFERROR(INDEX('01_Criteria'!$B$2:$B$1000,MATCH('10_Scoring'!$C$2:$C$1000,'01_Criteria'!$A$2:$A$1000,0)),"")=I$28)*'10_Scoring'!$G$2:$G$1000),0))</f>
        <v/>
      </c>
      <c r="J33" s="6" t="inlineStr">
        <is>
          <t>KIA_EV2_FWD_LONG_RANGE_GT_LINE</t>
        </is>
      </c>
    </row>
    <row r="34">
      <c r="A34" s="6">
        <f>IF($J34="","",$J34)</f>
        <v/>
      </c>
      <c r="B34" s="6">
        <f>IF($J34="","",IFERROR(SUMPRODUCT(('10_Scoring'!$B$2:$B$1000=$J34)*('10_Scoring'!$E$2:$E$1000=INDEX('12_OverallScores'!$C$2:$C$1000,MATCH($J34,'12_OverallScores'!$B$2:$B$1000,0)))*(IFERROR(INDEX('01_Criteria'!$B$2:$B$1000,MATCH('10_Scoring'!$C$2:$C$1000,'01_Criteria'!$A$2:$A$1000,0)),"")=B$28)*'10_Scoring'!$G$2:$G$1000),0))</f>
        <v/>
      </c>
      <c r="C34" s="6">
        <f>IF($J34="","",IFERROR(SUMPRODUCT(('10_Scoring'!$B$2:$B$1000=$J34)*('10_Scoring'!$E$2:$E$1000=INDEX('12_OverallScores'!$C$2:$C$1000,MATCH($J34,'12_OverallScores'!$B$2:$B$1000,0)))*(IFERROR(INDEX('01_Criteria'!$B$2:$B$1000,MATCH('10_Scoring'!$C$2:$C$1000,'01_Criteria'!$A$2:$A$1000,0)),"")=C$28)*'10_Scoring'!$G$2:$G$1000),0))</f>
        <v/>
      </c>
      <c r="D34" s="6">
        <f>IF($J34="","",IFERROR(SUMPRODUCT(('10_Scoring'!$B$2:$B$1000=$J34)*('10_Scoring'!$E$2:$E$1000=INDEX('12_OverallScores'!$C$2:$C$1000,MATCH($J34,'12_OverallScores'!$B$2:$B$1000,0)))*(IFERROR(INDEX('01_Criteria'!$B$2:$B$1000,MATCH('10_Scoring'!$C$2:$C$1000,'01_Criteria'!$A$2:$A$1000,0)),"")=D$28)*'10_Scoring'!$G$2:$G$1000),0))</f>
        <v/>
      </c>
      <c r="E34" s="6">
        <f>IF($J34="","",IFERROR(SUMPRODUCT(('10_Scoring'!$B$2:$B$1000=$J34)*('10_Scoring'!$E$2:$E$1000=INDEX('12_OverallScores'!$C$2:$C$1000,MATCH($J34,'12_OverallScores'!$B$2:$B$1000,0)))*(IFERROR(INDEX('01_Criteria'!$B$2:$B$1000,MATCH('10_Scoring'!$C$2:$C$1000,'01_Criteria'!$A$2:$A$1000,0)),"")=E$28)*'10_Scoring'!$G$2:$G$1000),0))</f>
        <v/>
      </c>
      <c r="F34" s="6">
        <f>IF($J34="","",IFERROR(SUMPRODUCT(('10_Scoring'!$B$2:$B$1000=$J34)*('10_Scoring'!$E$2:$E$1000=INDEX('12_OverallScores'!$C$2:$C$1000,MATCH($J34,'12_OverallScores'!$B$2:$B$1000,0)))*(IFERROR(INDEX('01_Criteria'!$B$2:$B$1000,MATCH('10_Scoring'!$C$2:$C$1000,'01_Criteria'!$A$2:$A$1000,0)),"")=F$28)*'10_Scoring'!$G$2:$G$1000),0))</f>
        <v/>
      </c>
      <c r="G34" s="6">
        <f>IF($J34="","",IFERROR(SUMPRODUCT(('10_Scoring'!$B$2:$B$1000=$J34)*('10_Scoring'!$E$2:$E$1000=INDEX('12_OverallScores'!$C$2:$C$1000,MATCH($J34,'12_OverallScores'!$B$2:$B$1000,0)))*(IFERROR(INDEX('01_Criteria'!$B$2:$B$1000,MATCH('10_Scoring'!$C$2:$C$1000,'01_Criteria'!$A$2:$A$1000,0)),"")=G$28)*'10_Scoring'!$G$2:$G$1000),0))</f>
        <v/>
      </c>
      <c r="H34" s="6">
        <f>IF($J34="","",IFERROR(SUMPRODUCT(('10_Scoring'!$B$2:$B$1000=$J34)*('10_Scoring'!$E$2:$E$1000=INDEX('12_OverallScores'!$C$2:$C$1000,MATCH($J34,'12_OverallScores'!$B$2:$B$1000,0)))*(IFERROR(INDEX('01_Criteria'!$B$2:$B$1000,MATCH('10_Scoring'!$C$2:$C$1000,'01_Criteria'!$A$2:$A$1000,0)),"")=H$28)*'10_Scoring'!$G$2:$G$1000),0))</f>
        <v/>
      </c>
      <c r="I34" s="6">
        <f>IF($J34="","",IFERROR(SUMPRODUCT(('10_Scoring'!$B$2:$B$1000=$J34)*('10_Scoring'!$E$2:$E$1000=INDEX('12_OverallScores'!$C$2:$C$1000,MATCH($J34,'12_OverallScores'!$B$2:$B$1000,0)))*(IFERROR(INDEX('01_Criteria'!$B$2:$B$1000,MATCH('10_Scoring'!$C$2:$C$1000,'01_Criteria'!$A$2:$A$1000,0)),"")=I$28)*'10_Scoring'!$G$2:$G$1000),0))</f>
        <v/>
      </c>
      <c r="J34" s="6" t="inlineStr">
        <is>
          <t>BYD_ATTO3_DESIGN</t>
        </is>
      </c>
    </row>
    <row r="35">
      <c r="A35" s="6">
        <f>IF($J35="","",$J35)</f>
        <v/>
      </c>
      <c r="B35" s="6">
        <f>IF($J35="","",IFERROR(SUMPRODUCT(('10_Scoring'!$B$2:$B$1000=$J35)*('10_Scoring'!$E$2:$E$1000=INDEX('12_OverallScores'!$C$2:$C$1000,MATCH($J35,'12_OverallScores'!$B$2:$B$1000,0)))*(IFERROR(INDEX('01_Criteria'!$B$2:$B$1000,MATCH('10_Scoring'!$C$2:$C$1000,'01_Criteria'!$A$2:$A$1000,0)),"")=B$28)*'10_Scoring'!$G$2:$G$1000),0))</f>
        <v/>
      </c>
      <c r="C35" s="6">
        <f>IF($J35="","",IFERROR(SUMPRODUCT(('10_Scoring'!$B$2:$B$1000=$J35)*('10_Scoring'!$E$2:$E$1000=INDEX('12_OverallScores'!$C$2:$C$1000,MATCH($J35,'12_OverallScores'!$B$2:$B$1000,0)))*(IFERROR(INDEX('01_Criteria'!$B$2:$B$1000,MATCH('10_Scoring'!$C$2:$C$1000,'01_Criteria'!$A$2:$A$1000,0)),"")=C$28)*'10_Scoring'!$G$2:$G$1000),0))</f>
        <v/>
      </c>
      <c r="D35" s="6">
        <f>IF($J35="","",IFERROR(SUMPRODUCT(('10_Scoring'!$B$2:$B$1000=$J35)*('10_Scoring'!$E$2:$E$1000=INDEX('12_OverallScores'!$C$2:$C$1000,MATCH($J35,'12_OverallScores'!$B$2:$B$1000,0)))*(IFERROR(INDEX('01_Criteria'!$B$2:$B$1000,MATCH('10_Scoring'!$C$2:$C$1000,'01_Criteria'!$A$2:$A$1000,0)),"")=D$28)*'10_Scoring'!$G$2:$G$1000),0))</f>
        <v/>
      </c>
      <c r="E35" s="6">
        <f>IF($J35="","",IFERROR(SUMPRODUCT(('10_Scoring'!$B$2:$B$1000=$J35)*('10_Scoring'!$E$2:$E$1000=INDEX('12_OverallScores'!$C$2:$C$1000,MATCH($J35,'12_OverallScores'!$B$2:$B$1000,0)))*(IFERROR(INDEX('01_Criteria'!$B$2:$B$1000,MATCH('10_Scoring'!$C$2:$C$1000,'01_Criteria'!$A$2:$A$1000,0)),"")=E$28)*'10_Scoring'!$G$2:$G$1000),0))</f>
        <v/>
      </c>
      <c r="F35" s="6">
        <f>IF($J35="","",IFERROR(SUMPRODUCT(('10_Scoring'!$B$2:$B$1000=$J35)*('10_Scoring'!$E$2:$E$1000=INDEX('12_OverallScores'!$C$2:$C$1000,MATCH($J35,'12_OverallScores'!$B$2:$B$1000,0)))*(IFERROR(INDEX('01_Criteria'!$B$2:$B$1000,MATCH('10_Scoring'!$C$2:$C$1000,'01_Criteria'!$A$2:$A$1000,0)),"")=F$28)*'10_Scoring'!$G$2:$G$1000),0))</f>
        <v/>
      </c>
      <c r="G35" s="6">
        <f>IF($J35="","",IFERROR(SUMPRODUCT(('10_Scoring'!$B$2:$B$1000=$J35)*('10_Scoring'!$E$2:$E$1000=INDEX('12_OverallScores'!$C$2:$C$1000,MATCH($J35,'12_OverallScores'!$B$2:$B$1000,0)))*(IFERROR(INDEX('01_Criteria'!$B$2:$B$1000,MATCH('10_Scoring'!$C$2:$C$1000,'01_Criteria'!$A$2:$A$1000,0)),"")=G$28)*'10_Scoring'!$G$2:$G$1000),0))</f>
        <v/>
      </c>
      <c r="H35" s="6">
        <f>IF($J35="","",IFERROR(SUMPRODUCT(('10_Scoring'!$B$2:$B$1000=$J35)*('10_Scoring'!$E$2:$E$1000=INDEX('12_OverallScores'!$C$2:$C$1000,MATCH($J35,'12_OverallScores'!$B$2:$B$1000,0)))*(IFERROR(INDEX('01_Criteria'!$B$2:$B$1000,MATCH('10_Scoring'!$C$2:$C$1000,'01_Criteria'!$A$2:$A$1000,0)),"")=H$28)*'10_Scoring'!$G$2:$G$1000),0))</f>
        <v/>
      </c>
      <c r="I35" s="6">
        <f>IF($J35="","",IFERROR(SUMPRODUCT(('10_Scoring'!$B$2:$B$1000=$J35)*('10_Scoring'!$E$2:$E$1000=INDEX('12_OverallScores'!$C$2:$C$1000,MATCH($J35,'12_OverallScores'!$B$2:$B$1000,0)))*(IFERROR(INDEX('01_Criteria'!$B$2:$B$1000,MATCH('10_Scoring'!$C$2:$C$1000,'01_Criteria'!$A$2:$A$1000,0)),"")=I$28)*'10_Scoring'!$G$2:$G$1000),0))</f>
        <v/>
      </c>
      <c r="J35" s="6" t="inlineStr">
        <is>
          <t>SKODA_EPIQ_SELECTION_55_LAUNCH_EDITION</t>
        </is>
      </c>
    </row>
    <row r="36">
      <c r="A36" s="6">
        <f>IF($J36="","",$J36)</f>
        <v/>
      </c>
      <c r="B36" s="6">
        <f>IF($J36="","",IFERROR(SUMPRODUCT(('10_Scoring'!$B$2:$B$1000=$J36)*('10_Scoring'!$E$2:$E$1000=INDEX('12_OverallScores'!$C$2:$C$1000,MATCH($J36,'12_OverallScores'!$B$2:$B$1000,0)))*(IFERROR(INDEX('01_Criteria'!$B$2:$B$1000,MATCH('10_Scoring'!$C$2:$C$1000,'01_Criteria'!$A$2:$A$1000,0)),"")=B$28)*'10_Scoring'!$G$2:$G$1000),0))</f>
        <v/>
      </c>
      <c r="C36" s="6">
        <f>IF($J36="","",IFERROR(SUMPRODUCT(('10_Scoring'!$B$2:$B$1000=$J36)*('10_Scoring'!$E$2:$E$1000=INDEX('12_OverallScores'!$C$2:$C$1000,MATCH($J36,'12_OverallScores'!$B$2:$B$1000,0)))*(IFERROR(INDEX('01_Criteria'!$B$2:$B$1000,MATCH('10_Scoring'!$C$2:$C$1000,'01_Criteria'!$A$2:$A$1000,0)),"")=C$28)*'10_Scoring'!$G$2:$G$1000),0))</f>
        <v/>
      </c>
      <c r="D36" s="6">
        <f>IF($J36="","",IFERROR(SUMPRODUCT(('10_Scoring'!$B$2:$B$1000=$J36)*('10_Scoring'!$E$2:$E$1000=INDEX('12_OverallScores'!$C$2:$C$1000,MATCH($J36,'12_OverallScores'!$B$2:$B$1000,0)))*(IFERROR(INDEX('01_Criteria'!$B$2:$B$1000,MATCH('10_Scoring'!$C$2:$C$1000,'01_Criteria'!$A$2:$A$1000,0)),"")=D$28)*'10_Scoring'!$G$2:$G$1000),0))</f>
        <v/>
      </c>
      <c r="E36" s="6">
        <f>IF($J36="","",IFERROR(SUMPRODUCT(('10_Scoring'!$B$2:$B$1000=$J36)*('10_Scoring'!$E$2:$E$1000=INDEX('12_OverallScores'!$C$2:$C$1000,MATCH($J36,'12_OverallScores'!$B$2:$B$1000,0)))*(IFERROR(INDEX('01_Criteria'!$B$2:$B$1000,MATCH('10_Scoring'!$C$2:$C$1000,'01_Criteria'!$A$2:$A$1000,0)),"")=E$28)*'10_Scoring'!$G$2:$G$1000),0))</f>
        <v/>
      </c>
      <c r="F36" s="6">
        <f>IF($J36="","",IFERROR(SUMPRODUCT(('10_Scoring'!$B$2:$B$1000=$J36)*('10_Scoring'!$E$2:$E$1000=INDEX('12_OverallScores'!$C$2:$C$1000,MATCH($J36,'12_OverallScores'!$B$2:$B$1000,0)))*(IFERROR(INDEX('01_Criteria'!$B$2:$B$1000,MATCH('10_Scoring'!$C$2:$C$1000,'01_Criteria'!$A$2:$A$1000,0)),"")=F$28)*'10_Scoring'!$G$2:$G$1000),0))</f>
        <v/>
      </c>
      <c r="G36" s="6">
        <f>IF($J36="","",IFERROR(SUMPRODUCT(('10_Scoring'!$B$2:$B$1000=$J36)*('10_Scoring'!$E$2:$E$1000=INDEX('12_OverallScores'!$C$2:$C$1000,MATCH($J36,'12_OverallScores'!$B$2:$B$1000,0)))*(IFERROR(INDEX('01_Criteria'!$B$2:$B$1000,MATCH('10_Scoring'!$C$2:$C$1000,'01_Criteria'!$A$2:$A$1000,0)),"")=G$28)*'10_Scoring'!$G$2:$G$1000),0))</f>
        <v/>
      </c>
      <c r="H36" s="6">
        <f>IF($J36="","",IFERROR(SUMPRODUCT(('10_Scoring'!$B$2:$B$1000=$J36)*('10_Scoring'!$E$2:$E$1000=INDEX('12_OverallScores'!$C$2:$C$1000,MATCH($J36,'12_OverallScores'!$B$2:$B$1000,0)))*(IFERROR(INDEX('01_Criteria'!$B$2:$B$1000,MATCH('10_Scoring'!$C$2:$C$1000,'01_Criteria'!$A$2:$A$1000,0)),"")=H$28)*'10_Scoring'!$G$2:$G$1000),0))</f>
        <v/>
      </c>
      <c r="I36" s="6">
        <f>IF($J36="","",IFERROR(SUMPRODUCT(('10_Scoring'!$B$2:$B$1000=$J36)*('10_Scoring'!$E$2:$E$1000=INDEX('12_OverallScores'!$C$2:$C$1000,MATCH($J36,'12_OverallScores'!$B$2:$B$1000,0)))*(IFERROR(INDEX('01_Criteria'!$B$2:$B$1000,MATCH('10_Scoring'!$C$2:$C$1000,'01_Criteria'!$A$2:$A$1000,0)),"")=I$28)*'10_Scoring'!$G$2:$G$1000),0))</f>
        <v/>
      </c>
      <c r="J36" s="6" t="n"/>
    </row>
    <row r="37">
      <c r="A37" s="6">
        <f>IF($J37="","",$J37)</f>
        <v/>
      </c>
      <c r="B37" s="6">
        <f>IF($J37="","",IFERROR(SUMPRODUCT(('10_Scoring'!$B$2:$B$1000=$J37)*('10_Scoring'!$E$2:$E$1000=INDEX('12_OverallScores'!$C$2:$C$1000,MATCH($J37,'12_OverallScores'!$B$2:$B$1000,0)))*(IFERROR(INDEX('01_Criteria'!$B$2:$B$1000,MATCH('10_Scoring'!$C$2:$C$1000,'01_Criteria'!$A$2:$A$1000,0)),"")=B$28)*'10_Scoring'!$G$2:$G$1000),0))</f>
        <v/>
      </c>
      <c r="C37" s="6">
        <f>IF($J37="","",IFERROR(SUMPRODUCT(('10_Scoring'!$B$2:$B$1000=$J37)*('10_Scoring'!$E$2:$E$1000=INDEX('12_OverallScores'!$C$2:$C$1000,MATCH($J37,'12_OverallScores'!$B$2:$B$1000,0)))*(IFERROR(INDEX('01_Criteria'!$B$2:$B$1000,MATCH('10_Scoring'!$C$2:$C$1000,'01_Criteria'!$A$2:$A$1000,0)),"")=C$28)*'10_Scoring'!$G$2:$G$1000),0))</f>
        <v/>
      </c>
      <c r="D37" s="6">
        <f>IF($J37="","",IFERROR(SUMPRODUCT(('10_Scoring'!$B$2:$B$1000=$J37)*('10_Scoring'!$E$2:$E$1000=INDEX('12_OverallScores'!$C$2:$C$1000,MATCH($J37,'12_OverallScores'!$B$2:$B$1000,0)))*(IFERROR(INDEX('01_Criteria'!$B$2:$B$1000,MATCH('10_Scoring'!$C$2:$C$1000,'01_Criteria'!$A$2:$A$1000,0)),"")=D$28)*'10_Scoring'!$G$2:$G$1000),0))</f>
        <v/>
      </c>
      <c r="E37" s="6">
        <f>IF($J37="","",IFERROR(SUMPRODUCT(('10_Scoring'!$B$2:$B$1000=$J37)*('10_Scoring'!$E$2:$E$1000=INDEX('12_OverallScores'!$C$2:$C$1000,MATCH($J37,'12_OverallScores'!$B$2:$B$1000,0)))*(IFERROR(INDEX('01_Criteria'!$B$2:$B$1000,MATCH('10_Scoring'!$C$2:$C$1000,'01_Criteria'!$A$2:$A$1000,0)),"")=E$28)*'10_Scoring'!$G$2:$G$1000),0))</f>
        <v/>
      </c>
      <c r="F37" s="6">
        <f>IF($J37="","",IFERROR(SUMPRODUCT(('10_Scoring'!$B$2:$B$1000=$J37)*('10_Scoring'!$E$2:$E$1000=INDEX('12_OverallScores'!$C$2:$C$1000,MATCH($J37,'12_OverallScores'!$B$2:$B$1000,0)))*(IFERROR(INDEX('01_Criteria'!$B$2:$B$1000,MATCH('10_Scoring'!$C$2:$C$1000,'01_Criteria'!$A$2:$A$1000,0)),"")=F$28)*'10_Scoring'!$G$2:$G$1000),0))</f>
        <v/>
      </c>
      <c r="G37" s="6">
        <f>IF($J37="","",IFERROR(SUMPRODUCT(('10_Scoring'!$B$2:$B$1000=$J37)*('10_Scoring'!$E$2:$E$1000=INDEX('12_OverallScores'!$C$2:$C$1000,MATCH($J37,'12_OverallScores'!$B$2:$B$1000,0)))*(IFERROR(INDEX('01_Criteria'!$B$2:$B$1000,MATCH('10_Scoring'!$C$2:$C$1000,'01_Criteria'!$A$2:$A$1000,0)),"")=G$28)*'10_Scoring'!$G$2:$G$1000),0))</f>
        <v/>
      </c>
      <c r="H37" s="6">
        <f>IF($J37="","",IFERROR(SUMPRODUCT(('10_Scoring'!$B$2:$B$1000=$J37)*('10_Scoring'!$E$2:$E$1000=INDEX('12_OverallScores'!$C$2:$C$1000,MATCH($J37,'12_OverallScores'!$B$2:$B$1000,0)))*(IFERROR(INDEX('01_Criteria'!$B$2:$B$1000,MATCH('10_Scoring'!$C$2:$C$1000,'01_Criteria'!$A$2:$A$1000,0)),"")=H$28)*'10_Scoring'!$G$2:$G$1000),0))</f>
        <v/>
      </c>
      <c r="I37" s="6">
        <f>IF($J37="","",IFERROR(SUMPRODUCT(('10_Scoring'!$B$2:$B$1000=$J37)*('10_Scoring'!$E$2:$E$1000=INDEX('12_OverallScores'!$C$2:$C$1000,MATCH($J37,'12_OverallScores'!$B$2:$B$1000,0)))*(IFERROR(INDEX('01_Criteria'!$B$2:$B$1000,MATCH('10_Scoring'!$C$2:$C$1000,'01_Criteria'!$A$2:$A$1000,0)),"")=I$28)*'10_Scoring'!$G$2:$G$1000),0))</f>
        <v/>
      </c>
      <c r="J37" s="6" t="n"/>
    </row>
    <row r="38">
      <c r="A38" s="6">
        <f>IF($J38="","",$J38)</f>
        <v/>
      </c>
      <c r="B38" s="6">
        <f>IF($J38="","",IFERROR(SUMPRODUCT(('10_Scoring'!$B$2:$B$1000=$J38)*('10_Scoring'!$E$2:$E$1000=INDEX('12_OverallScores'!$C$2:$C$1000,MATCH($J38,'12_OverallScores'!$B$2:$B$1000,0)))*(IFERROR(INDEX('01_Criteria'!$B$2:$B$1000,MATCH('10_Scoring'!$C$2:$C$1000,'01_Criteria'!$A$2:$A$1000,0)),"")=B$28)*'10_Scoring'!$G$2:$G$1000),0))</f>
        <v/>
      </c>
      <c r="C38" s="6">
        <f>IF($J38="","",IFERROR(SUMPRODUCT(('10_Scoring'!$B$2:$B$1000=$J38)*('10_Scoring'!$E$2:$E$1000=INDEX('12_OverallScores'!$C$2:$C$1000,MATCH($J38,'12_OverallScores'!$B$2:$B$1000,0)))*(IFERROR(INDEX('01_Criteria'!$B$2:$B$1000,MATCH('10_Scoring'!$C$2:$C$1000,'01_Criteria'!$A$2:$A$1000,0)),"")=C$28)*'10_Scoring'!$G$2:$G$1000),0))</f>
        <v/>
      </c>
      <c r="D38" s="6">
        <f>IF($J38="","",IFERROR(SUMPRODUCT(('10_Scoring'!$B$2:$B$1000=$J38)*('10_Scoring'!$E$2:$E$1000=INDEX('12_OverallScores'!$C$2:$C$1000,MATCH($J38,'12_OverallScores'!$B$2:$B$1000,0)))*(IFERROR(INDEX('01_Criteria'!$B$2:$B$1000,MATCH('10_Scoring'!$C$2:$C$1000,'01_Criteria'!$A$2:$A$1000,0)),"")=D$28)*'10_Scoring'!$G$2:$G$1000),0))</f>
        <v/>
      </c>
      <c r="E38" s="6">
        <f>IF($J38="","",IFERROR(SUMPRODUCT(('10_Scoring'!$B$2:$B$1000=$J38)*('10_Scoring'!$E$2:$E$1000=INDEX('12_OverallScores'!$C$2:$C$1000,MATCH($J38,'12_OverallScores'!$B$2:$B$1000,0)))*(IFERROR(INDEX('01_Criteria'!$B$2:$B$1000,MATCH('10_Scoring'!$C$2:$C$1000,'01_Criteria'!$A$2:$A$1000,0)),"")=E$28)*'10_Scoring'!$G$2:$G$1000),0))</f>
        <v/>
      </c>
      <c r="F38" s="6">
        <f>IF($J38="","",IFERROR(SUMPRODUCT(('10_Scoring'!$B$2:$B$1000=$J38)*('10_Scoring'!$E$2:$E$1000=INDEX('12_OverallScores'!$C$2:$C$1000,MATCH($J38,'12_OverallScores'!$B$2:$B$1000,0)))*(IFERROR(INDEX('01_Criteria'!$B$2:$B$1000,MATCH('10_Scoring'!$C$2:$C$1000,'01_Criteria'!$A$2:$A$1000,0)),"")=F$28)*'10_Scoring'!$G$2:$G$1000),0))</f>
        <v/>
      </c>
      <c r="G38" s="6">
        <f>IF($J38="","",IFERROR(SUMPRODUCT(('10_Scoring'!$B$2:$B$1000=$J38)*('10_Scoring'!$E$2:$E$1000=INDEX('12_OverallScores'!$C$2:$C$1000,MATCH($J38,'12_OverallScores'!$B$2:$B$1000,0)))*(IFERROR(INDEX('01_Criteria'!$B$2:$B$1000,MATCH('10_Scoring'!$C$2:$C$1000,'01_Criteria'!$A$2:$A$1000,0)),"")=G$28)*'10_Scoring'!$G$2:$G$1000),0))</f>
        <v/>
      </c>
      <c r="H38" s="6">
        <f>IF($J38="","",IFERROR(SUMPRODUCT(('10_Scoring'!$B$2:$B$1000=$J38)*('10_Scoring'!$E$2:$E$1000=INDEX('12_OverallScores'!$C$2:$C$1000,MATCH($J38,'12_OverallScores'!$B$2:$B$1000,0)))*(IFERROR(INDEX('01_Criteria'!$B$2:$B$1000,MATCH('10_Scoring'!$C$2:$C$1000,'01_Criteria'!$A$2:$A$1000,0)),"")=H$28)*'10_Scoring'!$G$2:$G$1000),0))</f>
        <v/>
      </c>
      <c r="I38" s="6">
        <f>IF($J38="","",IFERROR(SUMPRODUCT(('10_Scoring'!$B$2:$B$1000=$J38)*('10_Scoring'!$E$2:$E$1000=INDEX('12_OverallScores'!$C$2:$C$1000,MATCH($J38,'12_OverallScores'!$B$2:$B$1000,0)))*(IFERROR(INDEX('01_Criteria'!$B$2:$B$1000,MATCH('10_Scoring'!$C$2:$C$1000,'01_Criteria'!$A$2:$A$1000,0)),"")=I$28)*'10_Scoring'!$G$2:$G$1000),0))</f>
        <v/>
      </c>
      <c r="J38" s="6" t="n"/>
    </row>
    <row r="39">
      <c r="A39" s="6">
        <f>IF($J39="","",$J39)</f>
        <v/>
      </c>
      <c r="B39" s="6">
        <f>IF($J39="","",IFERROR(SUMPRODUCT(('10_Scoring'!$B$2:$B$1000=$J39)*('10_Scoring'!$E$2:$E$1000=INDEX('12_OverallScores'!$C$2:$C$1000,MATCH($J39,'12_OverallScores'!$B$2:$B$1000,0)))*(IFERROR(INDEX('01_Criteria'!$B$2:$B$1000,MATCH('10_Scoring'!$C$2:$C$1000,'01_Criteria'!$A$2:$A$1000,0)),"")=B$28)*'10_Scoring'!$G$2:$G$1000),0))</f>
        <v/>
      </c>
      <c r="C39" s="6">
        <f>IF($J39="","",IFERROR(SUMPRODUCT(('10_Scoring'!$B$2:$B$1000=$J39)*('10_Scoring'!$E$2:$E$1000=INDEX('12_OverallScores'!$C$2:$C$1000,MATCH($J39,'12_OverallScores'!$B$2:$B$1000,0)))*(IFERROR(INDEX('01_Criteria'!$B$2:$B$1000,MATCH('10_Scoring'!$C$2:$C$1000,'01_Criteria'!$A$2:$A$1000,0)),"")=C$28)*'10_Scoring'!$G$2:$G$1000),0))</f>
        <v/>
      </c>
      <c r="D39" s="6">
        <f>IF($J39="","",IFERROR(SUMPRODUCT(('10_Scoring'!$B$2:$B$1000=$J39)*('10_Scoring'!$E$2:$E$1000=INDEX('12_OverallScores'!$C$2:$C$1000,MATCH($J39,'12_OverallScores'!$B$2:$B$1000,0)))*(IFERROR(INDEX('01_Criteria'!$B$2:$B$1000,MATCH('10_Scoring'!$C$2:$C$1000,'01_Criteria'!$A$2:$A$1000,0)),"")=D$28)*'10_Scoring'!$G$2:$G$1000),0))</f>
        <v/>
      </c>
      <c r="E39" s="6">
        <f>IF($J39="","",IFERROR(SUMPRODUCT(('10_Scoring'!$B$2:$B$1000=$J39)*('10_Scoring'!$E$2:$E$1000=INDEX('12_OverallScores'!$C$2:$C$1000,MATCH($J39,'12_OverallScores'!$B$2:$B$1000,0)))*(IFERROR(INDEX('01_Criteria'!$B$2:$B$1000,MATCH('10_Scoring'!$C$2:$C$1000,'01_Criteria'!$A$2:$A$1000,0)),"")=E$28)*'10_Scoring'!$G$2:$G$1000),0))</f>
        <v/>
      </c>
      <c r="F39" s="6">
        <f>IF($J39="","",IFERROR(SUMPRODUCT(('10_Scoring'!$B$2:$B$1000=$J39)*('10_Scoring'!$E$2:$E$1000=INDEX('12_OverallScores'!$C$2:$C$1000,MATCH($J39,'12_OverallScores'!$B$2:$B$1000,0)))*(IFERROR(INDEX('01_Criteria'!$B$2:$B$1000,MATCH('10_Scoring'!$C$2:$C$1000,'01_Criteria'!$A$2:$A$1000,0)),"")=F$28)*'10_Scoring'!$G$2:$G$1000),0))</f>
        <v/>
      </c>
      <c r="G39" s="6">
        <f>IF($J39="","",IFERROR(SUMPRODUCT(('10_Scoring'!$B$2:$B$1000=$J39)*('10_Scoring'!$E$2:$E$1000=INDEX('12_OverallScores'!$C$2:$C$1000,MATCH($J39,'12_OverallScores'!$B$2:$B$1000,0)))*(IFERROR(INDEX('01_Criteria'!$B$2:$B$1000,MATCH('10_Scoring'!$C$2:$C$1000,'01_Criteria'!$A$2:$A$1000,0)),"")=G$28)*'10_Scoring'!$G$2:$G$1000),0))</f>
        <v/>
      </c>
      <c r="H39" s="6">
        <f>IF($J39="","",IFERROR(SUMPRODUCT(('10_Scoring'!$B$2:$B$1000=$J39)*('10_Scoring'!$E$2:$E$1000=INDEX('12_OverallScores'!$C$2:$C$1000,MATCH($J39,'12_OverallScores'!$B$2:$B$1000,0)))*(IFERROR(INDEX('01_Criteria'!$B$2:$B$1000,MATCH('10_Scoring'!$C$2:$C$1000,'01_Criteria'!$A$2:$A$1000,0)),"")=H$28)*'10_Scoring'!$G$2:$G$1000),0))</f>
        <v/>
      </c>
      <c r="I39" s="6">
        <f>IF($J39="","",IFERROR(SUMPRODUCT(('10_Scoring'!$B$2:$B$1000=$J39)*('10_Scoring'!$E$2:$E$1000=INDEX('12_OverallScores'!$C$2:$C$1000,MATCH($J39,'12_OverallScores'!$B$2:$B$1000,0)))*(IFERROR(INDEX('01_Criteria'!$B$2:$B$1000,MATCH('10_Scoring'!$C$2:$C$1000,'01_Criteria'!$A$2:$A$1000,0)),"")=I$28)*'10_Scoring'!$G$2:$G$1000),0))</f>
        <v/>
      </c>
      <c r="J39" s="6" t="n"/>
    </row>
    <row r="40">
      <c r="A40" s="6">
        <f>IF($J40="","",$J40)</f>
        <v/>
      </c>
      <c r="B40" s="6">
        <f>IF($J40="","",IFERROR(SUMPRODUCT(('10_Scoring'!$B$2:$B$1000=$J40)*('10_Scoring'!$E$2:$E$1000=INDEX('12_OverallScores'!$C$2:$C$1000,MATCH($J40,'12_OverallScores'!$B$2:$B$1000,0)))*(IFERROR(INDEX('01_Criteria'!$B$2:$B$1000,MATCH('10_Scoring'!$C$2:$C$1000,'01_Criteria'!$A$2:$A$1000,0)),"")=B$28)*'10_Scoring'!$G$2:$G$1000),0))</f>
        <v/>
      </c>
      <c r="C40" s="6">
        <f>IF($J40="","",IFERROR(SUMPRODUCT(('10_Scoring'!$B$2:$B$1000=$J40)*('10_Scoring'!$E$2:$E$1000=INDEX('12_OverallScores'!$C$2:$C$1000,MATCH($J40,'12_OverallScores'!$B$2:$B$1000,0)))*(IFERROR(INDEX('01_Criteria'!$B$2:$B$1000,MATCH('10_Scoring'!$C$2:$C$1000,'01_Criteria'!$A$2:$A$1000,0)),"")=C$28)*'10_Scoring'!$G$2:$G$1000),0))</f>
        <v/>
      </c>
      <c r="D40" s="6">
        <f>IF($J40="","",IFERROR(SUMPRODUCT(('10_Scoring'!$B$2:$B$1000=$J40)*('10_Scoring'!$E$2:$E$1000=INDEX('12_OverallScores'!$C$2:$C$1000,MATCH($J40,'12_OverallScores'!$B$2:$B$1000,0)))*(IFERROR(INDEX('01_Criteria'!$B$2:$B$1000,MATCH('10_Scoring'!$C$2:$C$1000,'01_Criteria'!$A$2:$A$1000,0)),"")=D$28)*'10_Scoring'!$G$2:$G$1000),0))</f>
        <v/>
      </c>
      <c r="E40" s="6">
        <f>IF($J40="","",IFERROR(SUMPRODUCT(('10_Scoring'!$B$2:$B$1000=$J40)*('10_Scoring'!$E$2:$E$1000=INDEX('12_OverallScores'!$C$2:$C$1000,MATCH($J40,'12_OverallScores'!$B$2:$B$1000,0)))*(IFERROR(INDEX('01_Criteria'!$B$2:$B$1000,MATCH('10_Scoring'!$C$2:$C$1000,'01_Criteria'!$A$2:$A$1000,0)),"")=E$28)*'10_Scoring'!$G$2:$G$1000),0))</f>
        <v/>
      </c>
      <c r="F40" s="6">
        <f>IF($J40="","",IFERROR(SUMPRODUCT(('10_Scoring'!$B$2:$B$1000=$J40)*('10_Scoring'!$E$2:$E$1000=INDEX('12_OverallScores'!$C$2:$C$1000,MATCH($J40,'12_OverallScores'!$B$2:$B$1000,0)))*(IFERROR(INDEX('01_Criteria'!$B$2:$B$1000,MATCH('10_Scoring'!$C$2:$C$1000,'01_Criteria'!$A$2:$A$1000,0)),"")=F$28)*'10_Scoring'!$G$2:$G$1000),0))</f>
        <v/>
      </c>
      <c r="G40" s="6">
        <f>IF($J40="","",IFERROR(SUMPRODUCT(('10_Scoring'!$B$2:$B$1000=$J40)*('10_Scoring'!$E$2:$E$1000=INDEX('12_OverallScores'!$C$2:$C$1000,MATCH($J40,'12_OverallScores'!$B$2:$B$1000,0)))*(IFERROR(INDEX('01_Criteria'!$B$2:$B$1000,MATCH('10_Scoring'!$C$2:$C$1000,'01_Criteria'!$A$2:$A$1000,0)),"")=G$28)*'10_Scoring'!$G$2:$G$1000),0))</f>
        <v/>
      </c>
      <c r="H40" s="6">
        <f>IF($J40="","",IFERROR(SUMPRODUCT(('10_Scoring'!$B$2:$B$1000=$J40)*('10_Scoring'!$E$2:$E$1000=INDEX('12_OverallScores'!$C$2:$C$1000,MATCH($J40,'12_OverallScores'!$B$2:$B$1000,0)))*(IFERROR(INDEX('01_Criteria'!$B$2:$B$1000,MATCH('10_Scoring'!$C$2:$C$1000,'01_Criteria'!$A$2:$A$1000,0)),"")=H$28)*'10_Scoring'!$G$2:$G$1000),0))</f>
        <v/>
      </c>
      <c r="I40" s="6">
        <f>IF($J40="","",IFERROR(SUMPRODUCT(('10_Scoring'!$B$2:$B$1000=$J40)*('10_Scoring'!$E$2:$E$1000=INDEX('12_OverallScores'!$C$2:$C$1000,MATCH($J40,'12_OverallScores'!$B$2:$B$1000,0)))*(IFERROR(INDEX('01_Criteria'!$B$2:$B$1000,MATCH('10_Scoring'!$C$2:$C$1000,'01_Criteria'!$A$2:$A$1000,0)),"")=I$28)*'10_Scoring'!$G$2:$G$1000),0))</f>
        <v/>
      </c>
      <c r="J40" s="6" t="n"/>
    </row>
    <row r="41">
      <c r="A41" s="6">
        <f>IF($J41="","",$J41)</f>
        <v/>
      </c>
      <c r="B41" s="6">
        <f>IF($J41="","",IFERROR(SUMPRODUCT(('10_Scoring'!$B$2:$B$1000=$J41)*('10_Scoring'!$E$2:$E$1000=INDEX('12_OverallScores'!$C$2:$C$1000,MATCH($J41,'12_OverallScores'!$B$2:$B$1000,0)))*(IFERROR(INDEX('01_Criteria'!$B$2:$B$1000,MATCH('10_Scoring'!$C$2:$C$1000,'01_Criteria'!$A$2:$A$1000,0)),"")=B$28)*'10_Scoring'!$G$2:$G$1000),0))</f>
        <v/>
      </c>
      <c r="C41" s="6">
        <f>IF($J41="","",IFERROR(SUMPRODUCT(('10_Scoring'!$B$2:$B$1000=$J41)*('10_Scoring'!$E$2:$E$1000=INDEX('12_OverallScores'!$C$2:$C$1000,MATCH($J41,'12_OverallScores'!$B$2:$B$1000,0)))*(IFERROR(INDEX('01_Criteria'!$B$2:$B$1000,MATCH('10_Scoring'!$C$2:$C$1000,'01_Criteria'!$A$2:$A$1000,0)),"")=C$28)*'10_Scoring'!$G$2:$G$1000),0))</f>
        <v/>
      </c>
      <c r="D41" s="6">
        <f>IF($J41="","",IFERROR(SUMPRODUCT(('10_Scoring'!$B$2:$B$1000=$J41)*('10_Scoring'!$E$2:$E$1000=INDEX('12_OverallScores'!$C$2:$C$1000,MATCH($J41,'12_OverallScores'!$B$2:$B$1000,0)))*(IFERROR(INDEX('01_Criteria'!$B$2:$B$1000,MATCH('10_Scoring'!$C$2:$C$1000,'01_Criteria'!$A$2:$A$1000,0)),"")=D$28)*'10_Scoring'!$G$2:$G$1000),0))</f>
        <v/>
      </c>
      <c r="E41" s="6">
        <f>IF($J41="","",IFERROR(SUMPRODUCT(('10_Scoring'!$B$2:$B$1000=$J41)*('10_Scoring'!$E$2:$E$1000=INDEX('12_OverallScores'!$C$2:$C$1000,MATCH($J41,'12_OverallScores'!$B$2:$B$1000,0)))*(IFERROR(INDEX('01_Criteria'!$B$2:$B$1000,MATCH('10_Scoring'!$C$2:$C$1000,'01_Criteria'!$A$2:$A$1000,0)),"")=E$28)*'10_Scoring'!$G$2:$G$1000),0))</f>
        <v/>
      </c>
      <c r="F41" s="6">
        <f>IF($J41="","",IFERROR(SUMPRODUCT(('10_Scoring'!$B$2:$B$1000=$J41)*('10_Scoring'!$E$2:$E$1000=INDEX('12_OverallScores'!$C$2:$C$1000,MATCH($J41,'12_OverallScores'!$B$2:$B$1000,0)))*(IFERROR(INDEX('01_Criteria'!$B$2:$B$1000,MATCH('10_Scoring'!$C$2:$C$1000,'01_Criteria'!$A$2:$A$1000,0)),"")=F$28)*'10_Scoring'!$G$2:$G$1000),0))</f>
        <v/>
      </c>
      <c r="G41" s="6">
        <f>IF($J41="","",IFERROR(SUMPRODUCT(('10_Scoring'!$B$2:$B$1000=$J41)*('10_Scoring'!$E$2:$E$1000=INDEX('12_OverallScores'!$C$2:$C$1000,MATCH($J41,'12_OverallScores'!$B$2:$B$1000,0)))*(IFERROR(INDEX('01_Criteria'!$B$2:$B$1000,MATCH('10_Scoring'!$C$2:$C$1000,'01_Criteria'!$A$2:$A$1000,0)),"")=G$28)*'10_Scoring'!$G$2:$G$1000),0))</f>
        <v/>
      </c>
      <c r="H41" s="6">
        <f>IF($J41="","",IFERROR(SUMPRODUCT(('10_Scoring'!$B$2:$B$1000=$J41)*('10_Scoring'!$E$2:$E$1000=INDEX('12_OverallScores'!$C$2:$C$1000,MATCH($J41,'12_OverallScores'!$B$2:$B$1000,0)))*(IFERROR(INDEX('01_Criteria'!$B$2:$B$1000,MATCH('10_Scoring'!$C$2:$C$1000,'01_Criteria'!$A$2:$A$1000,0)),"")=H$28)*'10_Scoring'!$G$2:$G$1000),0))</f>
        <v/>
      </c>
      <c r="I41" s="6">
        <f>IF($J41="","",IFERROR(SUMPRODUCT(('10_Scoring'!$B$2:$B$1000=$J41)*('10_Scoring'!$E$2:$E$1000=INDEX('12_OverallScores'!$C$2:$C$1000,MATCH($J41,'12_OverallScores'!$B$2:$B$1000,0)))*(IFERROR(INDEX('01_Criteria'!$B$2:$B$1000,MATCH('10_Scoring'!$C$2:$C$1000,'01_Criteria'!$A$2:$A$1000,0)),"")=I$28)*'10_Scoring'!$G$2:$G$1000),0))</f>
        <v/>
      </c>
      <c r="J41" s="6" t="n"/>
    </row>
    <row r="42">
      <c r="A42" s="6">
        <f>IF($J42="","",$J42)</f>
        <v/>
      </c>
      <c r="B42" s="6">
        <f>IF($J42="","",IFERROR(SUMPRODUCT(('10_Scoring'!$B$2:$B$1000=$J42)*('10_Scoring'!$E$2:$E$1000=INDEX('12_OverallScores'!$C$2:$C$1000,MATCH($J42,'12_OverallScores'!$B$2:$B$1000,0)))*(IFERROR(INDEX('01_Criteria'!$B$2:$B$1000,MATCH('10_Scoring'!$C$2:$C$1000,'01_Criteria'!$A$2:$A$1000,0)),"")=B$28)*'10_Scoring'!$G$2:$G$1000),0))</f>
        <v/>
      </c>
      <c r="C42" s="6">
        <f>IF($J42="","",IFERROR(SUMPRODUCT(('10_Scoring'!$B$2:$B$1000=$J42)*('10_Scoring'!$E$2:$E$1000=INDEX('12_OverallScores'!$C$2:$C$1000,MATCH($J42,'12_OverallScores'!$B$2:$B$1000,0)))*(IFERROR(INDEX('01_Criteria'!$B$2:$B$1000,MATCH('10_Scoring'!$C$2:$C$1000,'01_Criteria'!$A$2:$A$1000,0)),"")=C$28)*'10_Scoring'!$G$2:$G$1000),0))</f>
        <v/>
      </c>
      <c r="D42" s="6">
        <f>IF($J42="","",IFERROR(SUMPRODUCT(('10_Scoring'!$B$2:$B$1000=$J42)*('10_Scoring'!$E$2:$E$1000=INDEX('12_OverallScores'!$C$2:$C$1000,MATCH($J42,'12_OverallScores'!$B$2:$B$1000,0)))*(IFERROR(INDEX('01_Criteria'!$B$2:$B$1000,MATCH('10_Scoring'!$C$2:$C$1000,'01_Criteria'!$A$2:$A$1000,0)),"")=D$28)*'10_Scoring'!$G$2:$G$1000),0))</f>
        <v/>
      </c>
      <c r="E42" s="6">
        <f>IF($J42="","",IFERROR(SUMPRODUCT(('10_Scoring'!$B$2:$B$1000=$J42)*('10_Scoring'!$E$2:$E$1000=INDEX('12_OverallScores'!$C$2:$C$1000,MATCH($J42,'12_OverallScores'!$B$2:$B$1000,0)))*(IFERROR(INDEX('01_Criteria'!$B$2:$B$1000,MATCH('10_Scoring'!$C$2:$C$1000,'01_Criteria'!$A$2:$A$1000,0)),"")=E$28)*'10_Scoring'!$G$2:$G$1000),0))</f>
        <v/>
      </c>
      <c r="F42" s="6">
        <f>IF($J42="","",IFERROR(SUMPRODUCT(('10_Scoring'!$B$2:$B$1000=$J42)*('10_Scoring'!$E$2:$E$1000=INDEX('12_OverallScores'!$C$2:$C$1000,MATCH($J42,'12_OverallScores'!$B$2:$B$1000,0)))*(IFERROR(INDEX('01_Criteria'!$B$2:$B$1000,MATCH('10_Scoring'!$C$2:$C$1000,'01_Criteria'!$A$2:$A$1000,0)),"")=F$28)*'10_Scoring'!$G$2:$G$1000),0))</f>
        <v/>
      </c>
      <c r="G42" s="6">
        <f>IF($J42="","",IFERROR(SUMPRODUCT(('10_Scoring'!$B$2:$B$1000=$J42)*('10_Scoring'!$E$2:$E$1000=INDEX('12_OverallScores'!$C$2:$C$1000,MATCH($J42,'12_OverallScores'!$B$2:$B$1000,0)))*(IFERROR(INDEX('01_Criteria'!$B$2:$B$1000,MATCH('10_Scoring'!$C$2:$C$1000,'01_Criteria'!$A$2:$A$1000,0)),"")=G$28)*'10_Scoring'!$G$2:$G$1000),0))</f>
        <v/>
      </c>
      <c r="H42" s="6">
        <f>IF($J42="","",IFERROR(SUMPRODUCT(('10_Scoring'!$B$2:$B$1000=$J42)*('10_Scoring'!$E$2:$E$1000=INDEX('12_OverallScores'!$C$2:$C$1000,MATCH($J42,'12_OverallScores'!$B$2:$B$1000,0)))*(IFERROR(INDEX('01_Criteria'!$B$2:$B$1000,MATCH('10_Scoring'!$C$2:$C$1000,'01_Criteria'!$A$2:$A$1000,0)),"")=H$28)*'10_Scoring'!$G$2:$G$1000),0))</f>
        <v/>
      </c>
      <c r="I42" s="6">
        <f>IF($J42="","",IFERROR(SUMPRODUCT(('10_Scoring'!$B$2:$B$1000=$J42)*('10_Scoring'!$E$2:$E$1000=INDEX('12_OverallScores'!$C$2:$C$1000,MATCH($J42,'12_OverallScores'!$B$2:$B$1000,0)))*(IFERROR(INDEX('01_Criteria'!$B$2:$B$1000,MATCH('10_Scoring'!$C$2:$C$1000,'01_Criteria'!$A$2:$A$1000,0)),"")=I$28)*'10_Scoring'!$G$2:$G$1000),0))</f>
        <v/>
      </c>
      <c r="J42" s="6" t="n"/>
    </row>
    <row r="43">
      <c r="A43" s="6">
        <f>IF($J43="","",$J43)</f>
        <v/>
      </c>
      <c r="B43" s="6">
        <f>IF($J43="","",IFERROR(SUMPRODUCT(('10_Scoring'!$B$2:$B$1000=$J43)*('10_Scoring'!$E$2:$E$1000=INDEX('12_OverallScores'!$C$2:$C$1000,MATCH($J43,'12_OverallScores'!$B$2:$B$1000,0)))*(IFERROR(INDEX('01_Criteria'!$B$2:$B$1000,MATCH('10_Scoring'!$C$2:$C$1000,'01_Criteria'!$A$2:$A$1000,0)),"")=B$28)*'10_Scoring'!$G$2:$G$1000),0))</f>
        <v/>
      </c>
      <c r="C43" s="6">
        <f>IF($J43="","",IFERROR(SUMPRODUCT(('10_Scoring'!$B$2:$B$1000=$J43)*('10_Scoring'!$E$2:$E$1000=INDEX('12_OverallScores'!$C$2:$C$1000,MATCH($J43,'12_OverallScores'!$B$2:$B$1000,0)))*(IFERROR(INDEX('01_Criteria'!$B$2:$B$1000,MATCH('10_Scoring'!$C$2:$C$1000,'01_Criteria'!$A$2:$A$1000,0)),"")=C$28)*'10_Scoring'!$G$2:$G$1000),0))</f>
        <v/>
      </c>
      <c r="D43" s="6">
        <f>IF($J43="","",IFERROR(SUMPRODUCT(('10_Scoring'!$B$2:$B$1000=$J43)*('10_Scoring'!$E$2:$E$1000=INDEX('12_OverallScores'!$C$2:$C$1000,MATCH($J43,'12_OverallScores'!$B$2:$B$1000,0)))*(IFERROR(INDEX('01_Criteria'!$B$2:$B$1000,MATCH('10_Scoring'!$C$2:$C$1000,'01_Criteria'!$A$2:$A$1000,0)),"")=D$28)*'10_Scoring'!$G$2:$G$1000),0))</f>
        <v/>
      </c>
      <c r="E43" s="6">
        <f>IF($J43="","",IFERROR(SUMPRODUCT(('10_Scoring'!$B$2:$B$1000=$J43)*('10_Scoring'!$E$2:$E$1000=INDEX('12_OverallScores'!$C$2:$C$1000,MATCH($J43,'12_OverallScores'!$B$2:$B$1000,0)))*(IFERROR(INDEX('01_Criteria'!$B$2:$B$1000,MATCH('10_Scoring'!$C$2:$C$1000,'01_Criteria'!$A$2:$A$1000,0)),"")=E$28)*'10_Scoring'!$G$2:$G$1000),0))</f>
        <v/>
      </c>
      <c r="F43" s="6">
        <f>IF($J43="","",IFERROR(SUMPRODUCT(('10_Scoring'!$B$2:$B$1000=$J43)*('10_Scoring'!$E$2:$E$1000=INDEX('12_OverallScores'!$C$2:$C$1000,MATCH($J43,'12_OverallScores'!$B$2:$B$1000,0)))*(IFERROR(INDEX('01_Criteria'!$B$2:$B$1000,MATCH('10_Scoring'!$C$2:$C$1000,'01_Criteria'!$A$2:$A$1000,0)),"")=F$28)*'10_Scoring'!$G$2:$G$1000),0))</f>
        <v/>
      </c>
      <c r="G43" s="6">
        <f>IF($J43="","",IFERROR(SUMPRODUCT(('10_Scoring'!$B$2:$B$1000=$J43)*('10_Scoring'!$E$2:$E$1000=INDEX('12_OverallScores'!$C$2:$C$1000,MATCH($J43,'12_OverallScores'!$B$2:$B$1000,0)))*(IFERROR(INDEX('01_Criteria'!$B$2:$B$1000,MATCH('10_Scoring'!$C$2:$C$1000,'01_Criteria'!$A$2:$A$1000,0)),"")=G$28)*'10_Scoring'!$G$2:$G$1000),0))</f>
        <v/>
      </c>
      <c r="H43" s="6">
        <f>IF($J43="","",IFERROR(SUMPRODUCT(('10_Scoring'!$B$2:$B$1000=$J43)*('10_Scoring'!$E$2:$E$1000=INDEX('12_OverallScores'!$C$2:$C$1000,MATCH($J43,'12_OverallScores'!$B$2:$B$1000,0)))*(IFERROR(INDEX('01_Criteria'!$B$2:$B$1000,MATCH('10_Scoring'!$C$2:$C$1000,'01_Criteria'!$A$2:$A$1000,0)),"")=H$28)*'10_Scoring'!$G$2:$G$1000),0))</f>
        <v/>
      </c>
      <c r="I43" s="6">
        <f>IF($J43="","",IFERROR(SUMPRODUCT(('10_Scoring'!$B$2:$B$1000=$J43)*('10_Scoring'!$E$2:$E$1000=INDEX('12_OverallScores'!$C$2:$C$1000,MATCH($J43,'12_OverallScores'!$B$2:$B$1000,0)))*(IFERROR(INDEX('01_Criteria'!$B$2:$B$1000,MATCH('10_Scoring'!$C$2:$C$1000,'01_Criteria'!$A$2:$A$1000,0)),"")=I$28)*'10_Scoring'!$G$2:$G$1000),0))</f>
        <v/>
      </c>
      <c r="J43" s="6" t="n"/>
    </row>
    <row r="44">
      <c r="A44" s="6">
        <f>IF($J44="","",$J44)</f>
        <v/>
      </c>
      <c r="B44" s="6">
        <f>IF($J44="","",IFERROR(SUMPRODUCT(('10_Scoring'!$B$2:$B$1000=$J44)*('10_Scoring'!$E$2:$E$1000=INDEX('12_OverallScores'!$C$2:$C$1000,MATCH($J44,'12_OverallScores'!$B$2:$B$1000,0)))*(IFERROR(INDEX('01_Criteria'!$B$2:$B$1000,MATCH('10_Scoring'!$C$2:$C$1000,'01_Criteria'!$A$2:$A$1000,0)),"")=B$28)*'10_Scoring'!$G$2:$G$1000),0))</f>
        <v/>
      </c>
      <c r="C44" s="6">
        <f>IF($J44="","",IFERROR(SUMPRODUCT(('10_Scoring'!$B$2:$B$1000=$J44)*('10_Scoring'!$E$2:$E$1000=INDEX('12_OverallScores'!$C$2:$C$1000,MATCH($J44,'12_OverallScores'!$B$2:$B$1000,0)))*(IFERROR(INDEX('01_Criteria'!$B$2:$B$1000,MATCH('10_Scoring'!$C$2:$C$1000,'01_Criteria'!$A$2:$A$1000,0)),"")=C$28)*'10_Scoring'!$G$2:$G$1000),0))</f>
        <v/>
      </c>
      <c r="D44" s="6">
        <f>IF($J44="","",IFERROR(SUMPRODUCT(('10_Scoring'!$B$2:$B$1000=$J44)*('10_Scoring'!$E$2:$E$1000=INDEX('12_OverallScores'!$C$2:$C$1000,MATCH($J44,'12_OverallScores'!$B$2:$B$1000,0)))*(IFERROR(INDEX('01_Criteria'!$B$2:$B$1000,MATCH('10_Scoring'!$C$2:$C$1000,'01_Criteria'!$A$2:$A$1000,0)),"")=D$28)*'10_Scoring'!$G$2:$G$1000),0))</f>
        <v/>
      </c>
      <c r="E44" s="6">
        <f>IF($J44="","",IFERROR(SUMPRODUCT(('10_Scoring'!$B$2:$B$1000=$J44)*('10_Scoring'!$E$2:$E$1000=INDEX('12_OverallScores'!$C$2:$C$1000,MATCH($J44,'12_OverallScores'!$B$2:$B$1000,0)))*(IFERROR(INDEX('01_Criteria'!$B$2:$B$1000,MATCH('10_Scoring'!$C$2:$C$1000,'01_Criteria'!$A$2:$A$1000,0)),"")=E$28)*'10_Scoring'!$G$2:$G$1000),0))</f>
        <v/>
      </c>
      <c r="F44" s="6">
        <f>IF($J44="","",IFERROR(SUMPRODUCT(('10_Scoring'!$B$2:$B$1000=$J44)*('10_Scoring'!$E$2:$E$1000=INDEX('12_OverallScores'!$C$2:$C$1000,MATCH($J44,'12_OverallScores'!$B$2:$B$1000,0)))*(IFERROR(INDEX('01_Criteria'!$B$2:$B$1000,MATCH('10_Scoring'!$C$2:$C$1000,'01_Criteria'!$A$2:$A$1000,0)),"")=F$28)*'10_Scoring'!$G$2:$G$1000),0))</f>
        <v/>
      </c>
      <c r="G44" s="6">
        <f>IF($J44="","",IFERROR(SUMPRODUCT(('10_Scoring'!$B$2:$B$1000=$J44)*('10_Scoring'!$E$2:$E$1000=INDEX('12_OverallScores'!$C$2:$C$1000,MATCH($J44,'12_OverallScores'!$B$2:$B$1000,0)))*(IFERROR(INDEX('01_Criteria'!$B$2:$B$1000,MATCH('10_Scoring'!$C$2:$C$1000,'01_Criteria'!$A$2:$A$1000,0)),"")=G$28)*'10_Scoring'!$G$2:$G$1000),0))</f>
        <v/>
      </c>
      <c r="H44" s="6">
        <f>IF($J44="","",IFERROR(SUMPRODUCT(('10_Scoring'!$B$2:$B$1000=$J44)*('10_Scoring'!$E$2:$E$1000=INDEX('12_OverallScores'!$C$2:$C$1000,MATCH($J44,'12_OverallScores'!$B$2:$B$1000,0)))*(IFERROR(INDEX('01_Criteria'!$B$2:$B$1000,MATCH('10_Scoring'!$C$2:$C$1000,'01_Criteria'!$A$2:$A$1000,0)),"")=H$28)*'10_Scoring'!$G$2:$G$1000),0))</f>
        <v/>
      </c>
      <c r="I44" s="6">
        <f>IF($J44="","",IFERROR(SUMPRODUCT(('10_Scoring'!$B$2:$B$1000=$J44)*('10_Scoring'!$E$2:$E$1000=INDEX('12_OverallScores'!$C$2:$C$1000,MATCH($J44,'12_OverallScores'!$B$2:$B$1000,0)))*(IFERROR(INDEX('01_Criteria'!$B$2:$B$1000,MATCH('10_Scoring'!$C$2:$C$1000,'01_Criteria'!$A$2:$A$1000,0)),"")=I$28)*'10_Scoring'!$G$2:$G$1000),0))</f>
        <v/>
      </c>
      <c r="J44" s="6" t="n"/>
    </row>
    <row r="45">
      <c r="A45" s="6">
        <f>IF($J45="","",$J45)</f>
        <v/>
      </c>
      <c r="B45" s="6">
        <f>IF($J45="","",IFERROR(SUMPRODUCT(('10_Scoring'!$B$2:$B$1000=$J45)*('10_Scoring'!$E$2:$E$1000=INDEX('12_OverallScores'!$C$2:$C$1000,MATCH($J45,'12_OverallScores'!$B$2:$B$1000,0)))*(IFERROR(INDEX('01_Criteria'!$B$2:$B$1000,MATCH('10_Scoring'!$C$2:$C$1000,'01_Criteria'!$A$2:$A$1000,0)),"")=B$28)*'10_Scoring'!$G$2:$G$1000),0))</f>
        <v/>
      </c>
      <c r="C45" s="6">
        <f>IF($J45="","",IFERROR(SUMPRODUCT(('10_Scoring'!$B$2:$B$1000=$J45)*('10_Scoring'!$E$2:$E$1000=INDEX('12_OverallScores'!$C$2:$C$1000,MATCH($J45,'12_OverallScores'!$B$2:$B$1000,0)))*(IFERROR(INDEX('01_Criteria'!$B$2:$B$1000,MATCH('10_Scoring'!$C$2:$C$1000,'01_Criteria'!$A$2:$A$1000,0)),"")=C$28)*'10_Scoring'!$G$2:$G$1000),0))</f>
        <v/>
      </c>
      <c r="D45" s="6">
        <f>IF($J45="","",IFERROR(SUMPRODUCT(('10_Scoring'!$B$2:$B$1000=$J45)*('10_Scoring'!$E$2:$E$1000=INDEX('12_OverallScores'!$C$2:$C$1000,MATCH($J45,'12_OverallScores'!$B$2:$B$1000,0)))*(IFERROR(INDEX('01_Criteria'!$B$2:$B$1000,MATCH('10_Scoring'!$C$2:$C$1000,'01_Criteria'!$A$2:$A$1000,0)),"")=D$28)*'10_Scoring'!$G$2:$G$1000),0))</f>
        <v/>
      </c>
      <c r="E45" s="6">
        <f>IF($J45="","",IFERROR(SUMPRODUCT(('10_Scoring'!$B$2:$B$1000=$J45)*('10_Scoring'!$E$2:$E$1000=INDEX('12_OverallScores'!$C$2:$C$1000,MATCH($J45,'12_OverallScores'!$B$2:$B$1000,0)))*(IFERROR(INDEX('01_Criteria'!$B$2:$B$1000,MATCH('10_Scoring'!$C$2:$C$1000,'01_Criteria'!$A$2:$A$1000,0)),"")=E$28)*'10_Scoring'!$G$2:$G$1000),0))</f>
        <v/>
      </c>
      <c r="F45" s="6">
        <f>IF($J45="","",IFERROR(SUMPRODUCT(('10_Scoring'!$B$2:$B$1000=$J45)*('10_Scoring'!$E$2:$E$1000=INDEX('12_OverallScores'!$C$2:$C$1000,MATCH($J45,'12_OverallScores'!$B$2:$B$1000,0)))*(IFERROR(INDEX('01_Criteria'!$B$2:$B$1000,MATCH('10_Scoring'!$C$2:$C$1000,'01_Criteria'!$A$2:$A$1000,0)),"")=F$28)*'10_Scoring'!$G$2:$G$1000),0))</f>
        <v/>
      </c>
      <c r="G45" s="6">
        <f>IF($J45="","",IFERROR(SUMPRODUCT(('10_Scoring'!$B$2:$B$1000=$J45)*('10_Scoring'!$E$2:$E$1000=INDEX('12_OverallScores'!$C$2:$C$1000,MATCH($J45,'12_OverallScores'!$B$2:$B$1000,0)))*(IFERROR(INDEX('01_Criteria'!$B$2:$B$1000,MATCH('10_Scoring'!$C$2:$C$1000,'01_Criteria'!$A$2:$A$1000,0)),"")=G$28)*'10_Scoring'!$G$2:$G$1000),0))</f>
        <v/>
      </c>
      <c r="H45" s="6">
        <f>IF($J45="","",IFERROR(SUMPRODUCT(('10_Scoring'!$B$2:$B$1000=$J45)*('10_Scoring'!$E$2:$E$1000=INDEX('12_OverallScores'!$C$2:$C$1000,MATCH($J45,'12_OverallScores'!$B$2:$B$1000,0)))*(IFERROR(INDEX('01_Criteria'!$B$2:$B$1000,MATCH('10_Scoring'!$C$2:$C$1000,'01_Criteria'!$A$2:$A$1000,0)),"")=H$28)*'10_Scoring'!$G$2:$G$1000),0))</f>
        <v/>
      </c>
      <c r="I45" s="6">
        <f>IF($J45="","",IFERROR(SUMPRODUCT(('10_Scoring'!$B$2:$B$1000=$J45)*('10_Scoring'!$E$2:$E$1000=INDEX('12_OverallScores'!$C$2:$C$1000,MATCH($J45,'12_OverallScores'!$B$2:$B$1000,0)))*(IFERROR(INDEX('01_Criteria'!$B$2:$B$1000,MATCH('10_Scoring'!$C$2:$C$1000,'01_Criteria'!$A$2:$A$1000,0)),"")=I$28)*'10_Scoring'!$G$2:$G$1000),0))</f>
        <v/>
      </c>
      <c r="J45" s="6" t="n"/>
    </row>
    <row r="46">
      <c r="A46" s="6">
        <f>IF($J46="","",$J46)</f>
        <v/>
      </c>
      <c r="B46" s="6">
        <f>IF($J46="","",IFERROR(SUMPRODUCT(('10_Scoring'!$B$2:$B$1000=$J46)*('10_Scoring'!$E$2:$E$1000=INDEX('12_OverallScores'!$C$2:$C$1000,MATCH($J46,'12_OverallScores'!$B$2:$B$1000,0)))*(IFERROR(INDEX('01_Criteria'!$B$2:$B$1000,MATCH('10_Scoring'!$C$2:$C$1000,'01_Criteria'!$A$2:$A$1000,0)),"")=B$28)*'10_Scoring'!$G$2:$G$1000),0))</f>
        <v/>
      </c>
      <c r="C46" s="6">
        <f>IF($J46="","",IFERROR(SUMPRODUCT(('10_Scoring'!$B$2:$B$1000=$J46)*('10_Scoring'!$E$2:$E$1000=INDEX('12_OverallScores'!$C$2:$C$1000,MATCH($J46,'12_OverallScores'!$B$2:$B$1000,0)))*(IFERROR(INDEX('01_Criteria'!$B$2:$B$1000,MATCH('10_Scoring'!$C$2:$C$1000,'01_Criteria'!$A$2:$A$1000,0)),"")=C$28)*'10_Scoring'!$G$2:$G$1000),0))</f>
        <v/>
      </c>
      <c r="D46" s="6">
        <f>IF($J46="","",IFERROR(SUMPRODUCT(('10_Scoring'!$B$2:$B$1000=$J46)*('10_Scoring'!$E$2:$E$1000=INDEX('12_OverallScores'!$C$2:$C$1000,MATCH($J46,'12_OverallScores'!$B$2:$B$1000,0)))*(IFERROR(INDEX('01_Criteria'!$B$2:$B$1000,MATCH('10_Scoring'!$C$2:$C$1000,'01_Criteria'!$A$2:$A$1000,0)),"")=D$28)*'10_Scoring'!$G$2:$G$1000),0))</f>
        <v/>
      </c>
      <c r="E46" s="6">
        <f>IF($J46="","",IFERROR(SUMPRODUCT(('10_Scoring'!$B$2:$B$1000=$J46)*('10_Scoring'!$E$2:$E$1000=INDEX('12_OverallScores'!$C$2:$C$1000,MATCH($J46,'12_OverallScores'!$B$2:$B$1000,0)))*(IFERROR(INDEX('01_Criteria'!$B$2:$B$1000,MATCH('10_Scoring'!$C$2:$C$1000,'01_Criteria'!$A$2:$A$1000,0)),"")=E$28)*'10_Scoring'!$G$2:$G$1000),0))</f>
        <v/>
      </c>
      <c r="F46" s="6">
        <f>IF($J46="","",IFERROR(SUMPRODUCT(('10_Scoring'!$B$2:$B$1000=$J46)*('10_Scoring'!$E$2:$E$1000=INDEX('12_OverallScores'!$C$2:$C$1000,MATCH($J46,'12_OverallScores'!$B$2:$B$1000,0)))*(IFERROR(INDEX('01_Criteria'!$B$2:$B$1000,MATCH('10_Scoring'!$C$2:$C$1000,'01_Criteria'!$A$2:$A$1000,0)),"")=F$28)*'10_Scoring'!$G$2:$G$1000),0))</f>
        <v/>
      </c>
      <c r="G46" s="6">
        <f>IF($J46="","",IFERROR(SUMPRODUCT(('10_Scoring'!$B$2:$B$1000=$J46)*('10_Scoring'!$E$2:$E$1000=INDEX('12_OverallScores'!$C$2:$C$1000,MATCH($J46,'12_OverallScores'!$B$2:$B$1000,0)))*(IFERROR(INDEX('01_Criteria'!$B$2:$B$1000,MATCH('10_Scoring'!$C$2:$C$1000,'01_Criteria'!$A$2:$A$1000,0)),"")=G$28)*'10_Scoring'!$G$2:$G$1000),0))</f>
        <v/>
      </c>
      <c r="H46" s="6">
        <f>IF($J46="","",IFERROR(SUMPRODUCT(('10_Scoring'!$B$2:$B$1000=$J46)*('10_Scoring'!$E$2:$E$1000=INDEX('12_OverallScores'!$C$2:$C$1000,MATCH($J46,'12_OverallScores'!$B$2:$B$1000,0)))*(IFERROR(INDEX('01_Criteria'!$B$2:$B$1000,MATCH('10_Scoring'!$C$2:$C$1000,'01_Criteria'!$A$2:$A$1000,0)),"")=H$28)*'10_Scoring'!$G$2:$G$1000),0))</f>
        <v/>
      </c>
      <c r="I46" s="6">
        <f>IF($J46="","",IFERROR(SUMPRODUCT(('10_Scoring'!$B$2:$B$1000=$J46)*('10_Scoring'!$E$2:$E$1000=INDEX('12_OverallScores'!$C$2:$C$1000,MATCH($J46,'12_OverallScores'!$B$2:$B$1000,0)))*(IFERROR(INDEX('01_Criteria'!$B$2:$B$1000,MATCH('10_Scoring'!$C$2:$C$1000,'01_Criteria'!$A$2:$A$1000,0)),"")=I$28)*'10_Scoring'!$G$2:$G$1000),0))</f>
        <v/>
      </c>
      <c r="J46" s="6" t="n"/>
    </row>
    <row r="47">
      <c r="A47" s="6">
        <f>IF($J47="","",$J47)</f>
        <v/>
      </c>
      <c r="B47" s="6">
        <f>IF($J47="","",IFERROR(SUMPRODUCT(('10_Scoring'!$B$2:$B$1000=$J47)*('10_Scoring'!$E$2:$E$1000=INDEX('12_OverallScores'!$C$2:$C$1000,MATCH($J47,'12_OverallScores'!$B$2:$B$1000,0)))*(IFERROR(INDEX('01_Criteria'!$B$2:$B$1000,MATCH('10_Scoring'!$C$2:$C$1000,'01_Criteria'!$A$2:$A$1000,0)),"")=B$28)*'10_Scoring'!$G$2:$G$1000),0))</f>
        <v/>
      </c>
      <c r="C47" s="6">
        <f>IF($J47="","",IFERROR(SUMPRODUCT(('10_Scoring'!$B$2:$B$1000=$J47)*('10_Scoring'!$E$2:$E$1000=INDEX('12_OverallScores'!$C$2:$C$1000,MATCH($J47,'12_OverallScores'!$B$2:$B$1000,0)))*(IFERROR(INDEX('01_Criteria'!$B$2:$B$1000,MATCH('10_Scoring'!$C$2:$C$1000,'01_Criteria'!$A$2:$A$1000,0)),"")=C$28)*'10_Scoring'!$G$2:$G$1000),0))</f>
        <v/>
      </c>
      <c r="D47" s="6">
        <f>IF($J47="","",IFERROR(SUMPRODUCT(('10_Scoring'!$B$2:$B$1000=$J47)*('10_Scoring'!$E$2:$E$1000=INDEX('12_OverallScores'!$C$2:$C$1000,MATCH($J47,'12_OverallScores'!$B$2:$B$1000,0)))*(IFERROR(INDEX('01_Criteria'!$B$2:$B$1000,MATCH('10_Scoring'!$C$2:$C$1000,'01_Criteria'!$A$2:$A$1000,0)),"")=D$28)*'10_Scoring'!$G$2:$G$1000),0))</f>
        <v/>
      </c>
      <c r="E47" s="6">
        <f>IF($J47="","",IFERROR(SUMPRODUCT(('10_Scoring'!$B$2:$B$1000=$J47)*('10_Scoring'!$E$2:$E$1000=INDEX('12_OverallScores'!$C$2:$C$1000,MATCH($J47,'12_OverallScores'!$B$2:$B$1000,0)))*(IFERROR(INDEX('01_Criteria'!$B$2:$B$1000,MATCH('10_Scoring'!$C$2:$C$1000,'01_Criteria'!$A$2:$A$1000,0)),"")=E$28)*'10_Scoring'!$G$2:$G$1000),0))</f>
        <v/>
      </c>
      <c r="F47" s="6">
        <f>IF($J47="","",IFERROR(SUMPRODUCT(('10_Scoring'!$B$2:$B$1000=$J47)*('10_Scoring'!$E$2:$E$1000=INDEX('12_OverallScores'!$C$2:$C$1000,MATCH($J47,'12_OverallScores'!$B$2:$B$1000,0)))*(IFERROR(INDEX('01_Criteria'!$B$2:$B$1000,MATCH('10_Scoring'!$C$2:$C$1000,'01_Criteria'!$A$2:$A$1000,0)),"")=F$28)*'10_Scoring'!$G$2:$G$1000),0))</f>
        <v/>
      </c>
      <c r="G47" s="6">
        <f>IF($J47="","",IFERROR(SUMPRODUCT(('10_Scoring'!$B$2:$B$1000=$J47)*('10_Scoring'!$E$2:$E$1000=INDEX('12_OverallScores'!$C$2:$C$1000,MATCH($J47,'12_OverallScores'!$B$2:$B$1000,0)))*(IFERROR(INDEX('01_Criteria'!$B$2:$B$1000,MATCH('10_Scoring'!$C$2:$C$1000,'01_Criteria'!$A$2:$A$1000,0)),"")=G$28)*'10_Scoring'!$G$2:$G$1000),0))</f>
        <v/>
      </c>
      <c r="H47" s="6">
        <f>IF($J47="","",IFERROR(SUMPRODUCT(('10_Scoring'!$B$2:$B$1000=$J47)*('10_Scoring'!$E$2:$E$1000=INDEX('12_OverallScores'!$C$2:$C$1000,MATCH($J47,'12_OverallScores'!$B$2:$B$1000,0)))*(IFERROR(INDEX('01_Criteria'!$B$2:$B$1000,MATCH('10_Scoring'!$C$2:$C$1000,'01_Criteria'!$A$2:$A$1000,0)),"")=H$28)*'10_Scoring'!$G$2:$G$1000),0))</f>
        <v/>
      </c>
      <c r="I47" s="6">
        <f>IF($J47="","",IFERROR(SUMPRODUCT(('10_Scoring'!$B$2:$B$1000=$J47)*('10_Scoring'!$E$2:$E$1000=INDEX('12_OverallScores'!$C$2:$C$1000,MATCH($J47,'12_OverallScores'!$B$2:$B$1000,0)))*(IFERROR(INDEX('01_Criteria'!$B$2:$B$1000,MATCH('10_Scoring'!$C$2:$C$1000,'01_Criteria'!$A$2:$A$1000,0)),"")=I$28)*'10_Scoring'!$G$2:$G$1000),0))</f>
        <v/>
      </c>
      <c r="J47" s="6" t="n"/>
    </row>
    <row r="48">
      <c r="A48" s="6">
        <f>IF($J48="","",$J48)</f>
        <v/>
      </c>
      <c r="B48" s="6">
        <f>IF($J48="","",IFERROR(SUMPRODUCT(('10_Scoring'!$B$2:$B$1000=$J48)*('10_Scoring'!$E$2:$E$1000=INDEX('12_OverallScores'!$C$2:$C$1000,MATCH($J48,'12_OverallScores'!$B$2:$B$1000,0)))*(IFERROR(INDEX('01_Criteria'!$B$2:$B$1000,MATCH('10_Scoring'!$C$2:$C$1000,'01_Criteria'!$A$2:$A$1000,0)),"")=B$28)*'10_Scoring'!$G$2:$G$1000),0))</f>
        <v/>
      </c>
      <c r="C48" s="6">
        <f>IF($J48="","",IFERROR(SUMPRODUCT(('10_Scoring'!$B$2:$B$1000=$J48)*('10_Scoring'!$E$2:$E$1000=INDEX('12_OverallScores'!$C$2:$C$1000,MATCH($J48,'12_OverallScores'!$B$2:$B$1000,0)))*(IFERROR(INDEX('01_Criteria'!$B$2:$B$1000,MATCH('10_Scoring'!$C$2:$C$1000,'01_Criteria'!$A$2:$A$1000,0)),"")=C$28)*'10_Scoring'!$G$2:$G$1000),0))</f>
        <v/>
      </c>
      <c r="D48" s="6">
        <f>IF($J48="","",IFERROR(SUMPRODUCT(('10_Scoring'!$B$2:$B$1000=$J48)*('10_Scoring'!$E$2:$E$1000=INDEX('12_OverallScores'!$C$2:$C$1000,MATCH($J48,'12_OverallScores'!$B$2:$B$1000,0)))*(IFERROR(INDEX('01_Criteria'!$B$2:$B$1000,MATCH('10_Scoring'!$C$2:$C$1000,'01_Criteria'!$A$2:$A$1000,0)),"")=D$28)*'10_Scoring'!$G$2:$G$1000),0))</f>
        <v/>
      </c>
      <c r="E48" s="6">
        <f>IF($J48="","",IFERROR(SUMPRODUCT(('10_Scoring'!$B$2:$B$1000=$J48)*('10_Scoring'!$E$2:$E$1000=INDEX('12_OverallScores'!$C$2:$C$1000,MATCH($J48,'12_OverallScores'!$B$2:$B$1000,0)))*(IFERROR(INDEX('01_Criteria'!$B$2:$B$1000,MATCH('10_Scoring'!$C$2:$C$1000,'01_Criteria'!$A$2:$A$1000,0)),"")=E$28)*'10_Scoring'!$G$2:$G$1000),0))</f>
        <v/>
      </c>
      <c r="F48" s="6">
        <f>IF($J48="","",IFERROR(SUMPRODUCT(('10_Scoring'!$B$2:$B$1000=$J48)*('10_Scoring'!$E$2:$E$1000=INDEX('12_OverallScores'!$C$2:$C$1000,MATCH($J48,'12_OverallScores'!$B$2:$B$1000,0)))*(IFERROR(INDEX('01_Criteria'!$B$2:$B$1000,MATCH('10_Scoring'!$C$2:$C$1000,'01_Criteria'!$A$2:$A$1000,0)),"")=F$28)*'10_Scoring'!$G$2:$G$1000),0))</f>
        <v/>
      </c>
      <c r="G48" s="6">
        <f>IF($J48="","",IFERROR(SUMPRODUCT(('10_Scoring'!$B$2:$B$1000=$J48)*('10_Scoring'!$E$2:$E$1000=INDEX('12_OverallScores'!$C$2:$C$1000,MATCH($J48,'12_OverallScores'!$B$2:$B$1000,0)))*(IFERROR(INDEX('01_Criteria'!$B$2:$B$1000,MATCH('10_Scoring'!$C$2:$C$1000,'01_Criteria'!$A$2:$A$1000,0)),"")=G$28)*'10_Scoring'!$G$2:$G$1000),0))</f>
        <v/>
      </c>
      <c r="H48" s="6">
        <f>IF($J48="","",IFERROR(SUMPRODUCT(('10_Scoring'!$B$2:$B$1000=$J48)*('10_Scoring'!$E$2:$E$1000=INDEX('12_OverallScores'!$C$2:$C$1000,MATCH($J48,'12_OverallScores'!$B$2:$B$1000,0)))*(IFERROR(INDEX('01_Criteria'!$B$2:$B$1000,MATCH('10_Scoring'!$C$2:$C$1000,'01_Criteria'!$A$2:$A$1000,0)),"")=H$28)*'10_Scoring'!$G$2:$G$1000),0))</f>
        <v/>
      </c>
      <c r="I48" s="6">
        <f>IF($J48="","",IFERROR(SUMPRODUCT(('10_Scoring'!$B$2:$B$1000=$J48)*('10_Scoring'!$E$2:$E$1000=INDEX('12_OverallScores'!$C$2:$C$1000,MATCH($J48,'12_OverallScores'!$B$2:$B$1000,0)))*(IFERROR(INDEX('01_Criteria'!$B$2:$B$1000,MATCH('10_Scoring'!$C$2:$C$1000,'01_Criteria'!$A$2:$A$1000,0)),"")=I$28)*'10_Scoring'!$G$2:$G$1000),0))</f>
        <v/>
      </c>
      <c r="J48" s="6" t="n"/>
    </row>
    <row r="51">
      <c r="A51" s="4" t="inlineStr">
        <is>
          <t>3. Coverage Grid (record counts by evidence type)</t>
        </is>
      </c>
    </row>
    <row r="52">
      <c r="A52" s="1" t="inlineStr">
        <is>
          <t>Configuration</t>
        </is>
      </c>
      <c r="B52" s="1" t="inlineStr">
        <is>
          <t>Technical</t>
        </is>
      </c>
      <c r="C52" s="1" t="inlineStr">
        <is>
          <t>Equipment</t>
        </is>
      </c>
      <c r="D52" s="1" t="inlineStr">
        <is>
          <t>Evidence</t>
        </is>
      </c>
      <c r="E52" s="1" t="inlineStr">
        <is>
          <t>Reviews</t>
        </is>
      </c>
      <c r="F52" s="1" t="inlineStr">
        <is>
          <t>Score</t>
        </is>
      </c>
      <c r="H52" s="5" t="inlineStr">
        <is>
          <t>ConfigurationID</t>
        </is>
      </c>
      <c r="I52" s="5" t="inlineStr">
        <is>
          <t>ParentVehicleID</t>
        </is>
      </c>
    </row>
    <row r="53">
      <c r="A53" s="6">
        <f>IF($H53="","",$H53)</f>
        <v/>
      </c>
      <c r="B53" s="6">
        <f>IF($H53="","",COUNTIF('04_Technical'!$B$2:$B$1000,$I53)+COUNTIF('04_Technical'!$C$2:$C$1000,$H53))</f>
        <v/>
      </c>
      <c r="C53" s="6">
        <f>IF($H53="","",COUNTIF('05_Equipment'!$B$2:$B$1000,$H53))</f>
        <v/>
      </c>
      <c r="D53" s="6">
        <f>IF($H53="","",COUNTIF('08_Evidence'!$B$2:$B$1000,$I53)+COUNTIF('08_Evidence'!$C$2:$C$1000,$H53))</f>
        <v/>
      </c>
      <c r="E53" s="6">
        <f>IF($H53="","",COUNTIF('07_Reviews'!$B$2:$B$1000,$I53)+COUNTIF('07_Reviews'!$C$2:$C$1000,$H53))</f>
        <v/>
      </c>
      <c r="F53" s="6">
        <f>IF($H53="","",COUNTIF('10_Scoring'!$B$2:$B$1000,$H53))</f>
        <v/>
      </c>
      <c r="G53" s="6" t="n"/>
      <c r="H53" s="6" t="inlineStr">
        <is>
          <t>TESLA_MODEL_3_LONG_RANGE_RWD</t>
        </is>
      </c>
      <c r="I53" s="6">
        <f>IFERROR(INDEX('03_Configurations'!$B$2:$B$1000,MATCH($H53,'03_Configurations'!$A$2:$A$1000,0)),"")</f>
        <v/>
      </c>
    </row>
    <row r="54">
      <c r="A54" s="6">
        <f>IF($H54="","",$H54)</f>
        <v/>
      </c>
      <c r="B54" s="6">
        <f>IF($H54="","",COUNTIF('04_Technical'!$B$2:$B$1000,$I54)+COUNTIF('04_Technical'!$C$2:$C$1000,$H54))</f>
        <v/>
      </c>
      <c r="C54" s="6">
        <f>IF($H54="","",COUNTIF('05_Equipment'!$B$2:$B$1000,$H54))</f>
        <v/>
      </c>
      <c r="D54" s="6">
        <f>IF($H54="","",COUNTIF('08_Evidence'!$B$2:$B$1000,$I54)+COUNTIF('08_Evidence'!$C$2:$C$1000,$H54))</f>
        <v/>
      </c>
      <c r="E54" s="6">
        <f>IF($H54="","",COUNTIF('07_Reviews'!$B$2:$B$1000,$I54)+COUNTIF('07_Reviews'!$C$2:$C$1000,$H54))</f>
        <v/>
      </c>
      <c r="F54" s="6">
        <f>IF($H54="","",COUNTIF('10_Scoring'!$B$2:$B$1000,$H54))</f>
        <v/>
      </c>
      <c r="G54" s="6" t="n"/>
      <c r="H54" s="6" t="inlineStr">
        <is>
          <t>RENAULT_4_TECHNO</t>
        </is>
      </c>
      <c r="I54" s="6">
        <f>IFERROR(INDEX('03_Configurations'!$B$2:$B$1000,MATCH($H54,'03_Configurations'!$A$2:$A$1000,0)),"")</f>
        <v/>
      </c>
    </row>
    <row r="55">
      <c r="A55" s="6">
        <f>IF($H55="","",$H55)</f>
        <v/>
      </c>
      <c r="B55" s="6">
        <f>IF($H55="","",COUNTIF('04_Technical'!$B$2:$B$1000,$I55)+COUNTIF('04_Technical'!$C$2:$C$1000,$H55))</f>
        <v/>
      </c>
      <c r="C55" s="6">
        <f>IF($H55="","",COUNTIF('05_Equipment'!$B$2:$B$1000,$H55))</f>
        <v/>
      </c>
      <c r="D55" s="6">
        <f>IF($H55="","",COUNTIF('08_Evidence'!$B$2:$B$1000,$I55)+COUNTIF('08_Evidence'!$C$2:$C$1000,$H55))</f>
        <v/>
      </c>
      <c r="E55" s="6">
        <f>IF($H55="","",COUNTIF('07_Reviews'!$B$2:$B$1000,$I55)+COUNTIF('07_Reviews'!$C$2:$C$1000,$H55))</f>
        <v/>
      </c>
      <c r="F55" s="6">
        <f>IF($H55="","",COUNTIF('10_Scoring'!$B$2:$B$1000,$H55))</f>
        <v/>
      </c>
      <c r="G55" s="6" t="n"/>
      <c r="H55" s="6" t="inlineStr">
        <is>
          <t>SKODA_ELROQ_SELECTION_60</t>
        </is>
      </c>
      <c r="I55" s="6">
        <f>IFERROR(INDEX('03_Configurations'!$B$2:$B$1000,MATCH($H55,'03_Configurations'!$A$2:$A$1000,0)),"")</f>
        <v/>
      </c>
    </row>
    <row r="56">
      <c r="A56" s="6">
        <f>IF($H56="","",$H56)</f>
        <v/>
      </c>
      <c r="B56" s="6">
        <f>IF($H56="","",COUNTIF('04_Technical'!$B$2:$B$1000,$I56)+COUNTIF('04_Technical'!$C$2:$C$1000,$H56))</f>
        <v/>
      </c>
      <c r="C56" s="6">
        <f>IF($H56="","",COUNTIF('05_Equipment'!$B$2:$B$1000,$H56))</f>
        <v/>
      </c>
      <c r="D56" s="6">
        <f>IF($H56="","",COUNTIF('08_Evidence'!$B$2:$B$1000,$I56)+COUNTIF('08_Evidence'!$C$2:$C$1000,$H56))</f>
        <v/>
      </c>
      <c r="E56" s="6">
        <f>IF($H56="","",COUNTIF('07_Reviews'!$B$2:$B$1000,$I56)+COUNTIF('07_Reviews'!$C$2:$C$1000,$H56))</f>
        <v/>
      </c>
      <c r="F56" s="6">
        <f>IF($H56="","",COUNTIF('10_Scoring'!$B$2:$B$1000,$H56))</f>
        <v/>
      </c>
      <c r="G56" s="6" t="n"/>
      <c r="H56" s="6" t="inlineStr">
        <is>
          <t>VOLVO_EX30_P5_LONG_RANGE</t>
        </is>
      </c>
      <c r="I56" s="6">
        <f>IFERROR(INDEX('03_Configurations'!$B$2:$B$1000,MATCH($H56,'03_Configurations'!$A$2:$A$1000,0)),"")</f>
        <v/>
      </c>
    </row>
    <row r="57">
      <c r="A57" s="6">
        <f>IF($H57="","",$H57)</f>
        <v/>
      </c>
      <c r="B57" s="6">
        <f>IF($H57="","",COUNTIF('04_Technical'!$B$2:$B$1000,$I57)+COUNTIF('04_Technical'!$C$2:$C$1000,$H57))</f>
        <v/>
      </c>
      <c r="C57" s="6">
        <f>IF($H57="","",COUNTIF('05_Equipment'!$B$2:$B$1000,$H57))</f>
        <v/>
      </c>
      <c r="D57" s="6">
        <f>IF($H57="","",COUNTIF('08_Evidence'!$B$2:$B$1000,$I57)+COUNTIF('08_Evidence'!$C$2:$C$1000,$H57))</f>
        <v/>
      </c>
      <c r="E57" s="6">
        <f>IF($H57="","",COUNTIF('07_Reviews'!$B$2:$B$1000,$I57)+COUNTIF('07_Reviews'!$C$2:$C$1000,$H57))</f>
        <v/>
      </c>
      <c r="F57" s="6">
        <f>IF($H57="","",COUNTIF('10_Scoring'!$B$2:$B$1000,$H57))</f>
        <v/>
      </c>
      <c r="G57" s="6" t="n"/>
      <c r="H57" s="6" t="inlineStr">
        <is>
          <t>KIA_EV2_FWD_LONG_RANGE_GT_LINE</t>
        </is>
      </c>
      <c r="I57" s="6">
        <f>IFERROR(INDEX('03_Configurations'!$B$2:$B$1000,MATCH($H57,'03_Configurations'!$A$2:$A$1000,0)),"")</f>
        <v/>
      </c>
    </row>
    <row r="58">
      <c r="A58" s="6">
        <f>IF($H58="","",$H58)</f>
        <v/>
      </c>
      <c r="B58" s="6">
        <f>IF($H58="","",COUNTIF('04_Technical'!$B$2:$B$1000,$I58)+COUNTIF('04_Technical'!$C$2:$C$1000,$H58))</f>
        <v/>
      </c>
      <c r="C58" s="6">
        <f>IF($H58="","",COUNTIF('05_Equipment'!$B$2:$B$1000,$H58))</f>
        <v/>
      </c>
      <c r="D58" s="6">
        <f>IF($H58="","",COUNTIF('08_Evidence'!$B$2:$B$1000,$I58)+COUNTIF('08_Evidence'!$C$2:$C$1000,$H58))</f>
        <v/>
      </c>
      <c r="E58" s="6">
        <f>IF($H58="","",COUNTIF('07_Reviews'!$B$2:$B$1000,$I58)+COUNTIF('07_Reviews'!$C$2:$C$1000,$H58))</f>
        <v/>
      </c>
      <c r="F58" s="6">
        <f>IF($H58="","",COUNTIF('10_Scoring'!$B$2:$B$1000,$H58))</f>
        <v/>
      </c>
      <c r="G58" s="6" t="n"/>
      <c r="H58" s="6" t="inlineStr">
        <is>
          <t>BYD_ATTO3_DESIGN</t>
        </is>
      </c>
      <c r="I58" s="6">
        <f>IFERROR(INDEX('03_Configurations'!$B$2:$B$1000,MATCH($H58,'03_Configurations'!$A$2:$A$1000,0)),"")</f>
        <v/>
      </c>
    </row>
    <row r="59">
      <c r="A59" s="6">
        <f>IF($H59="","",$H59)</f>
        <v/>
      </c>
      <c r="B59" s="6">
        <f>IF($H59="","",COUNTIF('04_Technical'!$B$2:$B$1000,$I59)+COUNTIF('04_Technical'!$C$2:$C$1000,$H59))</f>
        <v/>
      </c>
      <c r="C59" s="6">
        <f>IF($H59="","",COUNTIF('05_Equipment'!$B$2:$B$1000,$H59))</f>
        <v/>
      </c>
      <c r="D59" s="6">
        <f>IF($H59="","",COUNTIF('08_Evidence'!$B$2:$B$1000,$I59)+COUNTIF('08_Evidence'!$C$2:$C$1000,$H59))</f>
        <v/>
      </c>
      <c r="E59" s="6">
        <f>IF($H59="","",COUNTIF('07_Reviews'!$B$2:$B$1000,$I59)+COUNTIF('07_Reviews'!$C$2:$C$1000,$H59))</f>
        <v/>
      </c>
      <c r="F59" s="6">
        <f>IF($H59="","",COUNTIF('10_Scoring'!$B$2:$B$1000,$H59))</f>
        <v/>
      </c>
      <c r="G59" s="6" t="n"/>
      <c r="H59" s="6" t="inlineStr">
        <is>
          <t>SKODA_EPIQ_SELECTION_55_LAUNCH_EDITION</t>
        </is>
      </c>
      <c r="I59" s="6">
        <f>IFERROR(INDEX('03_Configurations'!$B$2:$B$1000,MATCH($H59,'03_Configurations'!$A$2:$A$1000,0)),"")</f>
        <v/>
      </c>
    </row>
    <row r="60">
      <c r="A60" s="6">
        <f>IF($H60="","",$H60)</f>
        <v/>
      </c>
      <c r="B60" s="6">
        <f>IF($H60="","",COUNTIF('04_Technical'!$B$2:$B$1000,$I60)+COUNTIF('04_Technical'!$C$2:$C$1000,$H60))</f>
        <v/>
      </c>
      <c r="C60" s="6">
        <f>IF($H60="","",COUNTIF('05_Equipment'!$B$2:$B$1000,$H60))</f>
        <v/>
      </c>
      <c r="D60" s="6">
        <f>IF($H60="","",COUNTIF('08_Evidence'!$B$2:$B$1000,$I60)+COUNTIF('08_Evidence'!$C$2:$C$1000,$H60))</f>
        <v/>
      </c>
      <c r="E60" s="6">
        <f>IF($H60="","",COUNTIF('07_Reviews'!$B$2:$B$1000,$I60)+COUNTIF('07_Reviews'!$C$2:$C$1000,$H60))</f>
        <v/>
      </c>
      <c r="F60" s="6">
        <f>IF($H60="","",COUNTIF('10_Scoring'!$B$2:$B$1000,$H60))</f>
        <v/>
      </c>
      <c r="G60" s="6" t="n"/>
      <c r="H60" s="6" t="n"/>
      <c r="I60" s="6">
        <f>IFERROR(INDEX('03_Configurations'!$B$2:$B$1000,MATCH($H60,'03_Configurations'!$A$2:$A$1000,0)),"")</f>
        <v/>
      </c>
    </row>
    <row r="61">
      <c r="A61" s="6">
        <f>IF($H61="","",$H61)</f>
        <v/>
      </c>
      <c r="B61" s="6">
        <f>IF($H61="","",COUNTIF('04_Technical'!$B$2:$B$1000,$I61)+COUNTIF('04_Technical'!$C$2:$C$1000,$H61))</f>
        <v/>
      </c>
      <c r="C61" s="6">
        <f>IF($H61="","",COUNTIF('05_Equipment'!$B$2:$B$1000,$H61))</f>
        <v/>
      </c>
      <c r="D61" s="6">
        <f>IF($H61="","",COUNTIF('08_Evidence'!$B$2:$B$1000,$I61)+COUNTIF('08_Evidence'!$C$2:$C$1000,$H61))</f>
        <v/>
      </c>
      <c r="E61" s="6">
        <f>IF($H61="","",COUNTIF('07_Reviews'!$B$2:$B$1000,$I61)+COUNTIF('07_Reviews'!$C$2:$C$1000,$H61))</f>
        <v/>
      </c>
      <c r="F61" s="6">
        <f>IF($H61="","",COUNTIF('10_Scoring'!$B$2:$B$1000,$H61))</f>
        <v/>
      </c>
      <c r="G61" s="6" t="n"/>
      <c r="H61" s="6" t="n"/>
      <c r="I61" s="6">
        <f>IFERROR(INDEX('03_Configurations'!$B$2:$B$1000,MATCH($H61,'03_Configurations'!$A$2:$A$1000,0)),"")</f>
        <v/>
      </c>
    </row>
    <row r="62">
      <c r="A62" s="6">
        <f>IF($H62="","",$H62)</f>
        <v/>
      </c>
      <c r="B62" s="6">
        <f>IF($H62="","",COUNTIF('04_Technical'!$B$2:$B$1000,$I62)+COUNTIF('04_Technical'!$C$2:$C$1000,$H62))</f>
        <v/>
      </c>
      <c r="C62" s="6">
        <f>IF($H62="","",COUNTIF('05_Equipment'!$B$2:$B$1000,$H62))</f>
        <v/>
      </c>
      <c r="D62" s="6">
        <f>IF($H62="","",COUNTIF('08_Evidence'!$B$2:$B$1000,$I62)+COUNTIF('08_Evidence'!$C$2:$C$1000,$H62))</f>
        <v/>
      </c>
      <c r="E62" s="6">
        <f>IF($H62="","",COUNTIF('07_Reviews'!$B$2:$B$1000,$I62)+COUNTIF('07_Reviews'!$C$2:$C$1000,$H62))</f>
        <v/>
      </c>
      <c r="F62" s="6">
        <f>IF($H62="","",COUNTIF('10_Scoring'!$B$2:$B$1000,$H62))</f>
        <v/>
      </c>
      <c r="G62" s="6" t="n"/>
      <c r="H62" s="6" t="n"/>
      <c r="I62" s="6">
        <f>IFERROR(INDEX('03_Configurations'!$B$2:$B$1000,MATCH($H62,'03_Configurations'!$A$2:$A$1000,0)),"")</f>
        <v/>
      </c>
    </row>
    <row r="63">
      <c r="A63" s="6">
        <f>IF($H63="","",$H63)</f>
        <v/>
      </c>
      <c r="B63" s="6">
        <f>IF($H63="","",COUNTIF('04_Technical'!$B$2:$B$1000,$I63)+COUNTIF('04_Technical'!$C$2:$C$1000,$H63))</f>
        <v/>
      </c>
      <c r="C63" s="6">
        <f>IF($H63="","",COUNTIF('05_Equipment'!$B$2:$B$1000,$H63))</f>
        <v/>
      </c>
      <c r="D63" s="6">
        <f>IF($H63="","",COUNTIF('08_Evidence'!$B$2:$B$1000,$I63)+COUNTIF('08_Evidence'!$C$2:$C$1000,$H63))</f>
        <v/>
      </c>
      <c r="E63" s="6">
        <f>IF($H63="","",COUNTIF('07_Reviews'!$B$2:$B$1000,$I63)+COUNTIF('07_Reviews'!$C$2:$C$1000,$H63))</f>
        <v/>
      </c>
      <c r="F63" s="6">
        <f>IF($H63="","",COUNTIF('10_Scoring'!$B$2:$B$1000,$H63))</f>
        <v/>
      </c>
      <c r="G63" s="6" t="n"/>
      <c r="H63" s="6" t="n"/>
      <c r="I63" s="6">
        <f>IFERROR(INDEX('03_Configurations'!$B$2:$B$1000,MATCH($H63,'03_Configurations'!$A$2:$A$1000,0)),"")</f>
        <v/>
      </c>
    </row>
    <row r="64">
      <c r="A64" s="6">
        <f>IF($H64="","",$H64)</f>
        <v/>
      </c>
      <c r="B64" s="6">
        <f>IF($H64="","",COUNTIF('04_Technical'!$B$2:$B$1000,$I64)+COUNTIF('04_Technical'!$C$2:$C$1000,$H64))</f>
        <v/>
      </c>
      <c r="C64" s="6">
        <f>IF($H64="","",COUNTIF('05_Equipment'!$B$2:$B$1000,$H64))</f>
        <v/>
      </c>
      <c r="D64" s="6">
        <f>IF($H64="","",COUNTIF('08_Evidence'!$B$2:$B$1000,$I64)+COUNTIF('08_Evidence'!$C$2:$C$1000,$H64))</f>
        <v/>
      </c>
      <c r="E64" s="6">
        <f>IF($H64="","",COUNTIF('07_Reviews'!$B$2:$B$1000,$I64)+COUNTIF('07_Reviews'!$C$2:$C$1000,$H64))</f>
        <v/>
      </c>
      <c r="F64" s="6">
        <f>IF($H64="","",COUNTIF('10_Scoring'!$B$2:$B$1000,$H64))</f>
        <v/>
      </c>
      <c r="G64" s="6" t="n"/>
      <c r="H64" s="6" t="n"/>
      <c r="I64" s="6">
        <f>IFERROR(INDEX('03_Configurations'!$B$2:$B$1000,MATCH($H64,'03_Configurations'!$A$2:$A$1000,0)),"")</f>
        <v/>
      </c>
    </row>
    <row r="65">
      <c r="A65" s="6">
        <f>IF($H65="","",$H65)</f>
        <v/>
      </c>
      <c r="B65" s="6">
        <f>IF($H65="","",COUNTIF('04_Technical'!$B$2:$B$1000,$I65)+COUNTIF('04_Technical'!$C$2:$C$1000,$H65))</f>
        <v/>
      </c>
      <c r="C65" s="6">
        <f>IF($H65="","",COUNTIF('05_Equipment'!$B$2:$B$1000,$H65))</f>
        <v/>
      </c>
      <c r="D65" s="6">
        <f>IF($H65="","",COUNTIF('08_Evidence'!$B$2:$B$1000,$I65)+COUNTIF('08_Evidence'!$C$2:$C$1000,$H65))</f>
        <v/>
      </c>
      <c r="E65" s="6">
        <f>IF($H65="","",COUNTIF('07_Reviews'!$B$2:$B$1000,$I65)+COUNTIF('07_Reviews'!$C$2:$C$1000,$H65))</f>
        <v/>
      </c>
      <c r="F65" s="6">
        <f>IF($H65="","",COUNTIF('10_Scoring'!$B$2:$B$1000,$H65))</f>
        <v/>
      </c>
      <c r="G65" s="6" t="n"/>
      <c r="H65" s="6" t="n"/>
      <c r="I65" s="6">
        <f>IFERROR(INDEX('03_Configurations'!$B$2:$B$1000,MATCH($H65,'03_Configurations'!$A$2:$A$1000,0)),"")</f>
        <v/>
      </c>
    </row>
    <row r="66">
      <c r="A66" s="6">
        <f>IF($H66="","",$H66)</f>
        <v/>
      </c>
      <c r="B66" s="6">
        <f>IF($H66="","",COUNTIF('04_Technical'!$B$2:$B$1000,$I66)+COUNTIF('04_Technical'!$C$2:$C$1000,$H66))</f>
        <v/>
      </c>
      <c r="C66" s="6">
        <f>IF($H66="","",COUNTIF('05_Equipment'!$B$2:$B$1000,$H66))</f>
        <v/>
      </c>
      <c r="D66" s="6">
        <f>IF($H66="","",COUNTIF('08_Evidence'!$B$2:$B$1000,$I66)+COUNTIF('08_Evidence'!$C$2:$C$1000,$H66))</f>
        <v/>
      </c>
      <c r="E66" s="6">
        <f>IF($H66="","",COUNTIF('07_Reviews'!$B$2:$B$1000,$I66)+COUNTIF('07_Reviews'!$C$2:$C$1000,$H66))</f>
        <v/>
      </c>
      <c r="F66" s="6">
        <f>IF($H66="","",COUNTIF('10_Scoring'!$B$2:$B$1000,$H66))</f>
        <v/>
      </c>
      <c r="G66" s="6" t="n"/>
      <c r="H66" s="6" t="n"/>
      <c r="I66" s="6">
        <f>IFERROR(INDEX('03_Configurations'!$B$2:$B$1000,MATCH($H66,'03_Configurations'!$A$2:$A$1000,0)),"")</f>
        <v/>
      </c>
    </row>
    <row r="67">
      <c r="A67" s="6">
        <f>IF($H67="","",$H67)</f>
        <v/>
      </c>
      <c r="B67" s="6">
        <f>IF($H67="","",COUNTIF('04_Technical'!$B$2:$B$1000,$I67)+COUNTIF('04_Technical'!$C$2:$C$1000,$H67))</f>
        <v/>
      </c>
      <c r="C67" s="6">
        <f>IF($H67="","",COUNTIF('05_Equipment'!$B$2:$B$1000,$H67))</f>
        <v/>
      </c>
      <c r="D67" s="6">
        <f>IF($H67="","",COUNTIF('08_Evidence'!$B$2:$B$1000,$I67)+COUNTIF('08_Evidence'!$C$2:$C$1000,$H67))</f>
        <v/>
      </c>
      <c r="E67" s="6">
        <f>IF($H67="","",COUNTIF('07_Reviews'!$B$2:$B$1000,$I67)+COUNTIF('07_Reviews'!$C$2:$C$1000,$H67))</f>
        <v/>
      </c>
      <c r="F67" s="6">
        <f>IF($H67="","",COUNTIF('10_Scoring'!$B$2:$B$1000,$H67))</f>
        <v/>
      </c>
      <c r="G67" s="6" t="n"/>
      <c r="H67" s="6" t="n"/>
      <c r="I67" s="6">
        <f>IFERROR(INDEX('03_Configurations'!$B$2:$B$1000,MATCH($H67,'03_Configurations'!$A$2:$A$1000,0)),"")</f>
        <v/>
      </c>
    </row>
    <row r="68">
      <c r="A68" s="6">
        <f>IF($H68="","",$H68)</f>
        <v/>
      </c>
      <c r="B68" s="6">
        <f>IF($H68="","",COUNTIF('04_Technical'!$B$2:$B$1000,$I68)+COUNTIF('04_Technical'!$C$2:$C$1000,$H68))</f>
        <v/>
      </c>
      <c r="C68" s="6">
        <f>IF($H68="","",COUNTIF('05_Equipment'!$B$2:$B$1000,$H68))</f>
        <v/>
      </c>
      <c r="D68" s="6">
        <f>IF($H68="","",COUNTIF('08_Evidence'!$B$2:$B$1000,$I68)+COUNTIF('08_Evidence'!$C$2:$C$1000,$H68))</f>
        <v/>
      </c>
      <c r="E68" s="6">
        <f>IF($H68="","",COUNTIF('07_Reviews'!$B$2:$B$1000,$I68)+COUNTIF('07_Reviews'!$C$2:$C$1000,$H68))</f>
        <v/>
      </c>
      <c r="F68" s="6">
        <f>IF($H68="","",COUNTIF('10_Scoring'!$B$2:$B$1000,$H68))</f>
        <v/>
      </c>
      <c r="G68" s="6" t="n"/>
      <c r="H68" s="6" t="n"/>
      <c r="I68" s="6">
        <f>IFERROR(INDEX('03_Configurations'!$B$2:$B$1000,MATCH($H68,'03_Configurations'!$A$2:$A$1000,0)),"")</f>
        <v/>
      </c>
    </row>
    <row r="69">
      <c r="A69" s="6">
        <f>IF($H69="","",$H69)</f>
        <v/>
      </c>
      <c r="B69" s="6">
        <f>IF($H69="","",COUNTIF('04_Technical'!$B$2:$B$1000,$I69)+COUNTIF('04_Technical'!$C$2:$C$1000,$H69))</f>
        <v/>
      </c>
      <c r="C69" s="6">
        <f>IF($H69="","",COUNTIF('05_Equipment'!$B$2:$B$1000,$H69))</f>
        <v/>
      </c>
      <c r="D69" s="6">
        <f>IF($H69="","",COUNTIF('08_Evidence'!$B$2:$B$1000,$I69)+COUNTIF('08_Evidence'!$C$2:$C$1000,$H69))</f>
        <v/>
      </c>
      <c r="E69" s="6">
        <f>IF($H69="","",COUNTIF('07_Reviews'!$B$2:$B$1000,$I69)+COUNTIF('07_Reviews'!$C$2:$C$1000,$H69))</f>
        <v/>
      </c>
      <c r="F69" s="6">
        <f>IF($H69="","",COUNTIF('10_Scoring'!$B$2:$B$1000,$H69))</f>
        <v/>
      </c>
      <c r="G69" s="6" t="n"/>
      <c r="H69" s="6" t="n"/>
      <c r="I69" s="6">
        <f>IFERROR(INDEX('03_Configurations'!$B$2:$B$1000,MATCH($H69,'03_Configurations'!$A$2:$A$1000,0)),"")</f>
        <v/>
      </c>
    </row>
    <row r="70">
      <c r="A70" s="6">
        <f>IF($H70="","",$H70)</f>
        <v/>
      </c>
      <c r="B70" s="6">
        <f>IF($H70="","",COUNTIF('04_Technical'!$B$2:$B$1000,$I70)+COUNTIF('04_Technical'!$C$2:$C$1000,$H70))</f>
        <v/>
      </c>
      <c r="C70" s="6">
        <f>IF($H70="","",COUNTIF('05_Equipment'!$B$2:$B$1000,$H70))</f>
        <v/>
      </c>
      <c r="D70" s="6">
        <f>IF($H70="","",COUNTIF('08_Evidence'!$B$2:$B$1000,$I70)+COUNTIF('08_Evidence'!$C$2:$C$1000,$H70))</f>
        <v/>
      </c>
      <c r="E70" s="6">
        <f>IF($H70="","",COUNTIF('07_Reviews'!$B$2:$B$1000,$I70)+COUNTIF('07_Reviews'!$C$2:$C$1000,$H70))</f>
        <v/>
      </c>
      <c r="F70" s="6">
        <f>IF($H70="","",COUNTIF('10_Scoring'!$B$2:$B$1000,$H70))</f>
        <v/>
      </c>
      <c r="G70" s="6" t="n"/>
      <c r="H70" s="6" t="n"/>
      <c r="I70" s="6">
        <f>IFERROR(INDEX('03_Configurations'!$B$2:$B$1000,MATCH($H70,'03_Configurations'!$A$2:$A$1000,0)),"")</f>
        <v/>
      </c>
    </row>
    <row r="71">
      <c r="A71" s="6">
        <f>IF($H71="","",$H71)</f>
        <v/>
      </c>
      <c r="B71" s="6">
        <f>IF($H71="","",COUNTIF('04_Technical'!$B$2:$B$1000,$I71)+COUNTIF('04_Technical'!$C$2:$C$1000,$H71))</f>
        <v/>
      </c>
      <c r="C71" s="6">
        <f>IF($H71="","",COUNTIF('05_Equipment'!$B$2:$B$1000,$H71))</f>
        <v/>
      </c>
      <c r="D71" s="6">
        <f>IF($H71="","",COUNTIF('08_Evidence'!$B$2:$B$1000,$I71)+COUNTIF('08_Evidence'!$C$2:$C$1000,$H71))</f>
        <v/>
      </c>
      <c r="E71" s="6">
        <f>IF($H71="","",COUNTIF('07_Reviews'!$B$2:$B$1000,$I71)+COUNTIF('07_Reviews'!$C$2:$C$1000,$H71))</f>
        <v/>
      </c>
      <c r="F71" s="6">
        <f>IF($H71="","",COUNTIF('10_Scoring'!$B$2:$B$1000,$H71))</f>
        <v/>
      </c>
      <c r="G71" s="6" t="n"/>
      <c r="H71" s="6" t="n"/>
      <c r="I71" s="6">
        <f>IFERROR(INDEX('03_Configurations'!$B$2:$B$1000,MATCH($H71,'03_Configurations'!$A$2:$A$1000,0)),"")</f>
        <v/>
      </c>
    </row>
    <row r="72">
      <c r="A72" s="6">
        <f>IF($H72="","",$H72)</f>
        <v/>
      </c>
      <c r="B72" s="6">
        <f>IF($H72="","",COUNTIF('04_Technical'!$B$2:$B$1000,$I72)+COUNTIF('04_Technical'!$C$2:$C$1000,$H72))</f>
        <v/>
      </c>
      <c r="C72" s="6">
        <f>IF($H72="","",COUNTIF('05_Equipment'!$B$2:$B$1000,$H72))</f>
        <v/>
      </c>
      <c r="D72" s="6">
        <f>IF($H72="","",COUNTIF('08_Evidence'!$B$2:$B$1000,$I72)+COUNTIF('08_Evidence'!$C$2:$C$1000,$H72))</f>
        <v/>
      </c>
      <c r="E72" s="6">
        <f>IF($H72="","",COUNTIF('07_Reviews'!$B$2:$B$1000,$I72)+COUNTIF('07_Reviews'!$C$2:$C$1000,$H72))</f>
        <v/>
      </c>
      <c r="F72" s="6">
        <f>IF($H72="","",COUNTIF('10_Scoring'!$B$2:$B$1000,$H72))</f>
        <v/>
      </c>
      <c r="G72" s="6" t="n"/>
      <c r="H72" s="6" t="n"/>
      <c r="I72" s="6">
        <f>IFERROR(INDEX('03_Configurations'!$B$2:$B$1000,MATCH($H72,'03_Configurations'!$A$2:$A$1000,0)),"")</f>
        <v/>
      </c>
    </row>
    <row r="74">
      <c r="A74" s="4" t="inlineStr">
        <is>
          <t>4. Configuration Comparator</t>
        </is>
      </c>
    </row>
    <row r="75">
      <c r="A75" s="3" t="inlineStr">
        <is>
          <t>Select two ConfigurationIDs below to compare every scored Criterion side-by-side, including Confidence and the underlying Review text.</t>
        </is>
      </c>
    </row>
    <row r="77">
      <c r="A77" s="8" t="inlineStr">
        <is>
          <t>Configuration A</t>
        </is>
      </c>
      <c r="B77" s="9" t="n"/>
    </row>
    <row r="78">
      <c r="A78" s="8" t="inlineStr">
        <is>
          <t>Configuration B</t>
        </is>
      </c>
      <c r="B78" s="9" t="n"/>
    </row>
    <row r="80">
      <c r="A80" s="10" t="inlineStr">
        <is>
          <t>Metric</t>
        </is>
      </c>
      <c r="B80" s="10" t="inlineStr">
        <is>
          <t>Configuration A</t>
        </is>
      </c>
      <c r="C80" s="10" t="inlineStr">
        <is>
          <t>Configuration B</t>
        </is>
      </c>
    </row>
    <row r="81">
      <c r="A81" s="8" t="inlineStr">
        <is>
          <t>Vehicle / Trim</t>
        </is>
      </c>
      <c r="B81">
        <f>IF($B$77="","",IFERROR(INDEX('02_Vehicles'!$B$2:$B$1000,MATCH(INDEX('03_Configurations'!$B$2:$B$1000,MATCH($B$77,'03_Configurations'!$A$2:$A$1000,0)),'02_Vehicles'!$A$2:$A$1000,0))&amp;" "&amp;INDEX('02_Vehicles'!$C$2:$C$1000,MATCH(INDEX('03_Configurations'!$B$2:$B$1000,MATCH($B$77,'03_Configurations'!$A$2:$A$1000,0)),'02_Vehicles'!$A$2:$A$1000,0))&amp;" ("&amp;INDEX('03_Configurations'!$E$2:$E$1000,MATCH($B$77,'03_Configurations'!$A$2:$A$1000,0))&amp;")",""))</f>
        <v/>
      </c>
      <c r="C81">
        <f>IF($B$78="","",IFERROR(INDEX('02_Vehicles'!$B$2:$B$1000,MATCH(INDEX('03_Configurations'!$B$2:$B$1000,MATCH($B$78,'03_Configurations'!$A$2:$A$1000,0)),'02_Vehicles'!$A$2:$A$1000,0))&amp;" "&amp;INDEX('02_Vehicles'!$C$2:$C$1000,MATCH(INDEX('03_Configurations'!$B$2:$B$1000,MATCH($B$78,'03_Configurations'!$A$2:$A$1000,0)),'02_Vehicles'!$A$2:$A$1000,0))&amp;" ("&amp;INDEX('03_Configurations'!$E$2:$E$1000,MATCH($B$78,'03_Configurations'!$A$2:$A$1000,0))&amp;")",""))</f>
        <v/>
      </c>
    </row>
    <row r="82">
      <c r="A82" s="8" t="inlineStr">
        <is>
          <t>ConfiguredPrice</t>
        </is>
      </c>
      <c r="B82">
        <f>IF($B$77="","",IFERROR(INDEX('03_Configurations'!$G$2:$G$1000,MATCH($B$77,'03_Configurations'!$A$2:$A$1000,0)),""))</f>
        <v/>
      </c>
      <c r="C82">
        <f>IF($B$78="","",IFERROR(INDEX('03_Configurations'!$G$2:$G$1000,MATCH($B$78,'03_Configurations'!$A$2:$A$1000,0)),""))</f>
        <v/>
      </c>
    </row>
    <row r="83">
      <c r="A83" s="8" t="inlineStr">
        <is>
          <t>OverallScore</t>
        </is>
      </c>
      <c r="B83">
        <f>IF($B$77="","",IFERROR(INDEX('12_OverallScores'!$D$2:$D$1000,MATCH($B$77,'12_OverallScores'!$B$2:$B$1000,0)),""))</f>
        <v/>
      </c>
      <c r="C83">
        <f>IF($B$78="","",IFERROR(INDEX('12_OverallScores'!$D$2:$D$1000,MATCH($B$78,'12_OverallScores'!$B$2:$B$1000,0)),""))</f>
        <v/>
      </c>
    </row>
    <row r="84">
      <c r="A84" s="8" t="inlineStr">
        <is>
          <t>CoveragePercent</t>
        </is>
      </c>
      <c r="B84">
        <f>IF($B$77="","",IFERROR(INDEX('12_OverallScores'!$E$2:$E$1000,MATCH($B$77,'12_OverallScores'!$B$2:$B$1000,0)),""))</f>
        <v/>
      </c>
      <c r="C84">
        <f>IF($B$78="","",IFERROR(INDEX('12_OverallScores'!$E$2:$E$1000,MATCH($B$78,'12_OverallScores'!$B$2:$B$1000,0)),""))</f>
        <v/>
      </c>
    </row>
    <row r="85">
      <c r="A85" s="8" t="inlineStr">
        <is>
          <t>Hard Requirement Status</t>
        </is>
      </c>
      <c r="B85">
        <f>IF($B$77="","",IF(COUNTIFS('14_HardRequirementResults'!$B$2:$B$1000,$B$77,'14_HardRequirementResults'!$D$2:$D$1000,"FAIL")&gt;0,IF(IFERROR(INDEX('03_Configurations'!$I$2:$I$1000,MATCH($B$77,'03_Configurations'!$A$2:$A$1000,0)),"FALSE")="TRUE","FAIL - kept, overridden","FAIL - excluded"),IF(COUNTIFS('14_HardRequirementResults'!$B$2:$B$1000,$B$77,'14_HardRequirementResults'!$D$2:$D$1000,"UNKNOWN")&gt;0,"UNKNOWN","PASS")))</f>
        <v/>
      </c>
      <c r="C85">
        <f>IF($B$78="","",IF(COUNTIFS('14_HardRequirementResults'!$B$2:$B$1000,$B$78,'14_HardRequirementResults'!$D$2:$D$1000,"FAIL")&gt;0,IF(IFERROR(INDEX('03_Configurations'!$I$2:$I$1000,MATCH($B$78,'03_Configurations'!$A$2:$A$1000,0)),"FALSE")="TRUE","FAIL - kept, overridden","FAIL - excluded"),IF(COUNTIFS('14_HardRequirementResults'!$B$2:$B$1000,$B$78,'14_HardRequirementResults'!$D$2:$D$1000,"UNKNOWN")&gt;0,"UNKNOWN","PASS")))</f>
        <v/>
      </c>
    </row>
    <row r="87">
      <c r="A87" s="10" t="inlineStr">
        <is>
          <t>CriterionID</t>
        </is>
      </c>
      <c r="B87" s="10" t="inlineStr">
        <is>
          <t>Category</t>
        </is>
      </c>
      <c r="C87" s="10" t="inlineStr">
        <is>
          <t>Criterion</t>
        </is>
      </c>
      <c r="D87" s="10" t="inlineStr">
        <is>
          <t>Weight</t>
        </is>
      </c>
      <c r="E87" s="10" t="inlineStr">
        <is>
          <t>A: Score (1-5)</t>
        </is>
      </c>
      <c r="F87" s="10" t="inlineStr">
        <is>
          <t>A: Confidence</t>
        </is>
      </c>
      <c r="G87" s="10" t="inlineStr">
        <is>
          <t>A: WeightedScore</t>
        </is>
      </c>
      <c r="H87" s="10" t="inlineStr">
        <is>
          <t>B: Score (1-5)</t>
        </is>
      </c>
      <c r="I87" s="10" t="inlineStr">
        <is>
          <t>B: Confidence</t>
        </is>
      </c>
      <c r="J87" s="10" t="inlineStr">
        <is>
          <t>B: WeightedScore</t>
        </is>
      </c>
      <c r="K87" s="10" t="inlineStr">
        <is>
          <t>Δ WeightedScore (B-A)</t>
        </is>
      </c>
      <c r="M87" s="10" t="inlineStr">
        <is>
          <t>A: Review Summary</t>
        </is>
      </c>
      <c r="N87" s="10" t="inlineStr">
        <is>
          <t>B: Review Summary</t>
        </is>
      </c>
      <c r="P87" s="10" t="inlineStr">
        <is>
          <t>A: ReviewID (helper)</t>
        </is>
      </c>
      <c r="Q87" s="10" t="inlineStr">
        <is>
          <t>B: ReviewID (helper)</t>
        </is>
      </c>
    </row>
    <row r="88" ht="60" customHeight="1">
      <c r="A88" t="inlineStr">
        <is>
          <t>W001</t>
        </is>
      </c>
      <c r="B88">
        <f>IFERROR(INDEX('01_Criteria'!$B$2:$B$1000,MATCH($A88,'01_Criteria'!$A$2:$A$1000,0)),"")</f>
        <v/>
      </c>
      <c r="C88">
        <f>IFERROR(INDEX('01_Criteria'!$C$2:$C$1000,MATCH($A88,'01_Criteria'!$A$2:$A$1000,0)),"")</f>
        <v/>
      </c>
      <c r="D88">
        <f>IFERROR(INDEX('01_Criteria'!$F$2:$F$1000,MATCH($A88,'01_Criteria'!$A$2:$A$1000,0)),"")</f>
        <v/>
      </c>
      <c r="E88">
        <f>IF($P88="","",IFERROR(INDEX('07_Reviews'!$E$2:$E$1000,MATCH($P88,'07_Reviews'!$A$2:$A$1000,0)),""))</f>
        <v/>
      </c>
      <c r="F88">
        <f>IF($P88="","",IFERROR(INDEX('07_Reviews'!$F$2:$F$1000,MATCH($P88,'07_Reviews'!$A$2:$A$1000,0)),""))</f>
        <v/>
      </c>
      <c r="G88">
        <f>IF($P88="","",IFERROR(INDEX('10_Scoring'!$G$2:$G$1000,MATCH($P88,'10_Scoring'!$D$2:$D$1000,0)),""))</f>
        <v/>
      </c>
      <c r="H88">
        <f>IF($Q88="","",IFERROR(INDEX('07_Reviews'!$E$2:$E$1000,MATCH($Q88,'07_Reviews'!$A$2:$A$1000,0)),""))</f>
        <v/>
      </c>
      <c r="I88">
        <f>IF($Q88="","",IFERROR(INDEX('07_Reviews'!$F$2:$F$1000,MATCH($Q88,'07_Reviews'!$A$2:$A$1000,0)),""))</f>
        <v/>
      </c>
      <c r="J88">
        <f>IF($Q88="","",IFERROR(INDEX('10_Scoring'!$G$2:$G$1000,MATCH($Q88,'10_Scoring'!$D$2:$D$1000,0)),""))</f>
        <v/>
      </c>
      <c r="K88">
        <f>IF(OR($G88="",$J88=""),"",$J88-$G88)</f>
        <v/>
      </c>
      <c r="M88" s="11">
        <f>IF($P88="","",IFERROR(INDEX('07_Reviews'!$G$2:$G$1000,MATCH($P88,'07_Reviews'!$A$2:$A$1000,0)),""))</f>
        <v/>
      </c>
      <c r="N88" s="11">
        <f>IF($Q88="","",IFERROR(INDEX('07_Reviews'!$G$2:$G$1000,MATCH($Q88,'07_Reviews'!$A$2:$A$1000,0)),""))</f>
        <v/>
      </c>
      <c r="P88">
        <f>IF($B$77="","",IFERROR(INDEX('10_Scoring'!$D$2:$D$1000,MATCH(1,INDEX(('10_Scoring'!$B$2:$B$1000=$B$77)*('10_Scoring'!$C$2:$C$1000=$A88),0),0)),""))</f>
        <v/>
      </c>
      <c r="Q88">
        <f>IF($B$78="","",IFERROR(INDEX('10_Scoring'!$D$2:$D$1000,MATCH(1,INDEX(('10_Scoring'!$B$2:$B$1000=$B$78)*('10_Scoring'!$C$2:$C$1000=$A88),0),0)),""))</f>
        <v/>
      </c>
    </row>
    <row r="89" ht="60" customHeight="1">
      <c r="A89" t="inlineStr">
        <is>
          <t>W002</t>
        </is>
      </c>
      <c r="B89">
        <f>IFERROR(INDEX('01_Criteria'!$B$2:$B$1000,MATCH($A89,'01_Criteria'!$A$2:$A$1000,0)),"")</f>
        <v/>
      </c>
      <c r="C89">
        <f>IFERROR(INDEX('01_Criteria'!$C$2:$C$1000,MATCH($A89,'01_Criteria'!$A$2:$A$1000,0)),"")</f>
        <v/>
      </c>
      <c r="D89">
        <f>IFERROR(INDEX('01_Criteria'!$F$2:$F$1000,MATCH($A89,'01_Criteria'!$A$2:$A$1000,0)),"")</f>
        <v/>
      </c>
      <c r="E89">
        <f>IF($P89="","",IFERROR(INDEX('07_Reviews'!$E$2:$E$1000,MATCH($P89,'07_Reviews'!$A$2:$A$1000,0)),""))</f>
        <v/>
      </c>
      <c r="F89">
        <f>IF($P89="","",IFERROR(INDEX('07_Reviews'!$F$2:$F$1000,MATCH($P89,'07_Reviews'!$A$2:$A$1000,0)),""))</f>
        <v/>
      </c>
      <c r="G89">
        <f>IF($P89="","",IFERROR(INDEX('10_Scoring'!$G$2:$G$1000,MATCH($P89,'10_Scoring'!$D$2:$D$1000,0)),""))</f>
        <v/>
      </c>
      <c r="H89">
        <f>IF($Q89="","",IFERROR(INDEX('07_Reviews'!$E$2:$E$1000,MATCH($Q89,'07_Reviews'!$A$2:$A$1000,0)),""))</f>
        <v/>
      </c>
      <c r="I89">
        <f>IF($Q89="","",IFERROR(INDEX('07_Reviews'!$F$2:$F$1000,MATCH($Q89,'07_Reviews'!$A$2:$A$1000,0)),""))</f>
        <v/>
      </c>
      <c r="J89">
        <f>IF($Q89="","",IFERROR(INDEX('10_Scoring'!$G$2:$G$1000,MATCH($Q89,'10_Scoring'!$D$2:$D$1000,0)),""))</f>
        <v/>
      </c>
      <c r="K89">
        <f>IF(OR($G89="",$J89=""),"",$J89-$G89)</f>
        <v/>
      </c>
      <c r="M89" s="11">
        <f>IF($P89="","",IFERROR(INDEX('07_Reviews'!$G$2:$G$1000,MATCH($P89,'07_Reviews'!$A$2:$A$1000,0)),""))</f>
        <v/>
      </c>
      <c r="N89" s="11">
        <f>IF($Q89="","",IFERROR(INDEX('07_Reviews'!$G$2:$G$1000,MATCH($Q89,'07_Reviews'!$A$2:$A$1000,0)),""))</f>
        <v/>
      </c>
      <c r="P89">
        <f>IF($B$77="","",IFERROR(INDEX('10_Scoring'!$D$2:$D$1000,MATCH(1,INDEX(('10_Scoring'!$B$2:$B$1000=$B$77)*('10_Scoring'!$C$2:$C$1000=$A89),0),0)),""))</f>
        <v/>
      </c>
      <c r="Q89">
        <f>IF($B$78="","",IFERROR(INDEX('10_Scoring'!$D$2:$D$1000,MATCH(1,INDEX(('10_Scoring'!$B$2:$B$1000=$B$78)*('10_Scoring'!$C$2:$C$1000=$A89),0),0)),""))</f>
        <v/>
      </c>
    </row>
    <row r="90" ht="60" customHeight="1">
      <c r="A90" t="inlineStr">
        <is>
          <t>W003</t>
        </is>
      </c>
      <c r="B90">
        <f>IFERROR(INDEX('01_Criteria'!$B$2:$B$1000,MATCH($A90,'01_Criteria'!$A$2:$A$1000,0)),"")</f>
        <v/>
      </c>
      <c r="C90">
        <f>IFERROR(INDEX('01_Criteria'!$C$2:$C$1000,MATCH($A90,'01_Criteria'!$A$2:$A$1000,0)),"")</f>
        <v/>
      </c>
      <c r="D90">
        <f>IFERROR(INDEX('01_Criteria'!$F$2:$F$1000,MATCH($A90,'01_Criteria'!$A$2:$A$1000,0)),"")</f>
        <v/>
      </c>
      <c r="E90">
        <f>IF($P90="","",IFERROR(INDEX('07_Reviews'!$E$2:$E$1000,MATCH($P90,'07_Reviews'!$A$2:$A$1000,0)),""))</f>
        <v/>
      </c>
      <c r="F90">
        <f>IF($P90="","",IFERROR(INDEX('07_Reviews'!$F$2:$F$1000,MATCH($P90,'07_Reviews'!$A$2:$A$1000,0)),""))</f>
        <v/>
      </c>
      <c r="G90">
        <f>IF($P90="","",IFERROR(INDEX('10_Scoring'!$G$2:$G$1000,MATCH($P90,'10_Scoring'!$D$2:$D$1000,0)),""))</f>
        <v/>
      </c>
      <c r="H90">
        <f>IF($Q90="","",IFERROR(INDEX('07_Reviews'!$E$2:$E$1000,MATCH($Q90,'07_Reviews'!$A$2:$A$1000,0)),""))</f>
        <v/>
      </c>
      <c r="I90">
        <f>IF($Q90="","",IFERROR(INDEX('07_Reviews'!$F$2:$F$1000,MATCH($Q90,'07_Reviews'!$A$2:$A$1000,0)),""))</f>
        <v/>
      </c>
      <c r="J90">
        <f>IF($Q90="","",IFERROR(INDEX('10_Scoring'!$G$2:$G$1000,MATCH($Q90,'10_Scoring'!$D$2:$D$1000,0)),""))</f>
        <v/>
      </c>
      <c r="K90">
        <f>IF(OR($G90="",$J90=""),"",$J90-$G90)</f>
        <v/>
      </c>
      <c r="M90" s="11">
        <f>IF($P90="","",IFERROR(INDEX('07_Reviews'!$G$2:$G$1000,MATCH($P90,'07_Reviews'!$A$2:$A$1000,0)),""))</f>
        <v/>
      </c>
      <c r="N90" s="11">
        <f>IF($Q90="","",IFERROR(INDEX('07_Reviews'!$G$2:$G$1000,MATCH($Q90,'07_Reviews'!$A$2:$A$1000,0)),""))</f>
        <v/>
      </c>
      <c r="P90">
        <f>IF($B$77="","",IFERROR(INDEX('10_Scoring'!$D$2:$D$1000,MATCH(1,INDEX(('10_Scoring'!$B$2:$B$1000=$B$77)*('10_Scoring'!$C$2:$C$1000=$A90),0),0)),""))</f>
        <v/>
      </c>
      <c r="Q90">
        <f>IF($B$78="","",IFERROR(INDEX('10_Scoring'!$D$2:$D$1000,MATCH(1,INDEX(('10_Scoring'!$B$2:$B$1000=$B$78)*('10_Scoring'!$C$2:$C$1000=$A90),0),0)),""))</f>
        <v/>
      </c>
    </row>
    <row r="91" ht="60" customHeight="1">
      <c r="A91" t="inlineStr">
        <is>
          <t>W004</t>
        </is>
      </c>
      <c r="B91">
        <f>IFERROR(INDEX('01_Criteria'!$B$2:$B$1000,MATCH($A91,'01_Criteria'!$A$2:$A$1000,0)),"")</f>
        <v/>
      </c>
      <c r="C91">
        <f>IFERROR(INDEX('01_Criteria'!$C$2:$C$1000,MATCH($A91,'01_Criteria'!$A$2:$A$1000,0)),"")</f>
        <v/>
      </c>
      <c r="D91">
        <f>IFERROR(INDEX('01_Criteria'!$F$2:$F$1000,MATCH($A91,'01_Criteria'!$A$2:$A$1000,0)),"")</f>
        <v/>
      </c>
      <c r="E91">
        <f>IF($P91="","",IFERROR(INDEX('07_Reviews'!$E$2:$E$1000,MATCH($P91,'07_Reviews'!$A$2:$A$1000,0)),""))</f>
        <v/>
      </c>
      <c r="F91">
        <f>IF($P91="","",IFERROR(INDEX('07_Reviews'!$F$2:$F$1000,MATCH($P91,'07_Reviews'!$A$2:$A$1000,0)),""))</f>
        <v/>
      </c>
      <c r="G91">
        <f>IF($P91="","",IFERROR(INDEX('10_Scoring'!$G$2:$G$1000,MATCH($P91,'10_Scoring'!$D$2:$D$1000,0)),""))</f>
        <v/>
      </c>
      <c r="H91">
        <f>IF($Q91="","",IFERROR(INDEX('07_Reviews'!$E$2:$E$1000,MATCH($Q91,'07_Reviews'!$A$2:$A$1000,0)),""))</f>
        <v/>
      </c>
      <c r="I91">
        <f>IF($Q91="","",IFERROR(INDEX('07_Reviews'!$F$2:$F$1000,MATCH($Q91,'07_Reviews'!$A$2:$A$1000,0)),""))</f>
        <v/>
      </c>
      <c r="J91">
        <f>IF($Q91="","",IFERROR(INDEX('10_Scoring'!$G$2:$G$1000,MATCH($Q91,'10_Scoring'!$D$2:$D$1000,0)),""))</f>
        <v/>
      </c>
      <c r="K91">
        <f>IF(OR($G91="",$J91=""),"",$J91-$G91)</f>
        <v/>
      </c>
      <c r="M91" s="11">
        <f>IF($P91="","",IFERROR(INDEX('07_Reviews'!$G$2:$G$1000,MATCH($P91,'07_Reviews'!$A$2:$A$1000,0)),""))</f>
        <v/>
      </c>
      <c r="N91" s="11">
        <f>IF($Q91="","",IFERROR(INDEX('07_Reviews'!$G$2:$G$1000,MATCH($Q91,'07_Reviews'!$A$2:$A$1000,0)),""))</f>
        <v/>
      </c>
      <c r="P91">
        <f>IF($B$77="","",IFERROR(INDEX('10_Scoring'!$D$2:$D$1000,MATCH(1,INDEX(('10_Scoring'!$B$2:$B$1000=$B$77)*('10_Scoring'!$C$2:$C$1000=$A91),0),0)),""))</f>
        <v/>
      </c>
      <c r="Q91">
        <f>IF($B$78="","",IFERROR(INDEX('10_Scoring'!$D$2:$D$1000,MATCH(1,INDEX(('10_Scoring'!$B$2:$B$1000=$B$78)*('10_Scoring'!$C$2:$C$1000=$A91),0),0)),""))</f>
        <v/>
      </c>
    </row>
    <row r="92" ht="60" customHeight="1">
      <c r="A92" t="inlineStr">
        <is>
          <t>W005</t>
        </is>
      </c>
      <c r="B92">
        <f>IFERROR(INDEX('01_Criteria'!$B$2:$B$1000,MATCH($A92,'01_Criteria'!$A$2:$A$1000,0)),"")</f>
        <v/>
      </c>
      <c r="C92">
        <f>IFERROR(INDEX('01_Criteria'!$C$2:$C$1000,MATCH($A92,'01_Criteria'!$A$2:$A$1000,0)),"")</f>
        <v/>
      </c>
      <c r="D92">
        <f>IFERROR(INDEX('01_Criteria'!$F$2:$F$1000,MATCH($A92,'01_Criteria'!$A$2:$A$1000,0)),"")</f>
        <v/>
      </c>
      <c r="E92">
        <f>IF($P92="","",IFERROR(INDEX('07_Reviews'!$E$2:$E$1000,MATCH($P92,'07_Reviews'!$A$2:$A$1000,0)),""))</f>
        <v/>
      </c>
      <c r="F92">
        <f>IF($P92="","",IFERROR(INDEX('07_Reviews'!$F$2:$F$1000,MATCH($P92,'07_Reviews'!$A$2:$A$1000,0)),""))</f>
        <v/>
      </c>
      <c r="G92">
        <f>IF($P92="","",IFERROR(INDEX('10_Scoring'!$G$2:$G$1000,MATCH($P92,'10_Scoring'!$D$2:$D$1000,0)),""))</f>
        <v/>
      </c>
      <c r="H92">
        <f>IF($Q92="","",IFERROR(INDEX('07_Reviews'!$E$2:$E$1000,MATCH($Q92,'07_Reviews'!$A$2:$A$1000,0)),""))</f>
        <v/>
      </c>
      <c r="I92">
        <f>IF($Q92="","",IFERROR(INDEX('07_Reviews'!$F$2:$F$1000,MATCH($Q92,'07_Reviews'!$A$2:$A$1000,0)),""))</f>
        <v/>
      </c>
      <c r="J92">
        <f>IF($Q92="","",IFERROR(INDEX('10_Scoring'!$G$2:$G$1000,MATCH($Q92,'10_Scoring'!$D$2:$D$1000,0)),""))</f>
        <v/>
      </c>
      <c r="K92">
        <f>IF(OR($G92="",$J92=""),"",$J92-$G92)</f>
        <v/>
      </c>
      <c r="M92" s="11">
        <f>IF($P92="","",IFERROR(INDEX('07_Reviews'!$G$2:$G$1000,MATCH($P92,'07_Reviews'!$A$2:$A$1000,0)),""))</f>
        <v/>
      </c>
      <c r="N92" s="11">
        <f>IF($Q92="","",IFERROR(INDEX('07_Reviews'!$G$2:$G$1000,MATCH($Q92,'07_Reviews'!$A$2:$A$1000,0)),""))</f>
        <v/>
      </c>
      <c r="P92">
        <f>IF($B$77="","",IFERROR(INDEX('10_Scoring'!$D$2:$D$1000,MATCH(1,INDEX(('10_Scoring'!$B$2:$B$1000=$B$77)*('10_Scoring'!$C$2:$C$1000=$A92),0),0)),""))</f>
        <v/>
      </c>
      <c r="Q92">
        <f>IF($B$78="","",IFERROR(INDEX('10_Scoring'!$D$2:$D$1000,MATCH(1,INDEX(('10_Scoring'!$B$2:$B$1000=$B$78)*('10_Scoring'!$C$2:$C$1000=$A92),0),0)),""))</f>
        <v/>
      </c>
    </row>
    <row r="93" ht="60" customHeight="1">
      <c r="A93" t="inlineStr">
        <is>
          <t>W006</t>
        </is>
      </c>
      <c r="B93">
        <f>IFERROR(INDEX('01_Criteria'!$B$2:$B$1000,MATCH($A93,'01_Criteria'!$A$2:$A$1000,0)),"")</f>
        <v/>
      </c>
      <c r="C93">
        <f>IFERROR(INDEX('01_Criteria'!$C$2:$C$1000,MATCH($A93,'01_Criteria'!$A$2:$A$1000,0)),"")</f>
        <v/>
      </c>
      <c r="D93">
        <f>IFERROR(INDEX('01_Criteria'!$F$2:$F$1000,MATCH($A93,'01_Criteria'!$A$2:$A$1000,0)),"")</f>
        <v/>
      </c>
      <c r="E93">
        <f>IF($P93="","",IFERROR(INDEX('07_Reviews'!$E$2:$E$1000,MATCH($P93,'07_Reviews'!$A$2:$A$1000,0)),""))</f>
        <v/>
      </c>
      <c r="F93">
        <f>IF($P93="","",IFERROR(INDEX('07_Reviews'!$F$2:$F$1000,MATCH($P93,'07_Reviews'!$A$2:$A$1000,0)),""))</f>
        <v/>
      </c>
      <c r="G93">
        <f>IF($P93="","",IFERROR(INDEX('10_Scoring'!$G$2:$G$1000,MATCH($P93,'10_Scoring'!$D$2:$D$1000,0)),""))</f>
        <v/>
      </c>
      <c r="H93">
        <f>IF($Q93="","",IFERROR(INDEX('07_Reviews'!$E$2:$E$1000,MATCH($Q93,'07_Reviews'!$A$2:$A$1000,0)),""))</f>
        <v/>
      </c>
      <c r="I93">
        <f>IF($Q93="","",IFERROR(INDEX('07_Reviews'!$F$2:$F$1000,MATCH($Q93,'07_Reviews'!$A$2:$A$1000,0)),""))</f>
        <v/>
      </c>
      <c r="J93">
        <f>IF($Q93="","",IFERROR(INDEX('10_Scoring'!$G$2:$G$1000,MATCH($Q93,'10_Scoring'!$D$2:$D$1000,0)),""))</f>
        <v/>
      </c>
      <c r="K93">
        <f>IF(OR($G93="",$J93=""),"",$J93-$G93)</f>
        <v/>
      </c>
      <c r="M93" s="11">
        <f>IF($P93="","",IFERROR(INDEX('07_Reviews'!$G$2:$G$1000,MATCH($P93,'07_Reviews'!$A$2:$A$1000,0)),""))</f>
        <v/>
      </c>
      <c r="N93" s="11">
        <f>IF($Q93="","",IFERROR(INDEX('07_Reviews'!$G$2:$G$1000,MATCH($Q93,'07_Reviews'!$A$2:$A$1000,0)),""))</f>
        <v/>
      </c>
      <c r="P93">
        <f>IF($B$77="","",IFERROR(INDEX('10_Scoring'!$D$2:$D$1000,MATCH(1,INDEX(('10_Scoring'!$B$2:$B$1000=$B$77)*('10_Scoring'!$C$2:$C$1000=$A93),0),0)),""))</f>
        <v/>
      </c>
      <c r="Q93">
        <f>IF($B$78="","",IFERROR(INDEX('10_Scoring'!$D$2:$D$1000,MATCH(1,INDEX(('10_Scoring'!$B$2:$B$1000=$B$78)*('10_Scoring'!$C$2:$C$1000=$A93),0),0)),""))</f>
        <v/>
      </c>
    </row>
    <row r="94" ht="60" customHeight="1">
      <c r="A94" t="inlineStr">
        <is>
          <t>W007</t>
        </is>
      </c>
      <c r="B94">
        <f>IFERROR(INDEX('01_Criteria'!$B$2:$B$1000,MATCH($A94,'01_Criteria'!$A$2:$A$1000,0)),"")</f>
        <v/>
      </c>
      <c r="C94">
        <f>IFERROR(INDEX('01_Criteria'!$C$2:$C$1000,MATCH($A94,'01_Criteria'!$A$2:$A$1000,0)),"")</f>
        <v/>
      </c>
      <c r="D94">
        <f>IFERROR(INDEX('01_Criteria'!$F$2:$F$1000,MATCH($A94,'01_Criteria'!$A$2:$A$1000,0)),"")</f>
        <v/>
      </c>
      <c r="E94">
        <f>IF($P94="","",IFERROR(INDEX('07_Reviews'!$E$2:$E$1000,MATCH($P94,'07_Reviews'!$A$2:$A$1000,0)),""))</f>
        <v/>
      </c>
      <c r="F94">
        <f>IF($P94="","",IFERROR(INDEX('07_Reviews'!$F$2:$F$1000,MATCH($P94,'07_Reviews'!$A$2:$A$1000,0)),""))</f>
        <v/>
      </c>
      <c r="G94">
        <f>IF($P94="","",IFERROR(INDEX('10_Scoring'!$G$2:$G$1000,MATCH($P94,'10_Scoring'!$D$2:$D$1000,0)),""))</f>
        <v/>
      </c>
      <c r="H94">
        <f>IF($Q94="","",IFERROR(INDEX('07_Reviews'!$E$2:$E$1000,MATCH($Q94,'07_Reviews'!$A$2:$A$1000,0)),""))</f>
        <v/>
      </c>
      <c r="I94">
        <f>IF($Q94="","",IFERROR(INDEX('07_Reviews'!$F$2:$F$1000,MATCH($Q94,'07_Reviews'!$A$2:$A$1000,0)),""))</f>
        <v/>
      </c>
      <c r="J94">
        <f>IF($Q94="","",IFERROR(INDEX('10_Scoring'!$G$2:$G$1000,MATCH($Q94,'10_Scoring'!$D$2:$D$1000,0)),""))</f>
        <v/>
      </c>
      <c r="K94">
        <f>IF(OR($G94="",$J94=""),"",$J94-$G94)</f>
        <v/>
      </c>
      <c r="M94" s="11">
        <f>IF($P94="","",IFERROR(INDEX('07_Reviews'!$G$2:$G$1000,MATCH($P94,'07_Reviews'!$A$2:$A$1000,0)),""))</f>
        <v/>
      </c>
      <c r="N94" s="11">
        <f>IF($Q94="","",IFERROR(INDEX('07_Reviews'!$G$2:$G$1000,MATCH($Q94,'07_Reviews'!$A$2:$A$1000,0)),""))</f>
        <v/>
      </c>
      <c r="P94">
        <f>IF($B$77="","",IFERROR(INDEX('10_Scoring'!$D$2:$D$1000,MATCH(1,INDEX(('10_Scoring'!$B$2:$B$1000=$B$77)*('10_Scoring'!$C$2:$C$1000=$A94),0),0)),""))</f>
        <v/>
      </c>
      <c r="Q94">
        <f>IF($B$78="","",IFERROR(INDEX('10_Scoring'!$D$2:$D$1000,MATCH(1,INDEX(('10_Scoring'!$B$2:$B$1000=$B$78)*('10_Scoring'!$C$2:$C$1000=$A94),0),0)),""))</f>
        <v/>
      </c>
    </row>
    <row r="95" ht="60" customHeight="1">
      <c r="A95" t="inlineStr">
        <is>
          <t>W008</t>
        </is>
      </c>
      <c r="B95">
        <f>IFERROR(INDEX('01_Criteria'!$B$2:$B$1000,MATCH($A95,'01_Criteria'!$A$2:$A$1000,0)),"")</f>
        <v/>
      </c>
      <c r="C95">
        <f>IFERROR(INDEX('01_Criteria'!$C$2:$C$1000,MATCH($A95,'01_Criteria'!$A$2:$A$1000,0)),"")</f>
        <v/>
      </c>
      <c r="D95">
        <f>IFERROR(INDEX('01_Criteria'!$F$2:$F$1000,MATCH($A95,'01_Criteria'!$A$2:$A$1000,0)),"")</f>
        <v/>
      </c>
      <c r="E95">
        <f>IF($P95="","",IFERROR(INDEX('07_Reviews'!$E$2:$E$1000,MATCH($P95,'07_Reviews'!$A$2:$A$1000,0)),""))</f>
        <v/>
      </c>
      <c r="F95">
        <f>IF($P95="","",IFERROR(INDEX('07_Reviews'!$F$2:$F$1000,MATCH($P95,'07_Reviews'!$A$2:$A$1000,0)),""))</f>
        <v/>
      </c>
      <c r="G95">
        <f>IF($P95="","",IFERROR(INDEX('10_Scoring'!$G$2:$G$1000,MATCH($P95,'10_Scoring'!$D$2:$D$1000,0)),""))</f>
        <v/>
      </c>
      <c r="H95">
        <f>IF($Q95="","",IFERROR(INDEX('07_Reviews'!$E$2:$E$1000,MATCH($Q95,'07_Reviews'!$A$2:$A$1000,0)),""))</f>
        <v/>
      </c>
      <c r="I95">
        <f>IF($Q95="","",IFERROR(INDEX('07_Reviews'!$F$2:$F$1000,MATCH($Q95,'07_Reviews'!$A$2:$A$1000,0)),""))</f>
        <v/>
      </c>
      <c r="J95">
        <f>IF($Q95="","",IFERROR(INDEX('10_Scoring'!$G$2:$G$1000,MATCH($Q95,'10_Scoring'!$D$2:$D$1000,0)),""))</f>
        <v/>
      </c>
      <c r="K95">
        <f>IF(OR($G95="",$J95=""),"",$J95-$G95)</f>
        <v/>
      </c>
      <c r="M95" s="11">
        <f>IF($P95="","",IFERROR(INDEX('07_Reviews'!$G$2:$G$1000,MATCH($P95,'07_Reviews'!$A$2:$A$1000,0)),""))</f>
        <v/>
      </c>
      <c r="N95" s="11">
        <f>IF($Q95="","",IFERROR(INDEX('07_Reviews'!$G$2:$G$1000,MATCH($Q95,'07_Reviews'!$A$2:$A$1000,0)),""))</f>
        <v/>
      </c>
      <c r="P95">
        <f>IF($B$77="","",IFERROR(INDEX('10_Scoring'!$D$2:$D$1000,MATCH(1,INDEX(('10_Scoring'!$B$2:$B$1000=$B$77)*('10_Scoring'!$C$2:$C$1000=$A95),0),0)),""))</f>
        <v/>
      </c>
      <c r="Q95">
        <f>IF($B$78="","",IFERROR(INDEX('10_Scoring'!$D$2:$D$1000,MATCH(1,INDEX(('10_Scoring'!$B$2:$B$1000=$B$78)*('10_Scoring'!$C$2:$C$1000=$A95),0),0)),""))</f>
        <v/>
      </c>
    </row>
    <row r="96" ht="60" customHeight="1">
      <c r="A96" t="inlineStr">
        <is>
          <t>W009</t>
        </is>
      </c>
      <c r="B96">
        <f>IFERROR(INDEX('01_Criteria'!$B$2:$B$1000,MATCH($A96,'01_Criteria'!$A$2:$A$1000,0)),"")</f>
        <v/>
      </c>
      <c r="C96">
        <f>IFERROR(INDEX('01_Criteria'!$C$2:$C$1000,MATCH($A96,'01_Criteria'!$A$2:$A$1000,0)),"")</f>
        <v/>
      </c>
      <c r="D96">
        <f>IFERROR(INDEX('01_Criteria'!$F$2:$F$1000,MATCH($A96,'01_Criteria'!$A$2:$A$1000,0)),"")</f>
        <v/>
      </c>
      <c r="E96">
        <f>IF($P96="","",IFERROR(INDEX('07_Reviews'!$E$2:$E$1000,MATCH($P96,'07_Reviews'!$A$2:$A$1000,0)),""))</f>
        <v/>
      </c>
      <c r="F96">
        <f>IF($P96="","",IFERROR(INDEX('07_Reviews'!$F$2:$F$1000,MATCH($P96,'07_Reviews'!$A$2:$A$1000,0)),""))</f>
        <v/>
      </c>
      <c r="G96">
        <f>IF($P96="","",IFERROR(INDEX('10_Scoring'!$G$2:$G$1000,MATCH($P96,'10_Scoring'!$D$2:$D$1000,0)),""))</f>
        <v/>
      </c>
      <c r="H96">
        <f>IF($Q96="","",IFERROR(INDEX('07_Reviews'!$E$2:$E$1000,MATCH($Q96,'07_Reviews'!$A$2:$A$1000,0)),""))</f>
        <v/>
      </c>
      <c r="I96">
        <f>IF($Q96="","",IFERROR(INDEX('07_Reviews'!$F$2:$F$1000,MATCH($Q96,'07_Reviews'!$A$2:$A$1000,0)),""))</f>
        <v/>
      </c>
      <c r="J96">
        <f>IF($Q96="","",IFERROR(INDEX('10_Scoring'!$G$2:$G$1000,MATCH($Q96,'10_Scoring'!$D$2:$D$1000,0)),""))</f>
        <v/>
      </c>
      <c r="K96">
        <f>IF(OR($G96="",$J96=""),"",$J96-$G96)</f>
        <v/>
      </c>
      <c r="M96" s="11">
        <f>IF($P96="","",IFERROR(INDEX('07_Reviews'!$G$2:$G$1000,MATCH($P96,'07_Reviews'!$A$2:$A$1000,0)),""))</f>
        <v/>
      </c>
      <c r="N96" s="11">
        <f>IF($Q96="","",IFERROR(INDEX('07_Reviews'!$G$2:$G$1000,MATCH($Q96,'07_Reviews'!$A$2:$A$1000,0)),""))</f>
        <v/>
      </c>
      <c r="P96">
        <f>IF($B$77="","",IFERROR(INDEX('10_Scoring'!$D$2:$D$1000,MATCH(1,INDEX(('10_Scoring'!$B$2:$B$1000=$B$77)*('10_Scoring'!$C$2:$C$1000=$A96),0),0)),""))</f>
        <v/>
      </c>
      <c r="Q96">
        <f>IF($B$78="","",IFERROR(INDEX('10_Scoring'!$D$2:$D$1000,MATCH(1,INDEX(('10_Scoring'!$B$2:$B$1000=$B$78)*('10_Scoring'!$C$2:$C$1000=$A96),0),0)),""))</f>
        <v/>
      </c>
    </row>
    <row r="97" ht="60" customHeight="1">
      <c r="A97" t="inlineStr">
        <is>
          <t>W010</t>
        </is>
      </c>
      <c r="B97">
        <f>IFERROR(INDEX('01_Criteria'!$B$2:$B$1000,MATCH($A97,'01_Criteria'!$A$2:$A$1000,0)),"")</f>
        <v/>
      </c>
      <c r="C97">
        <f>IFERROR(INDEX('01_Criteria'!$C$2:$C$1000,MATCH($A97,'01_Criteria'!$A$2:$A$1000,0)),"")</f>
        <v/>
      </c>
      <c r="D97">
        <f>IFERROR(INDEX('01_Criteria'!$F$2:$F$1000,MATCH($A97,'01_Criteria'!$A$2:$A$1000,0)),"")</f>
        <v/>
      </c>
      <c r="E97">
        <f>IF($P97="","",IFERROR(INDEX('07_Reviews'!$E$2:$E$1000,MATCH($P97,'07_Reviews'!$A$2:$A$1000,0)),""))</f>
        <v/>
      </c>
      <c r="F97">
        <f>IF($P97="","",IFERROR(INDEX('07_Reviews'!$F$2:$F$1000,MATCH($P97,'07_Reviews'!$A$2:$A$1000,0)),""))</f>
        <v/>
      </c>
      <c r="G97">
        <f>IF($P97="","",IFERROR(INDEX('10_Scoring'!$G$2:$G$1000,MATCH($P97,'10_Scoring'!$D$2:$D$1000,0)),""))</f>
        <v/>
      </c>
      <c r="H97">
        <f>IF($Q97="","",IFERROR(INDEX('07_Reviews'!$E$2:$E$1000,MATCH($Q97,'07_Reviews'!$A$2:$A$1000,0)),""))</f>
        <v/>
      </c>
      <c r="I97">
        <f>IF($Q97="","",IFERROR(INDEX('07_Reviews'!$F$2:$F$1000,MATCH($Q97,'07_Reviews'!$A$2:$A$1000,0)),""))</f>
        <v/>
      </c>
      <c r="J97">
        <f>IF($Q97="","",IFERROR(INDEX('10_Scoring'!$G$2:$G$1000,MATCH($Q97,'10_Scoring'!$D$2:$D$1000,0)),""))</f>
        <v/>
      </c>
      <c r="K97">
        <f>IF(OR($G97="",$J97=""),"",$J97-$G97)</f>
        <v/>
      </c>
      <c r="M97" s="11">
        <f>IF($P97="","",IFERROR(INDEX('07_Reviews'!$G$2:$G$1000,MATCH($P97,'07_Reviews'!$A$2:$A$1000,0)),""))</f>
        <v/>
      </c>
      <c r="N97" s="11">
        <f>IF($Q97="","",IFERROR(INDEX('07_Reviews'!$G$2:$G$1000,MATCH($Q97,'07_Reviews'!$A$2:$A$1000,0)),""))</f>
        <v/>
      </c>
      <c r="P97">
        <f>IF($B$77="","",IFERROR(INDEX('10_Scoring'!$D$2:$D$1000,MATCH(1,INDEX(('10_Scoring'!$B$2:$B$1000=$B$77)*('10_Scoring'!$C$2:$C$1000=$A97),0),0)),""))</f>
        <v/>
      </c>
      <c r="Q97">
        <f>IF($B$78="","",IFERROR(INDEX('10_Scoring'!$D$2:$D$1000,MATCH(1,INDEX(('10_Scoring'!$B$2:$B$1000=$B$78)*('10_Scoring'!$C$2:$C$1000=$A97),0),0)),""))</f>
        <v/>
      </c>
    </row>
    <row r="98" ht="60" customHeight="1">
      <c r="A98" t="inlineStr">
        <is>
          <t>W011</t>
        </is>
      </c>
      <c r="B98">
        <f>IFERROR(INDEX('01_Criteria'!$B$2:$B$1000,MATCH($A98,'01_Criteria'!$A$2:$A$1000,0)),"")</f>
        <v/>
      </c>
      <c r="C98">
        <f>IFERROR(INDEX('01_Criteria'!$C$2:$C$1000,MATCH($A98,'01_Criteria'!$A$2:$A$1000,0)),"")</f>
        <v/>
      </c>
      <c r="D98">
        <f>IFERROR(INDEX('01_Criteria'!$F$2:$F$1000,MATCH($A98,'01_Criteria'!$A$2:$A$1000,0)),"")</f>
        <v/>
      </c>
      <c r="E98">
        <f>IF($P98="","",IFERROR(INDEX('07_Reviews'!$E$2:$E$1000,MATCH($P98,'07_Reviews'!$A$2:$A$1000,0)),""))</f>
        <v/>
      </c>
      <c r="F98">
        <f>IF($P98="","",IFERROR(INDEX('07_Reviews'!$F$2:$F$1000,MATCH($P98,'07_Reviews'!$A$2:$A$1000,0)),""))</f>
        <v/>
      </c>
      <c r="G98">
        <f>IF($P98="","",IFERROR(INDEX('10_Scoring'!$G$2:$G$1000,MATCH($P98,'10_Scoring'!$D$2:$D$1000,0)),""))</f>
        <v/>
      </c>
      <c r="H98">
        <f>IF($Q98="","",IFERROR(INDEX('07_Reviews'!$E$2:$E$1000,MATCH($Q98,'07_Reviews'!$A$2:$A$1000,0)),""))</f>
        <v/>
      </c>
      <c r="I98">
        <f>IF($Q98="","",IFERROR(INDEX('07_Reviews'!$F$2:$F$1000,MATCH($Q98,'07_Reviews'!$A$2:$A$1000,0)),""))</f>
        <v/>
      </c>
      <c r="J98">
        <f>IF($Q98="","",IFERROR(INDEX('10_Scoring'!$G$2:$G$1000,MATCH($Q98,'10_Scoring'!$D$2:$D$1000,0)),""))</f>
        <v/>
      </c>
      <c r="K98">
        <f>IF(OR($G98="",$J98=""),"",$J98-$G98)</f>
        <v/>
      </c>
      <c r="M98" s="11">
        <f>IF($P98="","",IFERROR(INDEX('07_Reviews'!$G$2:$G$1000,MATCH($P98,'07_Reviews'!$A$2:$A$1000,0)),""))</f>
        <v/>
      </c>
      <c r="N98" s="11">
        <f>IF($Q98="","",IFERROR(INDEX('07_Reviews'!$G$2:$G$1000,MATCH($Q98,'07_Reviews'!$A$2:$A$1000,0)),""))</f>
        <v/>
      </c>
      <c r="P98">
        <f>IF($B$77="","",IFERROR(INDEX('10_Scoring'!$D$2:$D$1000,MATCH(1,INDEX(('10_Scoring'!$B$2:$B$1000=$B$77)*('10_Scoring'!$C$2:$C$1000=$A98),0),0)),""))</f>
        <v/>
      </c>
      <c r="Q98">
        <f>IF($B$78="","",IFERROR(INDEX('10_Scoring'!$D$2:$D$1000,MATCH(1,INDEX(('10_Scoring'!$B$2:$B$1000=$B$78)*('10_Scoring'!$C$2:$C$1000=$A98),0),0)),""))</f>
        <v/>
      </c>
    </row>
    <row r="99" ht="60" customHeight="1">
      <c r="A99" t="inlineStr">
        <is>
          <t>W012</t>
        </is>
      </c>
      <c r="B99">
        <f>IFERROR(INDEX('01_Criteria'!$B$2:$B$1000,MATCH($A99,'01_Criteria'!$A$2:$A$1000,0)),"")</f>
        <v/>
      </c>
      <c r="C99">
        <f>IFERROR(INDEX('01_Criteria'!$C$2:$C$1000,MATCH($A99,'01_Criteria'!$A$2:$A$1000,0)),"")</f>
        <v/>
      </c>
      <c r="D99">
        <f>IFERROR(INDEX('01_Criteria'!$F$2:$F$1000,MATCH($A99,'01_Criteria'!$A$2:$A$1000,0)),"")</f>
        <v/>
      </c>
      <c r="E99">
        <f>IF($P99="","",IFERROR(INDEX('07_Reviews'!$E$2:$E$1000,MATCH($P99,'07_Reviews'!$A$2:$A$1000,0)),""))</f>
        <v/>
      </c>
      <c r="F99">
        <f>IF($P99="","",IFERROR(INDEX('07_Reviews'!$F$2:$F$1000,MATCH($P99,'07_Reviews'!$A$2:$A$1000,0)),""))</f>
        <v/>
      </c>
      <c r="G99">
        <f>IF($P99="","",IFERROR(INDEX('10_Scoring'!$G$2:$G$1000,MATCH($P99,'10_Scoring'!$D$2:$D$1000,0)),""))</f>
        <v/>
      </c>
      <c r="H99">
        <f>IF($Q99="","",IFERROR(INDEX('07_Reviews'!$E$2:$E$1000,MATCH($Q99,'07_Reviews'!$A$2:$A$1000,0)),""))</f>
        <v/>
      </c>
      <c r="I99">
        <f>IF($Q99="","",IFERROR(INDEX('07_Reviews'!$F$2:$F$1000,MATCH($Q99,'07_Reviews'!$A$2:$A$1000,0)),""))</f>
        <v/>
      </c>
      <c r="J99">
        <f>IF($Q99="","",IFERROR(INDEX('10_Scoring'!$G$2:$G$1000,MATCH($Q99,'10_Scoring'!$D$2:$D$1000,0)),""))</f>
        <v/>
      </c>
      <c r="K99">
        <f>IF(OR($G99="",$J99=""),"",$J99-$G99)</f>
        <v/>
      </c>
      <c r="M99" s="11">
        <f>IF($P99="","",IFERROR(INDEX('07_Reviews'!$G$2:$G$1000,MATCH($P99,'07_Reviews'!$A$2:$A$1000,0)),""))</f>
        <v/>
      </c>
      <c r="N99" s="11">
        <f>IF($Q99="","",IFERROR(INDEX('07_Reviews'!$G$2:$G$1000,MATCH($Q99,'07_Reviews'!$A$2:$A$1000,0)),""))</f>
        <v/>
      </c>
      <c r="P99">
        <f>IF($B$77="","",IFERROR(INDEX('10_Scoring'!$D$2:$D$1000,MATCH(1,INDEX(('10_Scoring'!$B$2:$B$1000=$B$77)*('10_Scoring'!$C$2:$C$1000=$A99),0),0)),""))</f>
        <v/>
      </c>
      <c r="Q99">
        <f>IF($B$78="","",IFERROR(INDEX('10_Scoring'!$D$2:$D$1000,MATCH(1,INDEX(('10_Scoring'!$B$2:$B$1000=$B$78)*('10_Scoring'!$C$2:$C$1000=$A99),0),0)),""))</f>
        <v/>
      </c>
    </row>
    <row r="100" ht="60" customHeight="1">
      <c r="A100" t="inlineStr">
        <is>
          <t>W013</t>
        </is>
      </c>
      <c r="B100">
        <f>IFERROR(INDEX('01_Criteria'!$B$2:$B$1000,MATCH($A100,'01_Criteria'!$A$2:$A$1000,0)),"")</f>
        <v/>
      </c>
      <c r="C100">
        <f>IFERROR(INDEX('01_Criteria'!$C$2:$C$1000,MATCH($A100,'01_Criteria'!$A$2:$A$1000,0)),"")</f>
        <v/>
      </c>
      <c r="D100">
        <f>IFERROR(INDEX('01_Criteria'!$F$2:$F$1000,MATCH($A100,'01_Criteria'!$A$2:$A$1000,0)),"")</f>
        <v/>
      </c>
      <c r="E100">
        <f>IF($P100="","",IFERROR(INDEX('07_Reviews'!$E$2:$E$1000,MATCH($P100,'07_Reviews'!$A$2:$A$1000,0)),""))</f>
        <v/>
      </c>
      <c r="F100">
        <f>IF($P100="","",IFERROR(INDEX('07_Reviews'!$F$2:$F$1000,MATCH($P100,'07_Reviews'!$A$2:$A$1000,0)),""))</f>
        <v/>
      </c>
      <c r="G100">
        <f>IF($P100="","",IFERROR(INDEX('10_Scoring'!$G$2:$G$1000,MATCH($P100,'10_Scoring'!$D$2:$D$1000,0)),""))</f>
        <v/>
      </c>
      <c r="H100">
        <f>IF($Q100="","",IFERROR(INDEX('07_Reviews'!$E$2:$E$1000,MATCH($Q100,'07_Reviews'!$A$2:$A$1000,0)),""))</f>
        <v/>
      </c>
      <c r="I100">
        <f>IF($Q100="","",IFERROR(INDEX('07_Reviews'!$F$2:$F$1000,MATCH($Q100,'07_Reviews'!$A$2:$A$1000,0)),""))</f>
        <v/>
      </c>
      <c r="J100">
        <f>IF($Q100="","",IFERROR(INDEX('10_Scoring'!$G$2:$G$1000,MATCH($Q100,'10_Scoring'!$D$2:$D$1000,0)),""))</f>
        <v/>
      </c>
      <c r="K100">
        <f>IF(OR($G100="",$J100=""),"",$J100-$G100)</f>
        <v/>
      </c>
      <c r="M100" s="11">
        <f>IF($P100="","",IFERROR(INDEX('07_Reviews'!$G$2:$G$1000,MATCH($P100,'07_Reviews'!$A$2:$A$1000,0)),""))</f>
        <v/>
      </c>
      <c r="N100" s="11">
        <f>IF($Q100="","",IFERROR(INDEX('07_Reviews'!$G$2:$G$1000,MATCH($Q100,'07_Reviews'!$A$2:$A$1000,0)),""))</f>
        <v/>
      </c>
      <c r="P100">
        <f>IF($B$77="","",IFERROR(INDEX('10_Scoring'!$D$2:$D$1000,MATCH(1,INDEX(('10_Scoring'!$B$2:$B$1000=$B$77)*('10_Scoring'!$C$2:$C$1000=$A100),0),0)),""))</f>
        <v/>
      </c>
      <c r="Q100">
        <f>IF($B$78="","",IFERROR(INDEX('10_Scoring'!$D$2:$D$1000,MATCH(1,INDEX(('10_Scoring'!$B$2:$B$1000=$B$78)*('10_Scoring'!$C$2:$C$1000=$A100),0),0)),""))</f>
        <v/>
      </c>
    </row>
    <row r="101" ht="60" customHeight="1">
      <c r="A101" t="inlineStr">
        <is>
          <t>W014</t>
        </is>
      </c>
      <c r="B101">
        <f>IFERROR(INDEX('01_Criteria'!$B$2:$B$1000,MATCH($A101,'01_Criteria'!$A$2:$A$1000,0)),"")</f>
        <v/>
      </c>
      <c r="C101">
        <f>IFERROR(INDEX('01_Criteria'!$C$2:$C$1000,MATCH($A101,'01_Criteria'!$A$2:$A$1000,0)),"")</f>
        <v/>
      </c>
      <c r="D101">
        <f>IFERROR(INDEX('01_Criteria'!$F$2:$F$1000,MATCH($A101,'01_Criteria'!$A$2:$A$1000,0)),"")</f>
        <v/>
      </c>
      <c r="E101">
        <f>IF($P101="","",IFERROR(INDEX('07_Reviews'!$E$2:$E$1000,MATCH($P101,'07_Reviews'!$A$2:$A$1000,0)),""))</f>
        <v/>
      </c>
      <c r="F101">
        <f>IF($P101="","",IFERROR(INDEX('07_Reviews'!$F$2:$F$1000,MATCH($P101,'07_Reviews'!$A$2:$A$1000,0)),""))</f>
        <v/>
      </c>
      <c r="G101">
        <f>IF($P101="","",IFERROR(INDEX('10_Scoring'!$G$2:$G$1000,MATCH($P101,'10_Scoring'!$D$2:$D$1000,0)),""))</f>
        <v/>
      </c>
      <c r="H101">
        <f>IF($Q101="","",IFERROR(INDEX('07_Reviews'!$E$2:$E$1000,MATCH($Q101,'07_Reviews'!$A$2:$A$1000,0)),""))</f>
        <v/>
      </c>
      <c r="I101">
        <f>IF($Q101="","",IFERROR(INDEX('07_Reviews'!$F$2:$F$1000,MATCH($Q101,'07_Reviews'!$A$2:$A$1000,0)),""))</f>
        <v/>
      </c>
      <c r="J101">
        <f>IF($Q101="","",IFERROR(INDEX('10_Scoring'!$G$2:$G$1000,MATCH($Q101,'10_Scoring'!$D$2:$D$1000,0)),""))</f>
        <v/>
      </c>
      <c r="K101">
        <f>IF(OR($G101="",$J101=""),"",$J101-$G101)</f>
        <v/>
      </c>
      <c r="M101" s="11">
        <f>IF($P101="","",IFERROR(INDEX('07_Reviews'!$G$2:$G$1000,MATCH($P101,'07_Reviews'!$A$2:$A$1000,0)),""))</f>
        <v/>
      </c>
      <c r="N101" s="11">
        <f>IF($Q101="","",IFERROR(INDEX('07_Reviews'!$G$2:$G$1000,MATCH($Q101,'07_Reviews'!$A$2:$A$1000,0)),""))</f>
        <v/>
      </c>
      <c r="P101">
        <f>IF($B$77="","",IFERROR(INDEX('10_Scoring'!$D$2:$D$1000,MATCH(1,INDEX(('10_Scoring'!$B$2:$B$1000=$B$77)*('10_Scoring'!$C$2:$C$1000=$A101),0),0)),""))</f>
        <v/>
      </c>
      <c r="Q101">
        <f>IF($B$78="","",IFERROR(INDEX('10_Scoring'!$D$2:$D$1000,MATCH(1,INDEX(('10_Scoring'!$B$2:$B$1000=$B$78)*('10_Scoring'!$C$2:$C$1000=$A101),0),0)),""))</f>
        <v/>
      </c>
    </row>
    <row r="102" ht="60" customHeight="1">
      <c r="A102" t="inlineStr">
        <is>
          <t>W015</t>
        </is>
      </c>
      <c r="B102">
        <f>IFERROR(INDEX('01_Criteria'!$B$2:$B$1000,MATCH($A102,'01_Criteria'!$A$2:$A$1000,0)),"")</f>
        <v/>
      </c>
      <c r="C102">
        <f>IFERROR(INDEX('01_Criteria'!$C$2:$C$1000,MATCH($A102,'01_Criteria'!$A$2:$A$1000,0)),"")</f>
        <v/>
      </c>
      <c r="D102">
        <f>IFERROR(INDEX('01_Criteria'!$F$2:$F$1000,MATCH($A102,'01_Criteria'!$A$2:$A$1000,0)),"")</f>
        <v/>
      </c>
      <c r="E102">
        <f>IF($P102="","",IFERROR(INDEX('07_Reviews'!$E$2:$E$1000,MATCH($P102,'07_Reviews'!$A$2:$A$1000,0)),""))</f>
        <v/>
      </c>
      <c r="F102">
        <f>IF($P102="","",IFERROR(INDEX('07_Reviews'!$F$2:$F$1000,MATCH($P102,'07_Reviews'!$A$2:$A$1000,0)),""))</f>
        <v/>
      </c>
      <c r="G102">
        <f>IF($P102="","",IFERROR(INDEX('10_Scoring'!$G$2:$G$1000,MATCH($P102,'10_Scoring'!$D$2:$D$1000,0)),""))</f>
        <v/>
      </c>
      <c r="H102">
        <f>IF($Q102="","",IFERROR(INDEX('07_Reviews'!$E$2:$E$1000,MATCH($Q102,'07_Reviews'!$A$2:$A$1000,0)),""))</f>
        <v/>
      </c>
      <c r="I102">
        <f>IF($Q102="","",IFERROR(INDEX('07_Reviews'!$F$2:$F$1000,MATCH($Q102,'07_Reviews'!$A$2:$A$1000,0)),""))</f>
        <v/>
      </c>
      <c r="J102">
        <f>IF($Q102="","",IFERROR(INDEX('10_Scoring'!$G$2:$G$1000,MATCH($Q102,'10_Scoring'!$D$2:$D$1000,0)),""))</f>
        <v/>
      </c>
      <c r="K102">
        <f>IF(OR($G102="",$J102=""),"",$J102-$G102)</f>
        <v/>
      </c>
      <c r="M102" s="11">
        <f>IF($P102="","",IFERROR(INDEX('07_Reviews'!$G$2:$G$1000,MATCH($P102,'07_Reviews'!$A$2:$A$1000,0)),""))</f>
        <v/>
      </c>
      <c r="N102" s="11">
        <f>IF($Q102="","",IFERROR(INDEX('07_Reviews'!$G$2:$G$1000,MATCH($Q102,'07_Reviews'!$A$2:$A$1000,0)),""))</f>
        <v/>
      </c>
      <c r="P102">
        <f>IF($B$77="","",IFERROR(INDEX('10_Scoring'!$D$2:$D$1000,MATCH(1,INDEX(('10_Scoring'!$B$2:$B$1000=$B$77)*('10_Scoring'!$C$2:$C$1000=$A102),0),0)),""))</f>
        <v/>
      </c>
      <c r="Q102">
        <f>IF($B$78="","",IFERROR(INDEX('10_Scoring'!$D$2:$D$1000,MATCH(1,INDEX(('10_Scoring'!$B$2:$B$1000=$B$78)*('10_Scoring'!$C$2:$C$1000=$A102),0),0)),""))</f>
        <v/>
      </c>
    </row>
    <row r="103" ht="60" customHeight="1">
      <c r="A103" t="inlineStr">
        <is>
          <t>W016</t>
        </is>
      </c>
      <c r="B103">
        <f>IFERROR(INDEX('01_Criteria'!$B$2:$B$1000,MATCH($A103,'01_Criteria'!$A$2:$A$1000,0)),"")</f>
        <v/>
      </c>
      <c r="C103">
        <f>IFERROR(INDEX('01_Criteria'!$C$2:$C$1000,MATCH($A103,'01_Criteria'!$A$2:$A$1000,0)),"")</f>
        <v/>
      </c>
      <c r="D103">
        <f>IFERROR(INDEX('01_Criteria'!$F$2:$F$1000,MATCH($A103,'01_Criteria'!$A$2:$A$1000,0)),"")</f>
        <v/>
      </c>
      <c r="E103">
        <f>IF($P103="","",IFERROR(INDEX('07_Reviews'!$E$2:$E$1000,MATCH($P103,'07_Reviews'!$A$2:$A$1000,0)),""))</f>
        <v/>
      </c>
      <c r="F103">
        <f>IF($P103="","",IFERROR(INDEX('07_Reviews'!$F$2:$F$1000,MATCH($P103,'07_Reviews'!$A$2:$A$1000,0)),""))</f>
        <v/>
      </c>
      <c r="G103">
        <f>IF($P103="","",IFERROR(INDEX('10_Scoring'!$G$2:$G$1000,MATCH($P103,'10_Scoring'!$D$2:$D$1000,0)),""))</f>
        <v/>
      </c>
      <c r="H103">
        <f>IF($Q103="","",IFERROR(INDEX('07_Reviews'!$E$2:$E$1000,MATCH($Q103,'07_Reviews'!$A$2:$A$1000,0)),""))</f>
        <v/>
      </c>
      <c r="I103">
        <f>IF($Q103="","",IFERROR(INDEX('07_Reviews'!$F$2:$F$1000,MATCH($Q103,'07_Reviews'!$A$2:$A$1000,0)),""))</f>
        <v/>
      </c>
      <c r="J103">
        <f>IF($Q103="","",IFERROR(INDEX('10_Scoring'!$G$2:$G$1000,MATCH($Q103,'10_Scoring'!$D$2:$D$1000,0)),""))</f>
        <v/>
      </c>
      <c r="K103">
        <f>IF(OR($G103="",$J103=""),"",$J103-$G103)</f>
        <v/>
      </c>
      <c r="M103" s="11">
        <f>IF($P103="","",IFERROR(INDEX('07_Reviews'!$G$2:$G$1000,MATCH($P103,'07_Reviews'!$A$2:$A$1000,0)),""))</f>
        <v/>
      </c>
      <c r="N103" s="11">
        <f>IF($Q103="","",IFERROR(INDEX('07_Reviews'!$G$2:$G$1000,MATCH($Q103,'07_Reviews'!$A$2:$A$1000,0)),""))</f>
        <v/>
      </c>
      <c r="P103">
        <f>IF($B$77="","",IFERROR(INDEX('10_Scoring'!$D$2:$D$1000,MATCH(1,INDEX(('10_Scoring'!$B$2:$B$1000=$B$77)*('10_Scoring'!$C$2:$C$1000=$A103),0),0)),""))</f>
        <v/>
      </c>
      <c r="Q103">
        <f>IF($B$78="","",IFERROR(INDEX('10_Scoring'!$D$2:$D$1000,MATCH(1,INDEX(('10_Scoring'!$B$2:$B$1000=$B$78)*('10_Scoring'!$C$2:$C$1000=$A103),0),0)),""))</f>
        <v/>
      </c>
    </row>
    <row r="104" ht="60" customHeight="1">
      <c r="A104" t="inlineStr">
        <is>
          <t>W017</t>
        </is>
      </c>
      <c r="B104">
        <f>IFERROR(INDEX('01_Criteria'!$B$2:$B$1000,MATCH($A104,'01_Criteria'!$A$2:$A$1000,0)),"")</f>
        <v/>
      </c>
      <c r="C104">
        <f>IFERROR(INDEX('01_Criteria'!$C$2:$C$1000,MATCH($A104,'01_Criteria'!$A$2:$A$1000,0)),"")</f>
        <v/>
      </c>
      <c r="D104">
        <f>IFERROR(INDEX('01_Criteria'!$F$2:$F$1000,MATCH($A104,'01_Criteria'!$A$2:$A$1000,0)),"")</f>
        <v/>
      </c>
      <c r="E104">
        <f>IF($P104="","",IFERROR(INDEX('07_Reviews'!$E$2:$E$1000,MATCH($P104,'07_Reviews'!$A$2:$A$1000,0)),""))</f>
        <v/>
      </c>
      <c r="F104">
        <f>IF($P104="","",IFERROR(INDEX('07_Reviews'!$F$2:$F$1000,MATCH($P104,'07_Reviews'!$A$2:$A$1000,0)),""))</f>
        <v/>
      </c>
      <c r="G104">
        <f>IF($P104="","",IFERROR(INDEX('10_Scoring'!$G$2:$G$1000,MATCH($P104,'10_Scoring'!$D$2:$D$1000,0)),""))</f>
        <v/>
      </c>
      <c r="H104">
        <f>IF($Q104="","",IFERROR(INDEX('07_Reviews'!$E$2:$E$1000,MATCH($Q104,'07_Reviews'!$A$2:$A$1000,0)),""))</f>
        <v/>
      </c>
      <c r="I104">
        <f>IF($Q104="","",IFERROR(INDEX('07_Reviews'!$F$2:$F$1000,MATCH($Q104,'07_Reviews'!$A$2:$A$1000,0)),""))</f>
        <v/>
      </c>
      <c r="J104">
        <f>IF($Q104="","",IFERROR(INDEX('10_Scoring'!$G$2:$G$1000,MATCH($Q104,'10_Scoring'!$D$2:$D$1000,0)),""))</f>
        <v/>
      </c>
      <c r="K104">
        <f>IF(OR($G104="",$J104=""),"",$J104-$G104)</f>
        <v/>
      </c>
      <c r="M104" s="11">
        <f>IF($P104="","",IFERROR(INDEX('07_Reviews'!$G$2:$G$1000,MATCH($P104,'07_Reviews'!$A$2:$A$1000,0)),""))</f>
        <v/>
      </c>
      <c r="N104" s="11">
        <f>IF($Q104="","",IFERROR(INDEX('07_Reviews'!$G$2:$G$1000,MATCH($Q104,'07_Reviews'!$A$2:$A$1000,0)),""))</f>
        <v/>
      </c>
      <c r="P104">
        <f>IF($B$77="","",IFERROR(INDEX('10_Scoring'!$D$2:$D$1000,MATCH(1,INDEX(('10_Scoring'!$B$2:$B$1000=$B$77)*('10_Scoring'!$C$2:$C$1000=$A104),0),0)),""))</f>
        <v/>
      </c>
      <c r="Q104">
        <f>IF($B$78="","",IFERROR(INDEX('10_Scoring'!$D$2:$D$1000,MATCH(1,INDEX(('10_Scoring'!$B$2:$B$1000=$B$78)*('10_Scoring'!$C$2:$C$1000=$A104),0),0)),""))</f>
        <v/>
      </c>
    </row>
    <row r="105" ht="60" customHeight="1">
      <c r="A105" t="inlineStr">
        <is>
          <t>W018</t>
        </is>
      </c>
      <c r="B105">
        <f>IFERROR(INDEX('01_Criteria'!$B$2:$B$1000,MATCH($A105,'01_Criteria'!$A$2:$A$1000,0)),"")</f>
        <v/>
      </c>
      <c r="C105">
        <f>IFERROR(INDEX('01_Criteria'!$C$2:$C$1000,MATCH($A105,'01_Criteria'!$A$2:$A$1000,0)),"")</f>
        <v/>
      </c>
      <c r="D105">
        <f>IFERROR(INDEX('01_Criteria'!$F$2:$F$1000,MATCH($A105,'01_Criteria'!$A$2:$A$1000,0)),"")</f>
        <v/>
      </c>
      <c r="E105">
        <f>IF($P105="","",IFERROR(INDEX('07_Reviews'!$E$2:$E$1000,MATCH($P105,'07_Reviews'!$A$2:$A$1000,0)),""))</f>
        <v/>
      </c>
      <c r="F105">
        <f>IF($P105="","",IFERROR(INDEX('07_Reviews'!$F$2:$F$1000,MATCH($P105,'07_Reviews'!$A$2:$A$1000,0)),""))</f>
        <v/>
      </c>
      <c r="G105">
        <f>IF($P105="","",IFERROR(INDEX('10_Scoring'!$G$2:$G$1000,MATCH($P105,'10_Scoring'!$D$2:$D$1000,0)),""))</f>
        <v/>
      </c>
      <c r="H105">
        <f>IF($Q105="","",IFERROR(INDEX('07_Reviews'!$E$2:$E$1000,MATCH($Q105,'07_Reviews'!$A$2:$A$1000,0)),""))</f>
        <v/>
      </c>
      <c r="I105">
        <f>IF($Q105="","",IFERROR(INDEX('07_Reviews'!$F$2:$F$1000,MATCH($Q105,'07_Reviews'!$A$2:$A$1000,0)),""))</f>
        <v/>
      </c>
      <c r="J105">
        <f>IF($Q105="","",IFERROR(INDEX('10_Scoring'!$G$2:$G$1000,MATCH($Q105,'10_Scoring'!$D$2:$D$1000,0)),""))</f>
        <v/>
      </c>
      <c r="K105">
        <f>IF(OR($G105="",$J105=""),"",$J105-$G105)</f>
        <v/>
      </c>
      <c r="M105" s="11">
        <f>IF($P105="","",IFERROR(INDEX('07_Reviews'!$G$2:$G$1000,MATCH($P105,'07_Reviews'!$A$2:$A$1000,0)),""))</f>
        <v/>
      </c>
      <c r="N105" s="11">
        <f>IF($Q105="","",IFERROR(INDEX('07_Reviews'!$G$2:$G$1000,MATCH($Q105,'07_Reviews'!$A$2:$A$1000,0)),""))</f>
        <v/>
      </c>
      <c r="P105">
        <f>IF($B$77="","",IFERROR(INDEX('10_Scoring'!$D$2:$D$1000,MATCH(1,INDEX(('10_Scoring'!$B$2:$B$1000=$B$77)*('10_Scoring'!$C$2:$C$1000=$A105),0),0)),""))</f>
        <v/>
      </c>
      <c r="Q105">
        <f>IF($B$78="","",IFERROR(INDEX('10_Scoring'!$D$2:$D$1000,MATCH(1,INDEX(('10_Scoring'!$B$2:$B$1000=$B$78)*('10_Scoring'!$C$2:$C$1000=$A105),0),0)),""))</f>
        <v/>
      </c>
    </row>
    <row r="106" ht="60" customHeight="1">
      <c r="A106" t="inlineStr">
        <is>
          <t>W019</t>
        </is>
      </c>
      <c r="B106">
        <f>IFERROR(INDEX('01_Criteria'!$B$2:$B$1000,MATCH($A106,'01_Criteria'!$A$2:$A$1000,0)),"")</f>
        <v/>
      </c>
      <c r="C106">
        <f>IFERROR(INDEX('01_Criteria'!$C$2:$C$1000,MATCH($A106,'01_Criteria'!$A$2:$A$1000,0)),"")</f>
        <v/>
      </c>
      <c r="D106">
        <f>IFERROR(INDEX('01_Criteria'!$F$2:$F$1000,MATCH($A106,'01_Criteria'!$A$2:$A$1000,0)),"")</f>
        <v/>
      </c>
      <c r="E106">
        <f>IF($P106="","",IFERROR(INDEX('07_Reviews'!$E$2:$E$1000,MATCH($P106,'07_Reviews'!$A$2:$A$1000,0)),""))</f>
        <v/>
      </c>
      <c r="F106">
        <f>IF($P106="","",IFERROR(INDEX('07_Reviews'!$F$2:$F$1000,MATCH($P106,'07_Reviews'!$A$2:$A$1000,0)),""))</f>
        <v/>
      </c>
      <c r="G106">
        <f>IF($P106="","",IFERROR(INDEX('10_Scoring'!$G$2:$G$1000,MATCH($P106,'10_Scoring'!$D$2:$D$1000,0)),""))</f>
        <v/>
      </c>
      <c r="H106">
        <f>IF($Q106="","",IFERROR(INDEX('07_Reviews'!$E$2:$E$1000,MATCH($Q106,'07_Reviews'!$A$2:$A$1000,0)),""))</f>
        <v/>
      </c>
      <c r="I106">
        <f>IF($Q106="","",IFERROR(INDEX('07_Reviews'!$F$2:$F$1000,MATCH($Q106,'07_Reviews'!$A$2:$A$1000,0)),""))</f>
        <v/>
      </c>
      <c r="J106">
        <f>IF($Q106="","",IFERROR(INDEX('10_Scoring'!$G$2:$G$1000,MATCH($Q106,'10_Scoring'!$D$2:$D$1000,0)),""))</f>
        <v/>
      </c>
      <c r="K106">
        <f>IF(OR($G106="",$J106=""),"",$J106-$G106)</f>
        <v/>
      </c>
      <c r="M106" s="11">
        <f>IF($P106="","",IFERROR(INDEX('07_Reviews'!$G$2:$G$1000,MATCH($P106,'07_Reviews'!$A$2:$A$1000,0)),""))</f>
        <v/>
      </c>
      <c r="N106" s="11">
        <f>IF($Q106="","",IFERROR(INDEX('07_Reviews'!$G$2:$G$1000,MATCH($Q106,'07_Reviews'!$A$2:$A$1000,0)),""))</f>
        <v/>
      </c>
      <c r="P106">
        <f>IF($B$77="","",IFERROR(INDEX('10_Scoring'!$D$2:$D$1000,MATCH(1,INDEX(('10_Scoring'!$B$2:$B$1000=$B$77)*('10_Scoring'!$C$2:$C$1000=$A106),0),0)),""))</f>
        <v/>
      </c>
      <c r="Q106">
        <f>IF($B$78="","",IFERROR(INDEX('10_Scoring'!$D$2:$D$1000,MATCH(1,INDEX(('10_Scoring'!$B$2:$B$1000=$B$78)*('10_Scoring'!$C$2:$C$1000=$A106),0),0)),""))</f>
        <v/>
      </c>
    </row>
    <row r="107" ht="60" customHeight="1">
      <c r="A107" t="inlineStr">
        <is>
          <t>W020</t>
        </is>
      </c>
      <c r="B107">
        <f>IFERROR(INDEX('01_Criteria'!$B$2:$B$1000,MATCH($A107,'01_Criteria'!$A$2:$A$1000,0)),"")</f>
        <v/>
      </c>
      <c r="C107">
        <f>IFERROR(INDEX('01_Criteria'!$C$2:$C$1000,MATCH($A107,'01_Criteria'!$A$2:$A$1000,0)),"")</f>
        <v/>
      </c>
      <c r="D107">
        <f>IFERROR(INDEX('01_Criteria'!$F$2:$F$1000,MATCH($A107,'01_Criteria'!$A$2:$A$1000,0)),"")</f>
        <v/>
      </c>
      <c r="E107">
        <f>IF($P107="","",IFERROR(INDEX('07_Reviews'!$E$2:$E$1000,MATCH($P107,'07_Reviews'!$A$2:$A$1000,0)),""))</f>
        <v/>
      </c>
      <c r="F107">
        <f>IF($P107="","",IFERROR(INDEX('07_Reviews'!$F$2:$F$1000,MATCH($P107,'07_Reviews'!$A$2:$A$1000,0)),""))</f>
        <v/>
      </c>
      <c r="G107">
        <f>IF($P107="","",IFERROR(INDEX('10_Scoring'!$G$2:$G$1000,MATCH($P107,'10_Scoring'!$D$2:$D$1000,0)),""))</f>
        <v/>
      </c>
      <c r="H107">
        <f>IF($Q107="","",IFERROR(INDEX('07_Reviews'!$E$2:$E$1000,MATCH($Q107,'07_Reviews'!$A$2:$A$1000,0)),""))</f>
        <v/>
      </c>
      <c r="I107">
        <f>IF($Q107="","",IFERROR(INDEX('07_Reviews'!$F$2:$F$1000,MATCH($Q107,'07_Reviews'!$A$2:$A$1000,0)),""))</f>
        <v/>
      </c>
      <c r="J107">
        <f>IF($Q107="","",IFERROR(INDEX('10_Scoring'!$G$2:$G$1000,MATCH($Q107,'10_Scoring'!$D$2:$D$1000,0)),""))</f>
        <v/>
      </c>
      <c r="K107">
        <f>IF(OR($G107="",$J107=""),"",$J107-$G107)</f>
        <v/>
      </c>
      <c r="M107" s="11">
        <f>IF($P107="","",IFERROR(INDEX('07_Reviews'!$G$2:$G$1000,MATCH($P107,'07_Reviews'!$A$2:$A$1000,0)),""))</f>
        <v/>
      </c>
      <c r="N107" s="11">
        <f>IF($Q107="","",IFERROR(INDEX('07_Reviews'!$G$2:$G$1000,MATCH($Q107,'07_Reviews'!$A$2:$A$1000,0)),""))</f>
        <v/>
      </c>
      <c r="P107">
        <f>IF($B$77="","",IFERROR(INDEX('10_Scoring'!$D$2:$D$1000,MATCH(1,INDEX(('10_Scoring'!$B$2:$B$1000=$B$77)*('10_Scoring'!$C$2:$C$1000=$A107),0),0)),""))</f>
        <v/>
      </c>
      <c r="Q107">
        <f>IF($B$78="","",IFERROR(INDEX('10_Scoring'!$D$2:$D$1000,MATCH(1,INDEX(('10_Scoring'!$B$2:$B$1000=$B$78)*('10_Scoring'!$C$2:$C$1000=$A107),0),0)),""))</f>
        <v/>
      </c>
    </row>
    <row r="109">
      <c r="A109" s="4" t="inlineStr">
        <is>
          <t>Hard Requirement Comparison</t>
        </is>
      </c>
    </row>
    <row r="110">
      <c r="A110" s="10" t="inlineStr">
        <is>
          <t>CriterionID</t>
        </is>
      </c>
      <c r="B110" s="10" t="inlineStr">
        <is>
          <t>Requirement</t>
        </is>
      </c>
      <c r="C110" s="10" t="inlineStr">
        <is>
          <t>A: Result</t>
        </is>
      </c>
      <c r="D110" s="10" t="inlineStr">
        <is>
          <t>A: Reason</t>
        </is>
      </c>
      <c r="E110" s="10" t="inlineStr">
        <is>
          <t>B: Result</t>
        </is>
      </c>
      <c r="F110" s="10" t="inlineStr">
        <is>
          <t>B: Reason</t>
        </is>
      </c>
    </row>
    <row r="111">
      <c r="A111" t="inlineStr">
        <is>
          <t>M001</t>
        </is>
      </c>
      <c r="B111">
        <f>IFERROR(INDEX('01_Criteria'!$C$2:$C$1000,MATCH($A111,'01_Criteria'!$A$2:$A$1000,0)),"")</f>
        <v/>
      </c>
      <c r="C111">
        <f>IF($B$77="","",IFERROR(INDEX('14_HardRequirementResults'!$D$2:$D$1000,MATCH(1,INDEX(('14_HardRequirementResults'!$B$2:$B$1000=$B$77)*('14_HardRequirementResults'!$C$2:$C$1000=$A111),0),0)),""))</f>
        <v/>
      </c>
      <c r="D111" s="11">
        <f>IF($B$77="","",IFERROR(INDEX('14_HardRequirementResults'!$F$2:$F$1000,MATCH(1,INDEX(('14_HardRequirementResults'!$B$2:$B$1000=$B$77)*('14_HardRequirementResults'!$C$2:$C$1000=$A111),0),0)),""))</f>
        <v/>
      </c>
      <c r="E111">
        <f>IF($B$78="","",IFERROR(INDEX('14_HardRequirementResults'!$D$2:$D$1000,MATCH(1,INDEX(('14_HardRequirementResults'!$B$2:$B$1000=$B$78)*('14_HardRequirementResults'!$C$2:$C$1000=$A111),0),0)),""))</f>
        <v/>
      </c>
      <c r="F111" s="11">
        <f>IF($B$78="","",IFERROR(INDEX('14_HardRequirementResults'!$F$2:$F$1000,MATCH(1,INDEX(('14_HardRequirementResults'!$B$2:$B$1000=$B$78)*('14_HardRequirementResults'!$C$2:$C$1000=$A111),0),0)),""))</f>
        <v/>
      </c>
    </row>
    <row r="112">
      <c r="A112" t="inlineStr">
        <is>
          <t>M002</t>
        </is>
      </c>
      <c r="B112">
        <f>IFERROR(INDEX('01_Criteria'!$C$2:$C$1000,MATCH($A112,'01_Criteria'!$A$2:$A$1000,0)),"")</f>
        <v/>
      </c>
      <c r="C112">
        <f>IF($B$77="","",IFERROR(INDEX('14_HardRequirementResults'!$D$2:$D$1000,MATCH(1,INDEX(('14_HardRequirementResults'!$B$2:$B$1000=$B$77)*('14_HardRequirementResults'!$C$2:$C$1000=$A112),0),0)),""))</f>
        <v/>
      </c>
      <c r="D112" s="11">
        <f>IF($B$77="","",IFERROR(INDEX('14_HardRequirementResults'!$F$2:$F$1000,MATCH(1,INDEX(('14_HardRequirementResults'!$B$2:$B$1000=$B$77)*('14_HardRequirementResults'!$C$2:$C$1000=$A112),0),0)),""))</f>
        <v/>
      </c>
      <c r="E112">
        <f>IF($B$78="","",IFERROR(INDEX('14_HardRequirementResults'!$D$2:$D$1000,MATCH(1,INDEX(('14_HardRequirementResults'!$B$2:$B$1000=$B$78)*('14_HardRequirementResults'!$C$2:$C$1000=$A112),0),0)),""))</f>
        <v/>
      </c>
      <c r="F112" s="11">
        <f>IF($B$78="","",IFERROR(INDEX('14_HardRequirementResults'!$F$2:$F$1000,MATCH(1,INDEX(('14_HardRequirementResults'!$B$2:$B$1000=$B$78)*('14_HardRequirementResults'!$C$2:$C$1000=$A112),0),0)),""))</f>
        <v/>
      </c>
    </row>
    <row r="113">
      <c r="A113" t="inlineStr">
        <is>
          <t>M003</t>
        </is>
      </c>
      <c r="B113">
        <f>IFERROR(INDEX('01_Criteria'!$C$2:$C$1000,MATCH($A113,'01_Criteria'!$A$2:$A$1000,0)),"")</f>
        <v/>
      </c>
      <c r="C113">
        <f>IF($B$77="","",IFERROR(INDEX('14_HardRequirementResults'!$D$2:$D$1000,MATCH(1,INDEX(('14_HardRequirementResults'!$B$2:$B$1000=$B$77)*('14_HardRequirementResults'!$C$2:$C$1000=$A113),0),0)),""))</f>
        <v/>
      </c>
      <c r="D113" s="11">
        <f>IF($B$77="","",IFERROR(INDEX('14_HardRequirementResults'!$F$2:$F$1000,MATCH(1,INDEX(('14_HardRequirementResults'!$B$2:$B$1000=$B$77)*('14_HardRequirementResults'!$C$2:$C$1000=$A113),0),0)),""))</f>
        <v/>
      </c>
      <c r="E113">
        <f>IF($B$78="","",IFERROR(INDEX('14_HardRequirementResults'!$D$2:$D$1000,MATCH(1,INDEX(('14_HardRequirementResults'!$B$2:$B$1000=$B$78)*('14_HardRequirementResults'!$C$2:$C$1000=$A113),0),0)),""))</f>
        <v/>
      </c>
      <c r="F113" s="11">
        <f>IF($B$78="","",IFERROR(INDEX('14_HardRequirementResults'!$F$2:$F$1000,MATCH(1,INDEX(('14_HardRequirementResults'!$B$2:$B$1000=$B$78)*('14_HardRequirementResults'!$C$2:$C$1000=$A113),0),0)),""))</f>
        <v/>
      </c>
    </row>
    <row r="114">
      <c r="A114" t="inlineStr">
        <is>
          <t>M004</t>
        </is>
      </c>
      <c r="B114">
        <f>IFERROR(INDEX('01_Criteria'!$C$2:$C$1000,MATCH($A114,'01_Criteria'!$A$2:$A$1000,0)),"")</f>
        <v/>
      </c>
      <c r="C114">
        <f>IF($B$77="","",IFERROR(INDEX('14_HardRequirementResults'!$D$2:$D$1000,MATCH(1,INDEX(('14_HardRequirementResults'!$B$2:$B$1000=$B$77)*('14_HardRequirementResults'!$C$2:$C$1000=$A114),0),0)),""))</f>
        <v/>
      </c>
      <c r="D114" s="11">
        <f>IF($B$77="","",IFERROR(INDEX('14_HardRequirementResults'!$F$2:$F$1000,MATCH(1,INDEX(('14_HardRequirementResults'!$B$2:$B$1000=$B$77)*('14_HardRequirementResults'!$C$2:$C$1000=$A114),0),0)),""))</f>
        <v/>
      </c>
      <c r="E114">
        <f>IF($B$78="","",IFERROR(INDEX('14_HardRequirementResults'!$D$2:$D$1000,MATCH(1,INDEX(('14_HardRequirementResults'!$B$2:$B$1000=$B$78)*('14_HardRequirementResults'!$C$2:$C$1000=$A114),0),0)),""))</f>
        <v/>
      </c>
      <c r="F114" s="11">
        <f>IF($B$78="","",IFERROR(INDEX('14_HardRequirementResults'!$F$2:$F$1000,MATCH(1,INDEX(('14_HardRequirementResults'!$B$2:$B$1000=$B$78)*('14_HardRequirementResults'!$C$2:$C$1000=$A114),0),0)),""))</f>
        <v/>
      </c>
    </row>
    <row r="115">
      <c r="A115" t="inlineStr">
        <is>
          <t>M005</t>
        </is>
      </c>
      <c r="B115">
        <f>IFERROR(INDEX('01_Criteria'!$C$2:$C$1000,MATCH($A115,'01_Criteria'!$A$2:$A$1000,0)),"")</f>
        <v/>
      </c>
      <c r="C115">
        <f>IF($B$77="","",IFERROR(INDEX('14_HardRequirementResults'!$D$2:$D$1000,MATCH(1,INDEX(('14_HardRequirementResults'!$B$2:$B$1000=$B$77)*('14_HardRequirementResults'!$C$2:$C$1000=$A115),0),0)),""))</f>
        <v/>
      </c>
      <c r="D115" s="11">
        <f>IF($B$77="","",IFERROR(INDEX('14_HardRequirementResults'!$F$2:$F$1000,MATCH(1,INDEX(('14_HardRequirementResults'!$B$2:$B$1000=$B$77)*('14_HardRequirementResults'!$C$2:$C$1000=$A115),0),0)),""))</f>
        <v/>
      </c>
      <c r="E115">
        <f>IF($B$78="","",IFERROR(INDEX('14_HardRequirementResults'!$D$2:$D$1000,MATCH(1,INDEX(('14_HardRequirementResults'!$B$2:$B$1000=$B$78)*('14_HardRequirementResults'!$C$2:$C$1000=$A115),0),0)),""))</f>
        <v/>
      </c>
      <c r="F115" s="11">
        <f>IF($B$78="","",IFERROR(INDEX('14_HardRequirementResults'!$F$2:$F$1000,MATCH(1,INDEX(('14_HardRequirementResults'!$B$2:$B$1000=$B$78)*('14_HardRequirementResults'!$C$2:$C$1000=$A115),0),0)),""))</f>
        <v/>
      </c>
    </row>
  </sheetData>
  <mergeCells count="7">
    <mergeCell ref="A27:N27"/>
    <mergeCell ref="A74:Q74"/>
    <mergeCell ref="A4:N4"/>
    <mergeCell ref="A2:N2"/>
    <mergeCell ref="A51:N51"/>
    <mergeCell ref="A75:Q75"/>
    <mergeCell ref="A1:N1"/>
  </mergeCells>
  <conditionalFormatting sqref="B53:F72">
    <cfRule type="colorScale" priority="1">
      <colorScale>
        <cfvo type="num" val="0"/>
        <cfvo type="num" val="3"/>
        <cfvo type="num" val="10"/>
        <color rgb="FFF8696B"/>
        <color rgb="FFFFEB84"/>
        <color rgb="FF63BE7B"/>
      </colorScale>
    </cfRule>
  </conditionalFormatting>
  <dataValidations count="1">
    <dataValidation sqref="B77 B78" showDropDown="0" showInputMessage="0" showErrorMessage="0" allowBlank="1" type="list">
      <formula1>='03_Configurations'!$A$2:$A$21</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2026-07-08T19:28:19Z</dcterms:modified>
  <cp:lastModifiedBy>Codex</cp:lastModifiedBy>
  <cp:keywords>EV Decision Framework; FrameworkVersion 1.0; workbook schema</cp:keywords>
</cp:coreProperties>
</file>