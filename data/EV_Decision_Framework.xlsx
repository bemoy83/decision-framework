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Enum_VersionBumpType">'README'!$AK$2:$AK$4</definedName>
    <definedName name="Enum_Language">'README'!$AL$2:$AL$4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L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c r="AK1" t="inlineStr">
        <is>
          <t>Enum_VersionBumpType</t>
        </is>
      </c>
      <c r="AL1" t="inlineStr">
        <is>
          <t>Enum_Language</t>
        </is>
      </c>
    </row>
    <row r="2">
      <c r="A2" t="inlineStr">
        <is>
          <t>WorkbookVersion</t>
        </is>
      </c>
      <c r="B2" t="inlineStr">
        <is>
          <t>1.7</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c r="AK2" t="inlineStr">
        <is>
          <t>SCHEMA</t>
        </is>
      </c>
      <c r="AL2" t="inlineStr">
        <is>
          <t>NB</t>
        </is>
      </c>
    </row>
    <row r="3">
      <c r="A3" t="inlineStr">
        <is>
          <t>FrameworkVersion</t>
        </is>
      </c>
      <c r="B3" t="inlineStr">
        <is>
          <t>1.8</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c r="AK3" t="inlineStr">
        <is>
          <t>METHODOLOGY</t>
        </is>
      </c>
      <c r="AL3" t="inlineStr">
        <is>
          <t>EN</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c r="AK4" t="inlineStr">
        <is>
          <t>NONE</t>
        </is>
      </c>
      <c r="AL4" t="inlineStr">
        <is>
          <t>OTHER</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row r="7">
      <c r="A7" t="inlineStr">
        <is>
          <t>BYD_ATTO3</t>
        </is>
      </c>
      <c r="B7" t="inlineStr">
        <is>
          <t>BYD</t>
        </is>
      </c>
      <c r="C7" t="inlineStr">
        <is>
          <t>Atto 3</t>
        </is>
      </c>
      <c r="D7" t="inlineStr">
        <is>
          <t>UNKNOWN</t>
        </is>
      </c>
      <c r="E7" t="inlineStr">
        <is>
          <t>UNKNOWN</t>
        </is>
      </c>
      <c r="F7" t="inlineStr">
        <is>
          <t>AVAILABLE</t>
        </is>
      </c>
      <c r="G7" t="inlineStr">
        <is>
          <t>BYD Norge offisiell modellside sett 2026-07-07: https://byd.no/modeller/atto3. To utstyrsnivåer (Comfort, Design), ett batteri/drivverk (60 kWh, forhjulsdrift). Modellår og plattform ikke spesifisert i kildegrunnlaget. Skilt fra det separat markedsførte BYD EVO 4x4 (byd.no/modeller/evo-4x4), som ikke er del av denne sammenligningen.</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21"/>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Price verified 2026-07-06 via official Tesla Norway configurator (SRC_TESLA_NO_MODEL3_DESIGN): 400539 kr incl. VAT/fees, no optional extras selected (previously unpriced under DATA-001). See 14_HardRequirementResults (M002, M003) and DecisionLog DEC_M002_VIOLATION for Hard Requirement status and override rationale.</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See 14_HardRequirementResults (M002) and DecisionLog DEC_M002_VIOLATION for the Hard Requirement failure and override rationale.</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c r="I8" t="inlineStr">
        <is>
          <t>FALSE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c r="I19" t="inlineStr">
        <is>
          <t>FALSE</t>
        </is>
      </c>
    </row>
    <row r="20">
      <c r="A20" t="inlineStr">
        <is>
          <t>BYD_ATTO3_COMFORT</t>
        </is>
      </c>
      <c r="B20" t="inlineStr">
        <is>
          <t>BYD_ATTO3</t>
        </is>
      </c>
      <c r="C20" t="inlineStr">
        <is>
          <t>NO</t>
        </is>
      </c>
      <c r="D20" t="inlineStr">
        <is>
          <t>AVAILABLE</t>
        </is>
      </c>
      <c r="E20" t="inlineStr">
        <is>
          <t>Comfort</t>
        </is>
      </c>
      <c r="F20" t="n">
        <v>365920</v>
      </c>
      <c r="G20" t="n">
        <v>365920</v>
      </c>
      <c r="H20" t="inlineStr">
        <is>
          <t>BYD Norge offisiell prisliste sett 2026-07-07: https://byd.no/modeller/atto3. Møter alle sjekkede Hard Requirements - se 14_HardRequirementResults. M003 forblir Ukjent.</t>
        </is>
      </c>
      <c r="I20" t="inlineStr">
        <is>
          <t>FALSE</t>
        </is>
      </c>
    </row>
    <row r="21">
      <c r="A21" t="inlineStr">
        <is>
          <t>BYD_ATTO3_DESIGN</t>
        </is>
      </c>
      <c r="B21" t="inlineStr">
        <is>
          <t>BYD_ATTO3</t>
        </is>
      </c>
      <c r="C21" t="inlineStr">
        <is>
          <t>NO</t>
        </is>
      </c>
      <c r="D21" t="inlineStr">
        <is>
          <t>AVAILABLE</t>
        </is>
      </c>
      <c r="E21" t="inlineStr">
        <is>
          <t>Design</t>
        </is>
      </c>
      <c r="F21" t="n">
        <v>389920</v>
      </c>
      <c r="G21" t="n">
        <v>389920</v>
      </c>
      <c r="H21" t="inlineStr">
        <is>
          <t>BYD Norge offisiell prisliste sett 2026-07-07: https://byd.no/modeller/atto3. Deler ACC/ryggekamera/360-kamera med Comfort (kilden bryter ikke ned utstyr per nivå); Design-spesifikke tillegg er elektrisk bakluke, større skjerm (15,6"), flerfarget ambientbelysning. M003 forblir Ukjent.</t>
        </is>
      </c>
      <c r="I21" t="inlineStr">
        <is>
          <t>FALSE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60"/>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row r="147">
      <c r="A147" t="inlineStr">
        <is>
          <t>TECH_000146</t>
        </is>
      </c>
      <c r="B147" t="inlineStr">
        <is>
          <t>BYD_ATTO3</t>
        </is>
      </c>
      <c r="D147" t="inlineStr">
        <is>
          <t>TF_LENGTH</t>
        </is>
      </c>
      <c r="E147" t="n">
        <v>4455</v>
      </c>
      <c r="F147" t="inlineStr">
        <is>
          <t>MM</t>
        </is>
      </c>
      <c r="G147" t="inlineStr">
        <is>
          <t>SRC_EVDATABASE_ATTO3</t>
        </is>
      </c>
      <c r="H147" t="inlineStr">
        <is>
          <t>MEDIUM</t>
        </is>
      </c>
      <c r="I147" t="inlineStr">
        <is>
          <t>2026-07-07</t>
        </is>
      </c>
      <c r="J147" t="inlineStr">
        <is>
          <t>1.8</t>
        </is>
      </c>
    </row>
    <row r="148">
      <c r="A148" t="inlineStr">
        <is>
          <t>TECH_000147</t>
        </is>
      </c>
      <c r="B148" t="inlineStr">
        <is>
          <t>BYD_ATTO3</t>
        </is>
      </c>
      <c r="D148" t="inlineStr">
        <is>
          <t>TF_WIDTH</t>
        </is>
      </c>
      <c r="E148" t="n">
        <v>1875</v>
      </c>
      <c r="F148" t="inlineStr">
        <is>
          <t>MM</t>
        </is>
      </c>
      <c r="G148" t="inlineStr">
        <is>
          <t>SRC_EVDATABASE_ATTO3</t>
        </is>
      </c>
      <c r="H148" t="inlineStr">
        <is>
          <t>MEDIUM</t>
        </is>
      </c>
      <c r="I148" t="inlineStr">
        <is>
          <t>2026-07-07</t>
        </is>
      </c>
      <c r="J148" t="inlineStr">
        <is>
          <t>1.8</t>
        </is>
      </c>
      <c r="K148" t="inlineStr">
        <is>
          <t>Excluding mirrors</t>
        </is>
      </c>
    </row>
    <row r="149">
      <c r="A149" t="inlineStr">
        <is>
          <t>TECH_000148</t>
        </is>
      </c>
      <c r="B149" t="inlineStr">
        <is>
          <t>BYD_ATTO3</t>
        </is>
      </c>
      <c r="D149" t="inlineStr">
        <is>
          <t>TF_WIDTH</t>
        </is>
      </c>
      <c r="E149" t="n">
        <v>2050</v>
      </c>
      <c r="F149" t="inlineStr">
        <is>
          <t>MM</t>
        </is>
      </c>
      <c r="G149" t="inlineStr">
        <is>
          <t>SRC_EVDATABASE_ATTO3</t>
        </is>
      </c>
      <c r="H149" t="inlineStr">
        <is>
          <t>MEDIUM</t>
        </is>
      </c>
      <c r="I149" t="inlineStr">
        <is>
          <t>2026-07-07</t>
        </is>
      </c>
      <c r="J149" t="inlineStr">
        <is>
          <t>1.8</t>
        </is>
      </c>
      <c r="K149" t="inlineStr">
        <is>
          <t>Mirrors unfolded</t>
        </is>
      </c>
    </row>
    <row r="150">
      <c r="A150" t="inlineStr">
        <is>
          <t>TECH_000149</t>
        </is>
      </c>
      <c r="B150" t="inlineStr">
        <is>
          <t>BYD_ATTO3</t>
        </is>
      </c>
      <c r="D150" t="inlineStr">
        <is>
          <t>TF_HEIGHT</t>
        </is>
      </c>
      <c r="E150" t="n">
        <v>1615</v>
      </c>
      <c r="F150" t="inlineStr">
        <is>
          <t>MM</t>
        </is>
      </c>
      <c r="G150" t="inlineStr">
        <is>
          <t>SRC_EVDATABASE_ATTO3</t>
        </is>
      </c>
      <c r="H150" t="inlineStr">
        <is>
          <t>MEDIUM</t>
        </is>
      </c>
      <c r="I150" t="inlineStr">
        <is>
          <t>2026-07-07</t>
        </is>
      </c>
      <c r="J150" t="inlineStr">
        <is>
          <t>1.8</t>
        </is>
      </c>
    </row>
    <row r="151">
      <c r="A151" t="inlineStr">
        <is>
          <t>TECH_000150</t>
        </is>
      </c>
      <c r="B151" t="inlineStr">
        <is>
          <t>BYD_ATTO3</t>
        </is>
      </c>
      <c r="D151" t="inlineStr">
        <is>
          <t>TF_KERB_WEIGHT</t>
        </is>
      </c>
      <c r="E151" t="n">
        <v>1750</v>
      </c>
      <c r="F151" t="inlineStr">
        <is>
          <t>KG</t>
        </is>
      </c>
      <c r="G151" t="inlineStr">
        <is>
          <t>SRC_NAF_BILGUIDEN_ATTO3</t>
        </is>
      </c>
      <c r="H151" t="inlineStr">
        <is>
          <t>MEDIUM</t>
        </is>
      </c>
      <c r="I151" t="inlineStr">
        <is>
          <t>2026-07-07</t>
        </is>
      </c>
      <c r="J151" t="inlineStr">
        <is>
          <t>1.8</t>
        </is>
      </c>
    </row>
    <row r="152">
      <c r="A152" t="inlineStr">
        <is>
          <t>TECH_000151</t>
        </is>
      </c>
      <c r="B152" t="inlineStr">
        <is>
          <t>BYD_ATTO3</t>
        </is>
      </c>
      <c r="D152" t="inlineStr">
        <is>
          <t>TF_BOOT_VOLUME</t>
        </is>
      </c>
      <c r="E152" t="n">
        <v>440</v>
      </c>
      <c r="F152" t="inlineStr">
        <is>
          <t>L</t>
        </is>
      </c>
      <c r="G152" t="inlineStr">
        <is>
          <t>SRC_BYD_NO_ATTO3</t>
        </is>
      </c>
      <c r="H152" t="inlineStr">
        <is>
          <t>MEDIUM</t>
        </is>
      </c>
      <c r="I152" t="inlineStr">
        <is>
          <t>2026-07-07</t>
        </is>
      </c>
      <c r="J152" t="inlineStr">
        <is>
          <t>1.8</t>
        </is>
      </c>
    </row>
    <row r="153">
      <c r="A153" t="inlineStr">
        <is>
          <t>TECH_000152</t>
        </is>
      </c>
      <c r="B153" t="inlineStr">
        <is>
          <t>BYD_ATTO3</t>
        </is>
      </c>
      <c r="D153" t="inlineStr">
        <is>
          <t>TF_BATTERY_NET</t>
        </is>
      </c>
      <c r="E153" t="n">
        <v>60.48</v>
      </c>
      <c r="F153" t="inlineStr">
        <is>
          <t>KWH</t>
        </is>
      </c>
      <c r="G153" t="inlineStr">
        <is>
          <t>SRC_EVDATABASE_ATTO3</t>
        </is>
      </c>
      <c r="H153" t="inlineStr">
        <is>
          <t>MEDIUM</t>
        </is>
      </c>
      <c r="I153" t="inlineStr">
        <is>
          <t>2026-07-07</t>
        </is>
      </c>
      <c r="J153" t="inlineStr">
        <is>
          <t>1.8</t>
        </is>
      </c>
    </row>
    <row r="154">
      <c r="A154" t="inlineStr">
        <is>
          <t>TECH_000153</t>
        </is>
      </c>
      <c r="B154" t="inlineStr">
        <is>
          <t>BYD_ATTO3</t>
        </is>
      </c>
      <c r="D154" t="inlineStr">
        <is>
          <t>TF_AC_MAX_CHARGING</t>
        </is>
      </c>
      <c r="E154" t="n">
        <v>11</v>
      </c>
      <c r="F154" t="inlineStr">
        <is>
          <t>KW</t>
        </is>
      </c>
      <c r="G154" t="inlineStr">
        <is>
          <t>SRC_BYD_NO_ATTO3</t>
        </is>
      </c>
      <c r="H154" t="inlineStr">
        <is>
          <t>MEDIUM</t>
        </is>
      </c>
      <c r="I154" t="inlineStr">
        <is>
          <t>2026-07-07</t>
        </is>
      </c>
      <c r="J154" t="inlineStr">
        <is>
          <t>1.8</t>
        </is>
      </c>
    </row>
    <row r="155">
      <c r="A155" t="inlineStr">
        <is>
          <t>TECH_000154</t>
        </is>
      </c>
      <c r="B155" t="inlineStr">
        <is>
          <t>BYD_ATTO3</t>
        </is>
      </c>
      <c r="D155" t="inlineStr">
        <is>
          <t>TF_DC_MAX_CHARGING</t>
        </is>
      </c>
      <c r="E155" t="n">
        <v>80</v>
      </c>
      <c r="F155" t="inlineStr">
        <is>
          <t>KW</t>
        </is>
      </c>
      <c r="G155" t="inlineStr">
        <is>
          <t>SRC_BYD_NO_ATTO3</t>
        </is>
      </c>
      <c r="H155" t="inlineStr">
        <is>
          <t>MEDIUM</t>
        </is>
      </c>
      <c r="I155" t="inlineStr">
        <is>
          <t>2026-07-07</t>
        </is>
      </c>
      <c r="J155" t="inlineStr">
        <is>
          <t>1.8</t>
        </is>
      </c>
      <c r="K155" t="inlineStr">
        <is>
          <t>Manufacturer-stated</t>
        </is>
      </c>
    </row>
    <row r="156">
      <c r="A156" t="inlineStr">
        <is>
          <t>TECH_000155</t>
        </is>
      </c>
      <c r="B156" t="inlineStr">
        <is>
          <t>BYD_ATTO3</t>
        </is>
      </c>
      <c r="D156" t="inlineStr">
        <is>
          <t>TF_DC_MAX_CHARGING</t>
        </is>
      </c>
      <c r="E156" t="n">
        <v>90</v>
      </c>
      <c r="F156" t="inlineStr">
        <is>
          <t>KW</t>
        </is>
      </c>
      <c r="G156" t="inlineStr">
        <is>
          <t>SRC_NAF_BILGUIDEN_ATTO3</t>
        </is>
      </c>
      <c r="H156" t="inlineStr">
        <is>
          <t>MEDIUM</t>
        </is>
      </c>
      <c r="I156" t="inlineStr">
        <is>
          <t>2026-07-07</t>
        </is>
      </c>
      <c r="J156" t="inlineStr">
        <is>
          <t>1.8</t>
        </is>
      </c>
      <c r="K156" t="inlineStr">
        <is>
          <t>NAF-measured peak</t>
        </is>
      </c>
    </row>
    <row r="157">
      <c r="A157" t="inlineStr">
        <is>
          <t>TECH_000156</t>
        </is>
      </c>
      <c r="B157" t="inlineStr">
        <is>
          <t>BYD_ATTO3</t>
        </is>
      </c>
      <c r="D157" t="inlineStr">
        <is>
          <t>TF_WLTP_RANGE</t>
        </is>
      </c>
      <c r="E157" t="n">
        <v>420</v>
      </c>
      <c r="F157" t="inlineStr">
        <is>
          <t>KM</t>
        </is>
      </c>
      <c r="G157" t="inlineStr">
        <is>
          <t>SRC_BYD_NO_ATTO3</t>
        </is>
      </c>
      <c r="H157" t="inlineStr">
        <is>
          <t>MEDIUM</t>
        </is>
      </c>
      <c r="I157" t="inlineStr">
        <is>
          <t>2026-07-07</t>
        </is>
      </c>
      <c r="J157" t="inlineStr">
        <is>
          <t>1.8</t>
        </is>
      </c>
    </row>
    <row r="158">
      <c r="A158" t="inlineStr">
        <is>
          <t>TECH_000157</t>
        </is>
      </c>
      <c r="B158" t="inlineStr">
        <is>
          <t>BYD_ATTO3</t>
        </is>
      </c>
      <c r="D158" t="inlineStr">
        <is>
          <t>TF_MOTOR_POWER</t>
        </is>
      </c>
      <c r="E158" t="n">
        <v>150</v>
      </c>
      <c r="F158" t="inlineStr">
        <is>
          <t>KW</t>
        </is>
      </c>
      <c r="G158" t="inlineStr">
        <is>
          <t>SRC_EVDATABASE_ATTO3</t>
        </is>
      </c>
      <c r="H158" t="inlineStr">
        <is>
          <t>MEDIUM</t>
        </is>
      </c>
      <c r="I158" t="inlineStr">
        <is>
          <t>2026-07-07</t>
        </is>
      </c>
      <c r="J158" t="inlineStr">
        <is>
          <t>1.8</t>
        </is>
      </c>
    </row>
    <row r="159">
      <c r="A159" t="inlineStr">
        <is>
          <t>TECH_000158</t>
        </is>
      </c>
      <c r="B159" t="inlineStr">
        <is>
          <t>BYD_ATTO3</t>
        </is>
      </c>
      <c r="D159" t="inlineStr">
        <is>
          <t>TF_TORQUE</t>
        </is>
      </c>
      <c r="E159" t="n">
        <v>310</v>
      </c>
      <c r="F159" t="inlineStr">
        <is>
          <t>NM</t>
        </is>
      </c>
      <c r="G159" t="inlineStr">
        <is>
          <t>SRC_EVDATABASE_ATTO3</t>
        </is>
      </c>
      <c r="H159" t="inlineStr">
        <is>
          <t>MEDIUM</t>
        </is>
      </c>
      <c r="I159" t="inlineStr">
        <is>
          <t>2026-07-07</t>
        </is>
      </c>
      <c r="J159" t="inlineStr">
        <is>
          <t>1.8</t>
        </is>
      </c>
    </row>
    <row r="160">
      <c r="A160" t="inlineStr">
        <is>
          <t>TECH_000159</t>
        </is>
      </c>
      <c r="B160" t="inlineStr">
        <is>
          <t>BYD_ATTO3</t>
        </is>
      </c>
      <c r="D160" t="inlineStr">
        <is>
          <t>TF_TOP_SPEED</t>
        </is>
      </c>
      <c r="E160" t="n">
        <v>160</v>
      </c>
      <c r="F160" t="inlineStr">
        <is>
          <t>KMH</t>
        </is>
      </c>
      <c r="G160" t="inlineStr">
        <is>
          <t>SRC_EVDATABASE_ATTO3</t>
        </is>
      </c>
      <c r="H160" t="inlineStr">
        <is>
          <t>MEDIUM</t>
        </is>
      </c>
      <c r="I160" t="inlineStr">
        <is>
          <t>2026-07-07</t>
        </is>
      </c>
      <c r="J160" t="inlineStr">
        <is>
          <t>1.8</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row r="64">
      <c r="A64" t="inlineStr">
        <is>
          <t>EQ_000063</t>
        </is>
      </c>
      <c r="B64" t="inlineStr">
        <is>
          <t>BYD_ATTO3_COMFORT</t>
        </is>
      </c>
      <c r="C64" t="inlineStr">
        <is>
          <t>EQ_ACC</t>
        </is>
      </c>
      <c r="D64" t="inlineStr">
        <is>
          <t>STANDARD</t>
        </is>
      </c>
      <c r="E64" t="inlineStr">
        <is>
          <t>SRC_BYD_NO_ATTO3</t>
        </is>
      </c>
      <c r="F64" t="inlineStr">
        <is>
          <t>MEDIUM</t>
        </is>
      </c>
    </row>
    <row r="65">
      <c r="A65" t="inlineStr">
        <is>
          <t>EQ_000064</t>
        </is>
      </c>
      <c r="B65" t="inlineStr">
        <is>
          <t>BYD_ATTO3_COMFORT</t>
        </is>
      </c>
      <c r="C65" t="inlineStr">
        <is>
          <t>EQ_REAR_CAMERA</t>
        </is>
      </c>
      <c r="D65" t="inlineStr">
        <is>
          <t>STANDARD</t>
        </is>
      </c>
      <c r="E65" t="inlineStr">
        <is>
          <t>SRC_BYD_NO_ATTO3</t>
        </is>
      </c>
      <c r="F65" t="inlineStr">
        <is>
          <t>MEDIUM</t>
        </is>
      </c>
    </row>
    <row r="66">
      <c r="A66" t="inlineStr">
        <is>
          <t>EQ_000065</t>
        </is>
      </c>
      <c r="B66" t="inlineStr">
        <is>
          <t>BYD_ATTO3_COMFORT</t>
        </is>
      </c>
      <c r="C66" t="inlineStr">
        <is>
          <t>EQ_360</t>
        </is>
      </c>
      <c r="D66" t="inlineStr">
        <is>
          <t>STANDARD</t>
        </is>
      </c>
      <c r="E66" t="inlineStr">
        <is>
          <t>SRC_BYD_NO_ATTO3</t>
        </is>
      </c>
      <c r="F66" t="inlineStr">
        <is>
          <t>MEDIUM</t>
        </is>
      </c>
    </row>
    <row r="67">
      <c r="A67" t="inlineStr">
        <is>
          <t>EQ_000066</t>
        </is>
      </c>
      <c r="B67" t="inlineStr">
        <is>
          <t>BYD_ATTO3_DESIGN</t>
        </is>
      </c>
      <c r="C67" t="inlineStr">
        <is>
          <t>EQ_ACC</t>
        </is>
      </c>
      <c r="D67" t="inlineStr">
        <is>
          <t>STANDARD</t>
        </is>
      </c>
      <c r="E67" t="inlineStr">
        <is>
          <t>SRC_BYD_NO_ATTO3</t>
        </is>
      </c>
      <c r="F67" t="inlineStr">
        <is>
          <t>MEDIUM</t>
        </is>
      </c>
    </row>
    <row r="68">
      <c r="A68" t="inlineStr">
        <is>
          <t>EQ_000067</t>
        </is>
      </c>
      <c r="B68" t="inlineStr">
        <is>
          <t>BYD_ATTO3_DESIGN</t>
        </is>
      </c>
      <c r="C68" t="inlineStr">
        <is>
          <t>EQ_REAR_CAMERA</t>
        </is>
      </c>
      <c r="D68" t="inlineStr">
        <is>
          <t>STANDARD</t>
        </is>
      </c>
      <c r="E68" t="inlineStr">
        <is>
          <t>SRC_BYD_NO_ATTO3</t>
        </is>
      </c>
      <c r="F68" t="inlineStr">
        <is>
          <t>MEDIUM</t>
        </is>
      </c>
    </row>
    <row r="69">
      <c r="A69" t="inlineStr">
        <is>
          <t>EQ_000068</t>
        </is>
      </c>
      <c r="B69" t="inlineStr">
        <is>
          <t>BYD_ATTO3_DESIGN</t>
        </is>
      </c>
      <c r="C69" t="inlineStr">
        <is>
          <t>EQ_360</t>
        </is>
      </c>
      <c r="D69" t="inlineStr">
        <is>
          <t>STANDARD</t>
        </is>
      </c>
      <c r="E69" t="inlineStr">
        <is>
          <t>SRC_BYD_NO_ATTO3</t>
        </is>
      </c>
      <c r="F69" t="inlineStr">
        <is>
          <t>MEDIUM</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kupestøy i den oppgraderte Model 3-plattformen sammenlignet med tidligere årsmodeller; dekkstøy fremheves som blant de beste i klassen. Testet på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fjæringen som behagelig ved høyere hastighet; Cars.com bekrefter at det ikke oppstår brå støt takket være frekvensavhengige dempere. Testet på AWD/Long Range-varianter; RWD-spesifikk fjæringskarakter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dårlig sikt bakover - sistnevnte er en reell praktisk ulempe ved manøvrering.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undersøkelsestidspunkt (juli 2026) fortsatt ikke støttes på noen Tesla-modell, inkludert Model 3. Tesla har varslet trådløs CarPlay "i løpet av kommende måneder"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på ujevn vei" med ubehagelig humpete kjøring på harde skjøter, mens RAC Drive på samme drivlinje (150 Comfort Range) rapporterer at fjæringen "smothers potholes and speed bumps quietly." De to profesjonelle kildene motsier hverandre direkte om komfort - dokumentert som uenighet, ikke løst ved å velge en foretrukket verdi (jf. rammeverkets prinsipp om å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så vidt får plass bak en like høy fører i baksetet, og at pedalplassering er trang - en reell praktisk ulempe. Samtidig gir høyere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på alle versjoner av Renault 4, bekreftet både av offisiell Renault-spesifikasjon og uavhengig av RAC Drive ("comes on all models"). Motsatt funn av Tesla Model 3 Long Range RWD, som mangler CarPlay-støtte.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på ca. 30 minutter) og 15,5 kWh/100km forbruk for Techno (52 kWh Comfort Range) - solid ladeeffekt for segmentet, godt over minimumsbehovet gitt lav estimert årlig kjørelengde.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hjulstøy er "en familiesvakhet for bilene på MEB-plattformen" og at Elroq hadde mest hjulstøy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fjæringen som hastighetsavhengig (stiv i lav fart, fast og fin i høy fart) - nøytralt til svakt positivt funn. What Car? er klart positiv: fjæringen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på alle versjoner av Skoda Elroq, bekreftet både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på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hjulstøy på piggfrie vinterdekk; What Car? beskriver bilen som "fairly hushed" ved høy fart med kun litt vind-/veistøy.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fjæringen som svært stiv over skarpe ujevnheter, men behagelig i fart. What Car? vurderer balansen mellom komfort og kjøreegenskaper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på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på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motorstøy, lite dekkstøy på motorvei og lite fjæringsstøy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høyere hastighet på Standard Range-varianten, med dempere beskrevet som stive og "ikke spesielt sofistikerte." What Car? rapporterer motsatt at fjæringen er relativt myk og glatter ut humper, om enn med krengning i svinger. Direkte motstridende funn - dokumentert som uenighet, ikke løst.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på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høyest forbruk i utvalget) uten tilsvarende mer rekkevidde. Merprisen går hovedsakelig til firehjulsdrift og ytelse (0-100 på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kjøperens egne tilvalg (4-seter, vinterhjul) og er ikke representativt for trimmens egen verdi. Vurdert på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størst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på motorvei.' Kort omtale fremfor en dyptgående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får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row r="102">
      <c r="A102" t="inlineStr">
        <is>
          <t>REV_000101</t>
        </is>
      </c>
      <c r="C102" t="inlineStr">
        <is>
          <t>BYD_ATTO3_DESIGN</t>
        </is>
      </c>
      <c r="D102" t="inlineStr">
        <is>
          <t>Kjøreopplevelse</t>
        </is>
      </c>
      <c r="E102" t="n">
        <v>3</v>
      </c>
      <c r="F102" t="inlineStr">
        <is>
          <t>MEDIUM</t>
        </is>
      </c>
      <c r="G102" t="inlineStr">
        <is>
          <t>Bil24 rapporterer komfortabelt støynivå opp til 80 km/t, men merkbart mer støy ved 100 km/t - nettopp den motorveifarten dette kriteriet vektlegger tungt. Testet på Comfort, men deler karosseri/lydisolasjon med Design. Kun én uavhengig kilde funnet. [Kriterium W001]</t>
        </is>
      </c>
      <c r="H102" t="inlineStr">
        <is>
          <t>EV_000128</t>
        </is>
      </c>
      <c r="I102" t="inlineStr">
        <is>
          <t>1.8</t>
        </is>
      </c>
    </row>
    <row r="103">
      <c r="A103" t="inlineStr">
        <is>
          <t>REV_000102</t>
        </is>
      </c>
      <c r="C103" t="inlineStr">
        <is>
          <t>BYD_ATTO3_DESIGN</t>
        </is>
      </c>
      <c r="D103" t="inlineStr">
        <is>
          <t>Kjøreopplevelse</t>
        </is>
      </c>
      <c r="E103" t="n">
        <v>4</v>
      </c>
      <c r="F103" t="inlineStr">
        <is>
          <t>MEDIUM</t>
        </is>
      </c>
      <c r="G103" t="inlineStr">
        <is>
          <t>To uavhengige kilder (Bil24 på Comfort, Formel E på Design) er samstemte om en komfortabel, mykt avstemt fjæring. Bil24 fremhever komfortable seter over lengre kjøreturer, men med begrenset justeringsmulighet. [Kriterium W002]</t>
        </is>
      </c>
      <c r="H103" t="inlineStr">
        <is>
          <t>EV_000129,EV_000130</t>
        </is>
      </c>
      <c r="I103" t="inlineStr">
        <is>
          <t>1.8</t>
        </is>
      </c>
    </row>
    <row r="104">
      <c r="A104" t="inlineStr">
        <is>
          <t>REV_000103</t>
        </is>
      </c>
      <c r="C104" t="inlineStr">
        <is>
          <t>BYD_ATTO3_DESIGN</t>
        </is>
      </c>
      <c r="D104" t="inlineStr">
        <is>
          <t>Kjøreopplevelse</t>
        </is>
      </c>
      <c r="E104" t="n">
        <v>4</v>
      </c>
      <c r="F104" t="inlineStr">
        <is>
          <t>MEDIUM</t>
        </is>
      </c>
      <c r="G104" t="inlineStr">
        <is>
          <t>Bil24 fremhever 360-graders kamerasystemet som klart og tydelig med gode tilpasningsmuligheter, noe som gir god oversikt ved manøvrering og parkering. Generell fremrutesikt ikke eksplisitt vurdert i den ene kilden funnet. [Kriterium W003]</t>
        </is>
      </c>
      <c r="H104" t="inlineStr">
        <is>
          <t>EV_000131</t>
        </is>
      </c>
      <c r="I104" t="inlineStr">
        <is>
          <t>1.8</t>
        </is>
      </c>
    </row>
    <row r="105">
      <c r="A105" t="inlineStr">
        <is>
          <t>REV_000104</t>
        </is>
      </c>
      <c r="C105" t="inlineStr">
        <is>
          <t>BYD_ATTO3_DESIGN</t>
        </is>
      </c>
      <c r="D105" t="inlineStr">
        <is>
          <t>Kjøreopplevelse</t>
        </is>
      </c>
      <c r="E105" t="n">
        <v>3</v>
      </c>
      <c r="F105" t="inlineStr">
        <is>
          <t>LOW</t>
        </is>
      </c>
      <c r="G105" t="inlineStr">
        <is>
          <t>Formel E (Design-testbil) beskriver kjøringen som 'stabil og ganske underholdende', med velavstemt fjæringsgeometri - men vurderingen er generell og ikke en detaljert styrefølelse-analyse. Kun én tynn kilde funnet, ingen motstridende eller bekreftende data. [Kriterium W004]</t>
        </is>
      </c>
      <c r="H105" t="inlineStr">
        <is>
          <t>EV_000130</t>
        </is>
      </c>
      <c r="I105" t="inlineStr">
        <is>
          <t>1.8</t>
        </is>
      </c>
    </row>
    <row r="106">
      <c r="A106" t="inlineStr">
        <is>
          <t>REV_000105</t>
        </is>
      </c>
      <c r="C106" t="inlineStr">
        <is>
          <t>BYD_ATTO3_DESIGN</t>
        </is>
      </c>
      <c r="D106" t="inlineStr">
        <is>
          <t>Teknologi</t>
        </is>
      </c>
      <c r="E106" t="n">
        <v>3</v>
      </c>
      <c r="F106" t="inlineStr">
        <is>
          <t>MEDIUM</t>
        </is>
      </c>
      <c r="G106" t="inlineStr">
        <is>
          <t>Genuin kildemotsigelse: Formel E (Design) beskriver den 15,6 tommers skjermen som stor og svært tydelig, mens Bil24 finner infotainmentet stort sett brukervennlig men med ulogiske strukturer (f.eks. DAB-radio gjemt i en egen 'app'). Dokumentert som reell uenighet, ikke forsøkt løst. [Kriterium W005]</t>
        </is>
      </c>
      <c r="H106" t="inlineStr">
        <is>
          <t>EV_000135,EV_000134</t>
        </is>
      </c>
      <c r="I106" t="inlineStr">
        <is>
          <t>1.8</t>
        </is>
      </c>
    </row>
    <row r="107">
      <c r="A107" t="inlineStr">
        <is>
          <t>REV_000106</t>
        </is>
      </c>
      <c r="C107" t="inlineStr">
        <is>
          <t>BYD_ATTO3_DESIGN</t>
        </is>
      </c>
      <c r="D107" t="inlineStr">
        <is>
          <t>Teknologi</t>
        </is>
      </c>
      <c r="E107" t="n">
        <v>4</v>
      </c>
      <c r="F107" t="inlineStr">
        <is>
          <t>MEDIUM</t>
        </is>
      </c>
      <c r="G107" t="inlineStr">
        <is>
          <t>Bil24 fremhever OTA-oppdateringsmuligheten som en tydelig fordel, som også gjør bilen attraktiv for tredjeparts appleverandører over tid. Kun én kilde, men entydig positiv og teknisk bekreftet (samme OTA-kanal brukt til å legge til trådløs CarPlay, se W007). [Kriterium W006]</t>
        </is>
      </c>
      <c r="H107" t="inlineStr">
        <is>
          <t>EV_000136</t>
        </is>
      </c>
      <c r="I107" t="inlineStr">
        <is>
          <t>1.8</t>
        </is>
      </c>
    </row>
    <row r="108">
      <c r="A108" t="inlineStr">
        <is>
          <t>REV_000107</t>
        </is>
      </c>
      <c r="C108" t="inlineStr">
        <is>
          <t>BYD_ATTO3_DESIGN</t>
        </is>
      </c>
      <c r="D108" t="inlineStr">
        <is>
          <t>Teknologi</t>
        </is>
      </c>
      <c r="E108" t="n">
        <v>3</v>
      </c>
      <c r="F108" t="inlineStr">
        <is>
          <t>MEDIUM</t>
        </is>
      </c>
      <c r="G108" t="inlineStr">
        <is>
          <t>CarPlay var kun kablet ved lansering; trådløs CarPlay ble lagt til via en bekreftet OTA-oppdatering (V1.8.0, 2026-forgjenger-dato 2024-07-02). Fungerer altså i dag, men den forsinkede/ettermonterte trådløsheten er en reell historisk begrensning verdt å notere. Android Auto var trådløst fra start. [Kriterium W007]</t>
        </is>
      </c>
      <c r="H108" t="inlineStr">
        <is>
          <t>EV_000137</t>
        </is>
      </c>
      <c r="I108" t="inlineStr">
        <is>
          <t>1.8</t>
        </is>
      </c>
    </row>
    <row r="109">
      <c r="A109" t="inlineStr">
        <is>
          <t>REV_000108</t>
        </is>
      </c>
      <c r="C109" t="inlineStr">
        <is>
          <t>BYD_ATTO3_DESIGN</t>
        </is>
      </c>
      <c r="D109" t="inlineStr">
        <is>
          <t>Teknologi</t>
        </is>
      </c>
      <c r="E109" t="n">
        <v>2</v>
      </c>
      <c r="F109" t="inlineStr">
        <is>
          <t>MEDIUM</t>
        </is>
      </c>
      <c r="G109" t="inlineStr">
        <is>
          <t>To uavhengige kilder peker samme vei: Bil24 (profesjonell test) beskriver adaptiv cruisekontroll som unødig hjelpsom med nedbremsing i svinger; en samling eierrapporter (EVparts4x4) dokumenterer falske frontkollisjonsvarsler i klar trafikk og en filholdsassistent med 'jerky' styreinngrep. Fungerer, men kvaliteten er en reell, dokumentert svakhet. [Kriterium W008]</t>
        </is>
      </c>
      <c r="H109" t="inlineStr">
        <is>
          <t>EV_000132,EV_000133</t>
        </is>
      </c>
      <c r="I109" t="inlineStr">
        <is>
          <t>1.8</t>
        </is>
      </c>
    </row>
    <row r="110">
      <c r="A110" t="inlineStr">
        <is>
          <t>REV_000109</t>
        </is>
      </c>
      <c r="C110" t="inlineStr">
        <is>
          <t>BYD_ATTO3_DESIGN</t>
        </is>
      </c>
      <c r="D110" t="inlineStr">
        <is>
          <t>Teknologi</t>
        </is>
      </c>
      <c r="E110" t="n">
        <v>5</v>
      </c>
      <c r="F110" t="inlineStr">
        <is>
          <t>MEDIUM</t>
        </is>
      </c>
      <c r="G110" t="inlineStr">
        <is>
          <t>Bil24 gir eksplisitt positiv omtale av 360-graders kamerasystemet: klar og tydelig visning fra flere vinkler med gode tilpasningsmuligheter. Ingen negative funn om kamerakvalitet i noen av kildene gjennomgått. [Kriterium W009]</t>
        </is>
      </c>
      <c r="H110" t="inlineStr">
        <is>
          <t>EV_000131</t>
        </is>
      </c>
      <c r="I110" t="inlineStr">
        <is>
          <t>1.8</t>
        </is>
      </c>
    </row>
    <row r="111">
      <c r="A111" t="inlineStr">
        <is>
          <t>REV_000110</t>
        </is>
      </c>
      <c r="C111" t="inlineStr">
        <is>
          <t>BYD_ATTO3_DESIGN</t>
        </is>
      </c>
      <c r="D111" t="inlineStr">
        <is>
          <t>Opplevd kvalitet</t>
        </is>
      </c>
      <c r="E111" t="n">
        <v>4</v>
      </c>
      <c r="F111" t="inlineStr">
        <is>
          <t>MEDIUM</t>
        </is>
      </c>
      <c r="G111" t="inlineStr">
        <is>
          <t>Formel E (Design) beskriver interiøret som 'well-built, well-composed and modern' med detaljer som vegansk lær på rattet; Bil24 (Comfort) beskriver et overraskende 'lekent' interiør i form og farge. Ingen hardplast-kritikk funnet i noen kilde - solid for prisklassen. [Kriterium W010]</t>
        </is>
      </c>
      <c r="H111" t="inlineStr">
        <is>
          <t>EV_000138,EV_000139</t>
        </is>
      </c>
      <c r="I111" t="inlineStr">
        <is>
          <t>1.8</t>
        </is>
      </c>
    </row>
    <row r="112">
      <c r="A112" t="inlineStr">
        <is>
          <t>REV_000111</t>
        </is>
      </c>
      <c r="C112" t="inlineStr">
        <is>
          <t>BYD_ATTO3_DESIGN</t>
        </is>
      </c>
      <c r="D112" t="inlineStr">
        <is>
          <t>Opplevd kvalitet</t>
        </is>
      </c>
      <c r="E112" t="n">
        <v>4</v>
      </c>
      <c r="F112" t="inlineStr">
        <is>
          <t>MEDIUM</t>
        </is>
      </c>
      <c r="G112" t="inlineStr">
        <is>
          <t>Formel E vurderer Design-testbilen som 'well-built, well-composed' uten å nevne knirk eller løse paneler. Kun én kilde med eksplisitt byggekvalitetsvurdering, og ingen motstridende funn om knirk/skranglete inntrykk i de øvrige kildene. [Kriterium W011]</t>
        </is>
      </c>
      <c r="H112" t="inlineStr">
        <is>
          <t>EV_000138</t>
        </is>
      </c>
      <c r="I112" t="inlineStr">
        <is>
          <t>1.8</t>
        </is>
      </c>
    </row>
    <row r="113">
      <c r="A113" t="inlineStr">
        <is>
          <t>REV_000112</t>
        </is>
      </c>
      <c r="C113" t="inlineStr">
        <is>
          <t>BYD_ATTO3_DESIGN</t>
        </is>
      </c>
      <c r="D113" t="inlineStr">
        <is>
          <t>Opplevd kvalitet</t>
        </is>
      </c>
      <c r="E113" t="n">
        <v>3</v>
      </c>
      <c r="F113" t="inlineStr">
        <is>
          <t>MEDIUM</t>
        </is>
      </c>
      <c r="G113" t="inlineStr">
        <is>
          <t>Bil24 gir en detaljert, blandet vurdering: setet oppleves 'meget komfortabel' over en 350 km tur, men mangler lengde- og helningsjustering; hodehøyde er begrenset for høye passasjerer under panoramataket, og armlenet er relativt stort. Reelle, konkrete innvendinger, ikke bare generell positivitet. [Kriterium W012]</t>
        </is>
      </c>
      <c r="H113" t="inlineStr">
        <is>
          <t>EV_000129,EV_000140</t>
        </is>
      </c>
      <c r="I113" t="inlineStr">
        <is>
          <t>1.8</t>
        </is>
      </c>
    </row>
    <row r="114">
      <c r="A114" t="inlineStr">
        <is>
          <t>REV_000113</t>
        </is>
      </c>
      <c r="C114" t="inlineStr">
        <is>
          <t>BYD_ATTO3_DESIGN</t>
        </is>
      </c>
      <c r="D114" t="inlineStr">
        <is>
          <t>Opplevd kvalitet</t>
        </is>
      </c>
      <c r="E114" t="n">
        <v>3</v>
      </c>
      <c r="F114" t="inlineStr">
        <is>
          <t>MEDIUM</t>
        </is>
      </c>
      <c r="G114" t="inlineStr">
        <is>
          <t>Bil24 beskriver fysiske detaljer som polariserende: bakdørhåndtak i 'gitarstreng'-design er nytenkende men potensielt uheldig med barn i baksetet, girspaken oppleves som 'artig', men enkelte menystrukturer er ikke intuitive og rattvarme mangler helt. [Kriterium W013]</t>
        </is>
      </c>
      <c r="H114" t="inlineStr">
        <is>
          <t>EV_000141</t>
        </is>
      </c>
      <c r="I114" t="inlineStr">
        <is>
          <t>1.8</t>
        </is>
      </c>
    </row>
    <row r="115">
      <c r="A115" t="inlineStr">
        <is>
          <t>REV_000114</t>
        </is>
      </c>
      <c r="C115" t="inlineStr">
        <is>
          <t>BYD_ATTO3_DESIGN</t>
        </is>
      </c>
      <c r="D115" t="inlineStr">
        <is>
          <t>Langtidseierskap</t>
        </is>
      </c>
      <c r="E115" t="n">
        <v>4</v>
      </c>
      <c r="F115" t="inlineStr">
        <is>
          <t>MEDIUM</t>
        </is>
      </c>
      <c r="G115" t="inlineStr">
        <is>
          <t>BYD er verdens største EV-produsent etter volum og har vært etablert som bilprodusent siden 1995 - ikke en ny, uprøvd aktør. Atto 3 har dessuten vært til salgs i Norge siden minst 2023 med flere uavhengige testrunder over tid, altså reell modellspesifikk historikk fremfor kun merke-fallback (se [[feedback-langtidseierskap-brand-fallback-confidence]]-prinsippet, som her ikke engang er nødvendig å ty til). [Kriterium W014]</t>
        </is>
      </c>
      <c r="H115" t="inlineStr">
        <is>
          <t>EV_000145</t>
        </is>
      </c>
      <c r="I115" t="inlineStr">
        <is>
          <t>1.8</t>
        </is>
      </c>
    </row>
    <row r="116">
      <c r="A116" t="inlineStr">
        <is>
          <t>REV_000115</t>
        </is>
      </c>
      <c r="C116" t="inlineStr">
        <is>
          <t>BYD_ATTO3_DESIGN</t>
        </is>
      </c>
      <c r="D116" t="inlineStr">
        <is>
          <t>Langtidseierskap</t>
        </is>
      </c>
      <c r="E116" t="n">
        <v>5</v>
      </c>
      <c r="F116" t="inlineStr">
        <is>
          <t>MEDIUM</t>
        </is>
      </c>
      <c r="G116" t="inlineStr">
        <is>
          <t>Offisiell garantihåndbok bekrefter 6 år/150 000 km generell garanti, 8 år/250 000 km batterigaranti (SOH&gt;=70%), 12 år rustgaranti og 8 år/150 000 km drivmotorgaranti - et objektivt sterkt garantipakke sammenlignet med de øvrige 5 bilene i denne sammenligningen. [Kriterium W015]</t>
        </is>
      </c>
      <c r="H116" t="inlineStr">
        <is>
          <t>EV_000142</t>
        </is>
      </c>
      <c r="I116" t="inlineStr">
        <is>
          <t>1.8</t>
        </is>
      </c>
    </row>
    <row r="117">
      <c r="A117" t="inlineStr">
        <is>
          <t>REV_000116</t>
        </is>
      </c>
      <c r="C117" t="inlineStr">
        <is>
          <t>BYD_ATTO3_DESIGN</t>
        </is>
      </c>
      <c r="D117" t="inlineStr">
        <is>
          <t>Langtidseierskap</t>
        </is>
      </c>
      <c r="E117" t="n">
        <v>3</v>
      </c>
      <c r="F117" t="inlineStr">
        <is>
          <t>MEDIUM</t>
        </is>
      </c>
      <c r="G117" t="inlineStr">
        <is>
          <t>Flere års dokumentert tilstedeværelse i det norske markedet (NAF-test datert 2023, samt nyere tester fra Bil24/Formel E) viser reell nordisk modenhet sammenlignet med f.eks. Kia EV2, som ble vurdert som for ny for vintertestsykluser. Trekkes likevel ned av at ingen kilde har dokumentert en faktisk vintertest av rekkevidde (se M003, forblir Ukjent). [Kriterium W016]</t>
        </is>
      </c>
      <c r="H117" t="inlineStr">
        <is>
          <t>EV_000145</t>
        </is>
      </c>
      <c r="I117" t="inlineStr">
        <is>
          <t>1.8</t>
        </is>
      </c>
    </row>
    <row r="118">
      <c r="A118" t="inlineStr">
        <is>
          <t>REV_000117</t>
        </is>
      </c>
      <c r="C118" t="inlineStr">
        <is>
          <t>BYD_ATTO3_DESIGN</t>
        </is>
      </c>
      <c r="D118" t="inlineStr">
        <is>
          <t>Økonomi</t>
        </is>
      </c>
      <c r="E118" t="n">
        <v>3</v>
      </c>
      <c r="F118" t="inlineStr">
        <is>
          <t>MEDIUM</t>
        </is>
      </c>
      <c r="G118" t="inlineStr">
        <is>
          <t>Design til 389 920 kr ligger midt i feltet av de 6 bilene (billigere enn Tesla, Kia og Volvo; dyrere enn Renault og Skoda) for en pakke med 5-stjerners NCAP, sterk garanti og OTA-økosystem, men svakere DC-lading og dokumenterte ADAS-kvirker. Bil24s egen tester er selv usikker på om dette er god verdi for en forhjulsdrevet 5-seter ('Det er kanskje det?') - en ærlig, ikke overdrevet, vurdering. [Kriterium W017]</t>
        </is>
      </c>
      <c r="H118" t="inlineStr">
        <is>
          <t>EV_000144</t>
        </is>
      </c>
      <c r="I118" t="inlineStr">
        <is>
          <t>1.8</t>
        </is>
      </c>
    </row>
    <row r="119">
      <c r="A119" t="inlineStr">
        <is>
          <t>REV_000118</t>
        </is>
      </c>
      <c r="C119" t="inlineStr">
        <is>
          <t>BYD_ATTO3_DESIGN</t>
        </is>
      </c>
      <c r="D119" t="inlineStr">
        <is>
          <t>Praktisk bruk</t>
        </is>
      </c>
      <c r="E119" t="n">
        <v>4</v>
      </c>
      <c r="F119" t="inlineStr">
        <is>
          <t>MEDIUM</t>
        </is>
      </c>
      <c r="G119" t="inlineStr">
        <is>
          <t>440 liter bagasjerom med flatt gulv, 60/40 delt bakseterygg og to romslige sidekott gir god fleksibilitet for voksne passasjerer og bagasje. Eneste dokumenterte praktiske begrensning er redusert hodehøyde for høye passasjerer under panoramataket - ingen barnesetefokusert vurdering (jf. [[user-no-children-household]]). [Kriterium W018]</t>
        </is>
      </c>
      <c r="H119" t="inlineStr">
        <is>
          <t>EV_000143,EV_000140</t>
        </is>
      </c>
      <c r="I119" t="inlineStr">
        <is>
          <t>1.8</t>
        </is>
      </c>
    </row>
    <row r="120">
      <c r="A120" t="inlineStr">
        <is>
          <t>REV_000119</t>
        </is>
      </c>
      <c r="C120" t="inlineStr">
        <is>
          <t>BYD_ATTO3_DESIGN</t>
        </is>
      </c>
      <c r="D120" t="inlineStr">
        <is>
          <t>Garasje</t>
        </is>
      </c>
      <c r="E120" t="n">
        <v>3</v>
      </c>
      <c r="F120" t="inlineStr">
        <is>
          <t>MEDIUM</t>
        </is>
      </c>
      <c r="G120" t="inlineStr">
        <is>
          <t>Offisiell lengde 4455mm gir 45mm margin til 4500mm-grensen - en reell, men moderat margin: trangere enn Kia EV2s 435mm, men romsligere enn Skoda Elroqs 12mm. Se 14_HardRequirementResults (M002) for samme grunnlag. [Kriterium W019]</t>
        </is>
      </c>
      <c r="H120" t="inlineStr">
        <is>
          <t>EV_000146</t>
        </is>
      </c>
      <c r="I120" t="inlineStr">
        <is>
          <t>1.8</t>
        </is>
      </c>
    </row>
    <row r="121">
      <c r="A121" t="inlineStr">
        <is>
          <t>REV_000120</t>
        </is>
      </c>
      <c r="C121" t="inlineStr">
        <is>
          <t>BYD_ATTO3_DESIGN</t>
        </is>
      </c>
      <c r="D121" t="inlineStr">
        <is>
          <t>Rekkevidde/lading</t>
        </is>
      </c>
      <c r="E121" t="n">
        <v>2</v>
      </c>
      <c r="F121" t="inlineStr">
        <is>
          <t>MEDIUM</t>
        </is>
      </c>
      <c r="G121" t="inlineStr">
        <is>
          <t>DC-lading på 80kW (produsentoppgitt) til 90kW (NAF-målt) og AC på 11kW ligger under nivået til mange 2026-konkurrenter som ofte tilbyr 150-220kW DC. Kriteriet er lavt vektet, og svakheten trekker score noe ned, men ikke drastisk. [Kriterium W020]</t>
        </is>
      </c>
      <c r="H121" t="inlineStr">
        <is>
          <t>EV_000147</t>
        </is>
      </c>
      <c r="I121" t="inlineStr">
        <is>
          <t>1.8</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4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på ujevn vei, og harde skjøter gir ubehagelig humpete kjøring"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"hjulstøyen - en familiesvakhet for bilene på MEB-plattformen - som ødelegger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"Fjæringen er stiv i lavere fart, fast og fin i høyere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på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hjulstøy på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på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høyere hastigheter gir en vel spretten følelse"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Førerassistenter kvalitet: elbil.no sin norske test bekrefter adaptiv cruise control er standard på Techno (og Iconic), og at den fungerer 'overraskende greit på motorvei'. Kort omtale, ikke en dyptgående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på Iconic-varianten (+20 000 kr over Techno). Techno får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row r="129">
      <c r="A129" t="inlineStr">
        <is>
          <t>EV_000128</t>
        </is>
      </c>
      <c r="B129" t="inlineStr">
        <is>
          <t>BYD_ATTO3</t>
        </is>
      </c>
      <c r="D129" t="inlineStr">
        <is>
          <t>Kupéstøy: komfortable fjæringer og hyggelig støynivå opp til 80 km/t, men merkbart mer støy ved 100 km/t (motorveifart). Testet på Comfort-spesifikasjon, som deler karosseri og lydisolasjon med Design.</t>
        </is>
      </c>
      <c r="E129" t="inlineStr">
        <is>
          <t>SRC_BIL24_ATTO3</t>
        </is>
      </c>
      <c r="F129" t="inlineStr">
        <is>
          <t>MEDIUM</t>
        </is>
      </c>
    </row>
    <row r="130">
      <c r="A130" t="inlineStr">
        <is>
          <t>EV_000129</t>
        </is>
      </c>
      <c r="B130" t="inlineStr">
        <is>
          <t>BYD_ATTO3</t>
        </is>
      </c>
      <c r="D130" t="inlineStr">
        <is>
          <t>Fjæring/seter: komfortabel over en 350 km kjøretur; førersete beskrevet som 'meget komfortabel', men mangler lengdejustering og setehelningsjustering. Armlene relativt stort. Testet på Comfort-spesifikasjon.</t>
        </is>
      </c>
      <c r="E130" t="inlineStr">
        <is>
          <t>SRC_BIL24_ATTO3</t>
        </is>
      </c>
      <c r="F130" t="inlineStr">
        <is>
          <t>MEDIUM</t>
        </is>
      </c>
    </row>
    <row r="131">
      <c r="A131" t="inlineStr">
        <is>
          <t>EV_000130</t>
        </is>
      </c>
      <c r="B131" t="inlineStr">
        <is>
          <t>BYD_ATTO3</t>
        </is>
      </c>
      <c r="D131" t="inlineStr">
        <is>
          <t>Fjæring/styring (Design-testbil): avansert multilink bakaksel, fast men komfortabel fjæring; beskrevet som 'stabil og ganske underholdende å kjøre', velavstemt fjæringsgeometri kombinert med forhjulsdrift.</t>
        </is>
      </c>
      <c r="E131" t="inlineStr">
        <is>
          <t>SRC_FORMELE_ATTO3_DESIGN</t>
        </is>
      </c>
      <c r="F131" t="inlineStr">
        <is>
          <t>MEDIUM</t>
        </is>
      </c>
    </row>
    <row r="132">
      <c r="A132" t="inlineStr">
        <is>
          <t>EV_000131</t>
        </is>
      </c>
      <c r="B132" t="inlineStr">
        <is>
          <t>BYD_ATTO3</t>
        </is>
      </c>
      <c r="D132" t="inlineStr">
        <is>
          <t>360-graders kamera: klar og tydelig visning foran, bak og ovenfra, med flere tilpasningsmuligheter for visningsvinkel. Testet på Comfort-spesifikasjon, men kamerasystemet er delt med Design.</t>
        </is>
      </c>
      <c r="E132" t="inlineStr">
        <is>
          <t>SRC_BIL24_ATTO3</t>
        </is>
      </c>
      <c r="F132" t="inlineStr">
        <is>
          <t>MEDIUM</t>
        </is>
      </c>
    </row>
    <row r="133">
      <c r="A133" t="inlineStr">
        <is>
          <t>EV_000132</t>
        </is>
      </c>
      <c r="B133" t="inlineStr">
        <is>
          <t>BYD_ATTO3</t>
        </is>
      </c>
      <c r="D133" t="inlineStr">
        <is>
          <t>Adaptiv cruisekontroll beskrevet som 'noe hjelpsom med nedbremsing i svinger, kanskje litt mer enn undertegnede setter pris på'. Mange assistentfunksjoner kan deaktiveres.</t>
        </is>
      </c>
      <c r="E133" t="inlineStr">
        <is>
          <t>SRC_BIL24_ATTO3</t>
        </is>
      </c>
      <c r="F133" t="inlineStr">
        <is>
          <t>MEDIUM</t>
        </is>
      </c>
    </row>
    <row r="134">
      <c r="A134" t="inlineStr">
        <is>
          <t>EV_000133</t>
        </is>
      </c>
      <c r="B134" t="inlineStr">
        <is>
          <t>BYD_ATTO3</t>
        </is>
      </c>
      <c r="D134" t="inlineStr">
        <is>
          <t>Eierrapporter: falske frontkollisjonsvarsler i klar trafikk ('beeping or flashing with no obstacle'), overivrige parkeringssensorer, og filholdsassistent beskrevet som gir 'overly aggressive or jerky steering input'.</t>
        </is>
      </c>
      <c r="E134" t="inlineStr">
        <is>
          <t>SRC_EVPARTS4X4_ATTO3</t>
        </is>
      </c>
      <c r="F134" t="inlineStr">
        <is>
          <t>MEDIUM</t>
        </is>
      </c>
    </row>
    <row r="135">
      <c r="A135" t="inlineStr">
        <is>
          <t>EV_000134</t>
        </is>
      </c>
      <c r="B135" t="inlineStr">
        <is>
          <t>BYD_ATTO3</t>
        </is>
      </c>
      <c r="D135" t="inlineStr">
        <is>
          <t>Infotainment oppleves i hovedsak brukervennlig, men med enkelte ulogiske strukturer (DAB-radio krever egen 'app' i stedet for å ligge i hovedradiomenyen). Spotify-integrasjon tilgjengelig.</t>
        </is>
      </c>
      <c r="E135" t="inlineStr">
        <is>
          <t>SRC_BIL24_ATTO3</t>
        </is>
      </c>
      <c r="F135" t="inlineStr">
        <is>
          <t>MEDIUM</t>
        </is>
      </c>
    </row>
    <row r="136">
      <c r="A136" t="inlineStr">
        <is>
          <t>EV_000135</t>
        </is>
      </c>
      <c r="B136" t="inlineStr">
        <is>
          <t>BYD_ATTO3</t>
        </is>
      </c>
      <c r="D136" t="inlineStr">
        <is>
          <t>15,6 tommers skjerm (Design) beskrevet som stor og svært tydelig, kan roteres 90 grader.</t>
        </is>
      </c>
      <c r="E136" t="inlineStr">
        <is>
          <t>SRC_FORMELE_ATTO3_DESIGN</t>
        </is>
      </c>
      <c r="F136" t="inlineStr">
        <is>
          <t>MEDIUM</t>
        </is>
      </c>
    </row>
    <row r="137">
      <c r="A137" t="inlineStr">
        <is>
          <t>EV_000136</t>
        </is>
      </c>
      <c r="B137" t="inlineStr">
        <is>
          <t>BYD_ATTO3</t>
        </is>
      </c>
      <c r="D137" t="inlineStr">
        <is>
          <t>OTA-oppdateringsmulighet fremhevet som en tydelig fordel - gjør bilen attraktiv for tredjeparts appleverandører.</t>
        </is>
      </c>
      <c r="E137" t="inlineStr">
        <is>
          <t>SRC_BIL24_ATTO3</t>
        </is>
      </c>
      <c r="F137" t="inlineStr">
        <is>
          <t>MEDIUM</t>
        </is>
      </c>
    </row>
    <row r="138">
      <c r="A138" t="inlineStr">
        <is>
          <t>EV_000137</t>
        </is>
      </c>
      <c r="B138" t="inlineStr">
        <is>
          <t>BYD_ATTO3</t>
        </is>
      </c>
      <c r="D138" t="inlineStr">
        <is>
          <t>Apple CarPlay var kun kablet ved lansering; trådløs CarPlay ble lagt til via en OTA-oppdatering (V1.8.0) 2. juli 2024. Android Auto har vært tilgjengelig trådløst fra start.</t>
        </is>
      </c>
      <c r="E138" t="inlineStr">
        <is>
          <t>SRC_CAREXPERT_ATTO3_CARPLAY</t>
        </is>
      </c>
      <c r="F138" t="inlineStr">
        <is>
          <t>MEDIUM</t>
        </is>
      </c>
    </row>
    <row r="139">
      <c r="A139" t="inlineStr">
        <is>
          <t>EV_000138</t>
        </is>
      </c>
      <c r="B139" t="inlineStr">
        <is>
          <t>BYD_ATTO3</t>
        </is>
      </c>
      <c r="D139" t="inlineStr">
        <is>
          <t>Design-testbil beskrevet som 'well-built, well-composed and modern' med et 'appealing design'; ratt i vegansk lær.</t>
        </is>
      </c>
      <c r="E139" t="inlineStr">
        <is>
          <t>SRC_FORMELE_ATTO3_DESIGN</t>
        </is>
      </c>
      <c r="F139" t="inlineStr">
        <is>
          <t>MEDIUM</t>
        </is>
      </c>
    </row>
    <row r="140">
      <c r="A140" t="inlineStr">
        <is>
          <t>EV_000139</t>
        </is>
      </c>
      <c r="B140" t="inlineStr">
        <is>
          <t>BYD_ATTO3</t>
        </is>
      </c>
      <c r="D140" t="inlineStr">
        <is>
          <t>Interiøret beskrives som overraskende lekent, 'både i former og i farge' - ikke et tradisjonelt/nøytralt SUV-interiør.</t>
        </is>
      </c>
      <c r="E140" t="inlineStr">
        <is>
          <t>SRC_BIL24_ATTO3</t>
        </is>
      </c>
      <c r="F140" t="inlineStr">
        <is>
          <t>MEDIUM</t>
        </is>
      </c>
    </row>
    <row r="141">
      <c r="A141" t="inlineStr">
        <is>
          <t>EV_000140</t>
        </is>
      </c>
      <c r="B141" t="inlineStr">
        <is>
          <t>BYD_ATTO3</t>
        </is>
      </c>
      <c r="D141" t="inlineStr">
        <is>
          <t>Førermiljø: setet mangler lengde- og helningsjustering (risiko for enkelte kroppsstørrelser), stort armlene, og begrenset hodehøyde for høye passasjerer under panoramataket. Seterygg med to varmenivåer.</t>
        </is>
      </c>
      <c r="E141" t="inlineStr">
        <is>
          <t>SRC_BIL24_ATTO3</t>
        </is>
      </c>
      <c r="F141" t="inlineStr">
        <is>
          <t>MEDIUM</t>
        </is>
      </c>
    </row>
    <row r="142">
      <c r="A142" t="inlineStr">
        <is>
          <t>EV_000141</t>
        </is>
      </c>
      <c r="B142" t="inlineStr">
        <is>
          <t>BYD_ATTO3</t>
        </is>
      </c>
      <c r="D142" t="inlineStr">
        <is>
          <t>Bakdørhåndtak i 'gitarstreng'-design beskrevet som artig, men potensielt problematisk med barn i baksetet. Girspaken beskrevet som 'artig'. Enkelte menystrukturer ikke intuitive. Ingen rattvarme.</t>
        </is>
      </c>
      <c r="E142" t="inlineStr">
        <is>
          <t>SRC_BIL24_ATTO3</t>
        </is>
      </c>
      <c r="F142" t="inlineStr">
        <is>
          <t>MEDIUM</t>
        </is>
      </c>
    </row>
    <row r="143">
      <c r="A143" t="inlineStr">
        <is>
          <t>EV_000142</t>
        </is>
      </c>
      <c r="B143" t="inlineStr">
        <is>
          <t>BYD_ATTO3</t>
        </is>
      </c>
      <c r="D143" t="inlineStr">
        <is>
          <t>Offisiell garanti: 6 år/150 000 km generell garanti, 8 år/250 000 km batterigaranti (SOH&gt;=70%), 12 år rustgaranti, 8 år/150 000 km drivmotorgaranti.</t>
        </is>
      </c>
      <c r="E143" t="inlineStr">
        <is>
          <t>SRC_BYD_WARRANTY_NO</t>
        </is>
      </c>
      <c r="F143" t="inlineStr">
        <is>
          <t>HIGH</t>
        </is>
      </c>
    </row>
    <row r="144">
      <c r="A144" t="inlineStr">
        <is>
          <t>EV_000143</t>
        </is>
      </c>
      <c r="B144" t="inlineStr">
        <is>
          <t>BYD_ATTO3</t>
        </is>
      </c>
      <c r="D144" t="inlineStr">
        <is>
          <t>440 liter bagasjerom, 60/40 delt bakseterygg med trekkstropper for nedfelling, to romslige sidekott, flatt gulv fremhevet som en praktisk fordel.</t>
        </is>
      </c>
      <c r="E144" t="inlineStr">
        <is>
          <t>SRC_BIL24_ATTO3</t>
        </is>
      </c>
      <c r="F144" t="inlineStr">
        <is>
          <t>MEDIUM</t>
        </is>
      </c>
    </row>
    <row r="145">
      <c r="A145" t="inlineStr">
        <is>
          <t>EV_000144</t>
        </is>
      </c>
      <c r="B145" t="inlineStr">
        <is>
          <t>BYD_ATTO3</t>
        </is>
      </c>
      <c r="D145" t="inlineStr">
        <is>
          <t>Reviewer stiller åpent spørsmål ved verdien for en forhjulsdrevet 5-seters SUV til ~380-423 000 kr avhengig av utstyrsnivå/opsjoner: 'Det er kanskje det?' - ambivalent, ikke en sterk anbefaling.</t>
        </is>
      </c>
      <c r="E145" t="inlineStr">
        <is>
          <t>SRC_BIL24_ATTO3</t>
        </is>
      </c>
      <c r="F145" t="inlineStr">
        <is>
          <t>MEDIUM</t>
        </is>
      </c>
    </row>
    <row r="146">
      <c r="A146" t="inlineStr">
        <is>
          <t>EV_000145</t>
        </is>
      </c>
      <c r="B146" t="inlineStr">
        <is>
          <t>BYD_ATTO3</t>
        </is>
      </c>
      <c r="D146" t="inlineStr">
        <is>
          <t>Atto 3 har vært til salgs i Norge siden minst 2023 (jf. datert NAF-test av Comfort 2023) med flere uavhengige testrunder over tid (elbil.no, bil24.no, formele.dk, NAF) - reell modellspesifikk historikk, ikke kun merke-fallback.</t>
        </is>
      </c>
      <c r="E146" t="inlineStr">
        <is>
          <t>SRC_NAF_BILGUIDEN_ATTO3</t>
        </is>
      </c>
      <c r="F146" t="inlineStr">
        <is>
          <t>MEDIUM</t>
        </is>
      </c>
    </row>
    <row r="147">
      <c r="A147" t="inlineStr">
        <is>
          <t>EV_000146</t>
        </is>
      </c>
      <c r="B147" t="inlineStr">
        <is>
          <t>BYD_ATTO3</t>
        </is>
      </c>
      <c r="D147" t="inlineStr">
        <is>
          <t>Offisiell lengde 4455mm gir 45mm margin til 4500mm-grensen - en reell, men moderat margin (trangere enn Kia EV2s 435mm, romsligere enn Skoda Elroqs 12mm).</t>
        </is>
      </c>
      <c r="E147" t="inlineStr">
        <is>
          <t>SRC_EVDATABASE_ATTO3</t>
        </is>
      </c>
      <c r="F147" t="inlineStr">
        <is>
          <t>MEDIUM</t>
        </is>
      </c>
    </row>
    <row r="148">
      <c r="A148" t="inlineStr">
        <is>
          <t>EV_000147</t>
        </is>
      </c>
      <c r="B148" t="inlineStr">
        <is>
          <t>BYD_ATTO3</t>
        </is>
      </c>
      <c r="D148" t="inlineStr">
        <is>
          <t>DC-lading 80kW (produsentoppgitt) / 90kW (NAF-målt) og AC 11kW - under nivået til mange 2026-konkurrenter (ofte 150-220kW DC), men lavt vektet kriterium.</t>
        </is>
      </c>
      <c r="E148" t="inlineStr">
        <is>
          <t>SRC_BYD_NO_ATTO3</t>
        </is>
      </c>
      <c r="F148"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9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c r="I1" t="inlineStr">
        <is>
          <t>Language</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c r="I2" t="inlineStr">
        <is>
          <t>NB</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c r="I3" t="inlineStr">
        <is>
          <t>NB</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NVH/støydemping, fjæring og infotainment-betjening.</t>
        </is>
      </c>
      <c r="I4" t="inlineStr">
        <is>
          <t>EN</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CarPlay-støtte på Tesla-kjøretøy, inkludert Model 3.</t>
        </is>
      </c>
      <c r="I5" t="inlineStr">
        <is>
          <t>EN</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c r="I6" t="inlineStr">
        <is>
          <t>NB</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c r="I7" t="inlineStr">
        <is>
          <t>NB</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fjæring/komfort, sikt og infotainment.</t>
        </is>
      </c>
      <c r="I8" t="inlineStr">
        <is>
          <t>NB</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c r="I9" t="inlineStr">
        <is>
          <t>EN</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c r="I10" t="inlineStr">
        <is>
          <t>NB</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c r="I11" t="inlineStr">
        <is>
          <t>NB</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c r="I12" t="inlineStr">
        <is>
          <t>EN</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kupestøy (hjulstøy), fjæring, og betjening/infotainment.</t>
        </is>
      </c>
      <c r="I13" t="inlineStr">
        <is>
          <t>NB</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c r="I14" t="inlineStr">
        <is>
          <t>EN</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c r="I15" t="inlineStr">
        <is>
          <t>EN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c r="I16" t="inlineStr">
        <is>
          <t>NB</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kupestøy, fjæring, rattbetjening, infotainment, og førerassistenter på norske vinterveier.</t>
        </is>
      </c>
      <c r="I17" t="inlineStr">
        <is>
          <t>NB</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c r="I18" t="inlineStr">
        <is>
          <t>EN</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c r="I19" t="inlineStr">
        <is>
          <t>NB</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c r="I20" t="inlineStr">
        <is>
          <t>NB</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fjæring/komfort og sikt.</t>
        </is>
      </c>
      <c r="I21" t="inlineStr">
        <is>
          <t>NB</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c r="I22" t="inlineStr">
        <is>
          <t>EN</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c r="I23" t="inlineStr">
        <is>
          <t>EN</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c r="I24" t="inlineStr">
        <is>
          <t>NB</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c r="I25" t="inlineStr">
        <is>
          <t>NB</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c r="I26" t="inlineStr">
        <is>
          <t>NB</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c r="I27" t="inlineStr">
        <is>
          <t>EN</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c r="I28" t="inlineStr">
        <is>
          <t>NB</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c r="I29" t="inlineStr">
        <is>
          <t>EN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c r="I30" t="inlineStr">
        <is>
          <t>EN</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c r="I31" t="inlineStr">
        <is>
          <t>NB</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c r="I32" t="inlineStr">
        <is>
          <t>EN</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c r="I33" t="inlineStr">
        <is>
          <t>EN</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c r="I34" t="inlineStr">
        <is>
          <t>EN</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c r="I35" t="inlineStr">
        <is>
          <t>NB</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c r="I36" t="inlineStr">
        <is>
          <t>EN</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c r="I37" t="inlineStr">
        <is>
          <t>EN</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c r="I38" t="inlineStr">
        <is>
          <t>NB</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c r="I39" t="inlineStr">
        <is>
          <t>NB</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c r="I40" t="inlineStr">
        <is>
          <t>EN</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c r="I41" t="inlineStr">
        <is>
          <t>EN</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c r="I42" t="inlineStr">
        <is>
          <t>NB</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c r="I43" t="inlineStr">
        <is>
          <t>EN</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c r="I44" t="inlineStr">
        <is>
          <t>OTHER</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c r="I45" t="inlineStr">
        <is>
          <t>OTHER</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c r="I46" t="inlineStr">
        <is>
          <t>NB</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c r="I47" t="inlineStr">
        <is>
          <t>NB</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c r="I48" t="inlineStr">
        <is>
          <t>OTHER</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c r="I49" t="inlineStr">
        <is>
          <t>NB</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c r="I50" t="inlineStr">
        <is>
          <t>NB</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c r="I51" t="inlineStr">
        <is>
          <t>EN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c r="I52" t="inlineStr">
        <is>
          <t>NB</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c r="I53" t="inlineStr">
        <is>
          <t>NB</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c r="I54" t="inlineStr">
        <is>
          <t>NB</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c r="I55" t="inlineStr">
        <is>
          <t>NB</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c r="I56" t="inlineStr">
        <is>
          <t>NB</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c r="I57" t="inlineStr">
        <is>
          <t>NB</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c r="I58" t="inlineStr">
        <is>
          <t>NB</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c r="I59" t="inlineStr">
        <is>
          <t>EN</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c r="I60" t="inlineStr">
        <is>
          <t>EN</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c r="I61" t="inlineStr">
        <is>
          <t>EN</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c r="I62" t="inlineStr">
        <is>
          <t>EN</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c r="I63" t="inlineStr">
        <is>
          <t>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c r="I64" t="inlineStr">
        <is>
          <t>EN</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c r="I65" t="inlineStr">
        <is>
          <t>EN</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c r="I66" t="inlineStr">
        <is>
          <t>EN</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c r="I67" t="inlineStr">
        <is>
          <t>EN</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c r="I68" t="inlineStr">
        <is>
          <t>EN</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c r="I69" t="inlineStr">
        <is>
          <t>EN</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c r="I70" t="inlineStr">
        <is>
          <t>EN</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c r="I71" t="inlineStr">
        <is>
          <t>EN</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c r="I72" t="inlineStr">
        <is>
          <t>EN</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c r="I73" t="inlineStr">
        <is>
          <t>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c r="I74" t="inlineStr">
        <is>
          <t>EN</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c r="I75" t="inlineStr">
        <is>
          <t>EN</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c r="I76" t="inlineStr">
        <is>
          <t>EN</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c r="I77" t="inlineStr">
        <is>
          <t>EN</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c r="I78" t="inlineStr">
        <is>
          <t>NB</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c r="I79" t="inlineStr">
        <is>
          <t>EN</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c r="I80" t="inlineStr">
        <is>
          <t>NB</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c r="I81" t="inlineStr">
        <is>
          <t>EN</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c r="I82" t="inlineStr">
        <is>
          <t>NB</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c r="I83" t="inlineStr">
        <is>
          <t>EN</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c r="I84" t="inlineStr">
        <is>
          <t>NB</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c r="I85" t="inlineStr">
        <is>
          <t>EN</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c r="I86" t="inlineStr">
        <is>
          <t>NB</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c r="I87" t="inlineStr">
        <is>
          <t>EN</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c r="I88" t="inlineStr">
        <is>
          <t>EN</t>
        </is>
      </c>
    </row>
    <row r="89">
      <c r="A89" t="inlineStr">
        <is>
          <t>SRC_BYD_NO_ATTO3</t>
        </is>
      </c>
      <c r="B89" t="inlineStr">
        <is>
          <t>MANUFACTURER</t>
        </is>
      </c>
      <c r="C89" t="inlineStr">
        <is>
          <t>Atto3 | Opplev din neste BYD idag</t>
        </is>
      </c>
      <c r="D89" t="inlineStr">
        <is>
          <t>BYD Norge</t>
        </is>
      </c>
      <c r="E89" t="inlineStr">
        <is>
          <t>https://byd.no/modeller/atto3</t>
        </is>
      </c>
      <c r="G89" t="inlineStr">
        <is>
          <t>2026-07-07</t>
        </is>
      </c>
      <c r="H89" t="inlineStr">
        <is>
          <t>Offisiell BYD Norge modellside for Atto 3 (Comfort/Design-nivå, 60 kWh/420 km WLTP). Ikke å forveksle med det separat markedsførte EVO 4x4 (byd.no/modeller/evo-4x4).</t>
        </is>
      </c>
      <c r="I89" t="inlineStr">
        <is>
          <t>NB</t>
        </is>
      </c>
    </row>
    <row r="90">
      <c r="A90" t="inlineStr">
        <is>
          <t>SRC_EVDATABASE_ATTO3</t>
        </is>
      </c>
      <c r="B90" t="inlineStr">
        <is>
          <t>DATABASE</t>
        </is>
      </c>
      <c r="C90" t="inlineStr">
        <is>
          <t>BYD ATTO 3 (MY23-24) (2022-2025) price and specifications</t>
        </is>
      </c>
      <c r="D90" t="inlineStr">
        <is>
          <t>EV Database</t>
        </is>
      </c>
      <c r="E90" t="inlineStr">
        <is>
          <t>https://ev-database.org/car/1782/BYD-ATTO-3</t>
        </is>
      </c>
      <c r="G90" t="inlineStr">
        <is>
          <t>2026-07-07</t>
        </is>
      </c>
      <c r="H90" t="inlineStr">
        <is>
          <t>Tredjeparts spesifikasjonsdatabase; brukt for lengde/bredde/høyde/motoreffekt/dreiemoment/toppfart som ikke er oppgitt på byd.no.</t>
        </is>
      </c>
      <c r="I90" t="inlineStr">
        <is>
          <t>EN</t>
        </is>
      </c>
    </row>
    <row r="91">
      <c r="A91" t="inlineStr">
        <is>
          <t>SRC_NAF_BILGUIDEN_ATTO3</t>
        </is>
      </c>
      <c r="B91" t="inlineStr">
        <is>
          <t>PROFESSIONAL_REVIEW</t>
        </is>
      </c>
      <c r="C91" t="inlineStr">
        <is>
          <t>BYD Atto 3 - pris, rekkevidde og tester</t>
        </is>
      </c>
      <c r="D91" t="inlineStr">
        <is>
          <t>NAF</t>
        </is>
      </c>
      <c r="E91" t="inlineStr">
        <is>
          <t>https://www.naf.no/bilguiden/bilmodell/byd-atto-3</t>
        </is>
      </c>
      <c r="G91" t="inlineStr">
        <is>
          <t>2026-07-07</t>
        </is>
      </c>
      <c r="H91" t="inlineStr">
        <is>
          <t>NAFs egen testside viser kun sommertest 2023-resultater (ladetest, egenvekt); ingen vintertest-rekkevidde er publisert her, til tross for at et søkemotor-sammendrag hevdet et 311 km-tall som ikke lot seg bekrefte ved direkte henting av siden.</t>
        </is>
      </c>
      <c r="I91" t="inlineStr">
        <is>
          <t>NB</t>
        </is>
      </c>
    </row>
    <row r="92">
      <c r="A92" t="inlineStr">
        <is>
          <t>SRC_BIL24_ATTO3</t>
        </is>
      </c>
      <c r="B92" t="inlineStr">
        <is>
          <t>PROFESSIONAL_REVIEW</t>
        </is>
      </c>
      <c r="C92" t="inlineStr">
        <is>
          <t>Vi har testet BYD Atto 3</t>
        </is>
      </c>
      <c r="D92" t="inlineStr">
        <is>
          <t>Bil24</t>
        </is>
      </c>
      <c r="E92" t="inlineStr">
        <is>
          <t>https://bil24.no/vi-har-testet-byd-atto-3</t>
        </is>
      </c>
      <c r="G92" t="inlineStr">
        <is>
          <t>2026-07-07</t>
        </is>
      </c>
      <c r="H92" t="inlineStr">
        <is>
          <t>Norsk redaksjonell test, 350 km kjørt. Testbil er Comfort-basert (pris ~423 000 kr inkl. vinterhjul/metallic/ladekabel), men deler karosseri/fjæring/infotainment/kamerasystem med Design - kun skjermstørrelse, bakluke og ambientbelysning skiller nivåene.</t>
        </is>
      </c>
      <c r="I92" t="inlineStr">
        <is>
          <t>NB</t>
        </is>
      </c>
    </row>
    <row r="93">
      <c r="A93" t="inlineStr">
        <is>
          <t>SRC_FORMELE_ATTO3_DESIGN</t>
        </is>
      </c>
      <c r="B93" t="inlineStr">
        <is>
          <t>PROFESSIONAL_REVIEW</t>
        </is>
      </c>
      <c r="C93" t="inlineStr">
        <is>
          <t>BYD Atto 3 Design - biltest</t>
        </is>
      </c>
      <c r="D93" t="inlineStr">
        <is>
          <t>Formel E (Danmark)</t>
        </is>
      </c>
      <c r="E93" t="inlineStr">
        <is>
          <t>https://formele.dk/index.php/el-biler/biltest-provekorsler/byd-test/383-byd-atto-3-design-biltest</t>
        </is>
      </c>
      <c r="G93" t="inlineStr">
        <is>
          <t>2026-07-07</t>
        </is>
      </c>
      <c r="H93" t="inlineStr">
        <is>
          <t>Dansk test spesifikt på Design-utstyrsnivå - direkte anvendelig på den norske Design-konfigurasjonen.</t>
        </is>
      </c>
      <c r="I93" t="inlineStr">
        <is>
          <t>OTHER</t>
        </is>
      </c>
    </row>
    <row r="94">
      <c r="A94" t="inlineStr">
        <is>
          <t>SRC_EVPARTS4X4_ATTO3</t>
        </is>
      </c>
      <c r="B94" t="inlineStr">
        <is>
          <t>COMMUNITY</t>
        </is>
      </c>
      <c r="C94" t="inlineStr">
        <is>
          <t>BYD Atto 3 Common Problems, Fixes &amp; Reliability (2026 update)</t>
        </is>
      </c>
      <c r="D94" t="inlineStr">
        <is>
          <t>EVparts4x4</t>
        </is>
      </c>
      <c r="E94" t="inlineStr">
        <is>
          <t>https://evparts4x4.com/blogs/news/byd-atto-3-common-problems-2026-update</t>
        </is>
      </c>
      <c r="G94" t="inlineStr">
        <is>
          <t>2026-07-07</t>
        </is>
      </c>
      <c r="H94" t="inlineStr">
        <is>
          <t>Sammenstilling av eierrapporterte problemer, ikke en profesjonell redaksjonell test - vektet lavere/supplerende, ikke som eneste kilde for W008.</t>
        </is>
      </c>
      <c r="I94" t="inlineStr">
        <is>
          <t>EN</t>
        </is>
      </c>
    </row>
    <row r="95">
      <c r="A95" t="inlineStr">
        <is>
          <t>SRC_CAREXPERT_ATTO3_CARPLAY</t>
        </is>
      </c>
      <c r="B95" t="inlineStr">
        <is>
          <t>OTHER</t>
        </is>
      </c>
      <c r="C95" t="inlineStr">
        <is>
          <t>BYD Atto 3, Seal, Dolphin gain wireless Apple CarPlay</t>
        </is>
      </c>
      <c r="D95" t="inlineStr">
        <is>
          <t>CarExpert</t>
        </is>
      </c>
      <c r="E95" t="inlineStr">
        <is>
          <t>https://www.carexpert.com.au/car-news/byd-atto-3-seal-dolphin-gain-wireless-apple-carplay</t>
        </is>
      </c>
      <c r="F95" t="inlineStr">
        <is>
          <t>2024-07-02</t>
        </is>
      </c>
      <c r="G95" t="inlineStr">
        <is>
          <t>2026-07-07</t>
        </is>
      </c>
      <c r="H95" t="inlineStr">
        <is>
          <t>Bekrefter trådløs CarPlay ankom via OTA-oppdatering (V1.8.0, 2. juli 2024) - før dette kun kablet CarPlay.</t>
        </is>
      </c>
      <c r="I95" t="inlineStr">
        <is>
          <t>EN</t>
        </is>
      </c>
    </row>
    <row r="96">
      <c r="A96" t="inlineStr">
        <is>
          <t>SRC_BYD_WARRANTY_NO</t>
        </is>
      </c>
      <c r="B96" t="inlineStr">
        <is>
          <t>MANUFACTURER</t>
        </is>
      </c>
      <c r="C96" t="inlineStr">
        <is>
          <t>Håndbok for begrenset garanti</t>
        </is>
      </c>
      <c r="D96" t="inlineStr">
        <is>
          <t>BYD</t>
        </is>
      </c>
      <c r="E96" t="inlineStr">
        <is>
          <t>https://www.byd.com/material/byd-site/eu/support/service/warranty/20251021/BYDH%C3%A5ndbok%20for%20begrenset%20garanti-NO.pdf</t>
        </is>
      </c>
      <c r="G96" t="inlineStr">
        <is>
          <t>2026-07-07</t>
        </is>
      </c>
      <c r="H96" t="inlineStr">
        <is>
          <t>Offisiell norsk garantihåndbok: 6 år/150 000 km generell, 8 år/250 000 km batteri (SOH&gt;=70%), 12 år rust, 8 år/150 000 km drivmotor.</t>
        </is>
      </c>
      <c r="I96" t="inlineStr">
        <is>
          <t>NB</t>
        </is>
      </c>
    </row>
  </sheetData>
  <autoFilter ref="A1:H1"/>
  <dataValidations count="2">
    <dataValidation sqref="B2:B1048576" showDropDown="0" showInputMessage="0" showErrorMessage="1" allowBlank="1" type="list">
      <formula1>Enum_SourceType</formula1>
    </dataValidation>
    <dataValidation sqref="I2:I1048576" showDropDown="0" showInputMessage="0" showErrorMessage="1" allowBlank="1" type="list">
      <formula1>Enum_Language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2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row r="102">
      <c r="A102" t="inlineStr">
        <is>
          <t>SCORE_000102</t>
        </is>
      </c>
      <c r="B102" t="inlineStr">
        <is>
          <t>BYD_ATTO3_DESIGN</t>
        </is>
      </c>
      <c r="C102" t="inlineStr">
        <is>
          <t>W001</t>
        </is>
      </c>
      <c r="D102" t="inlineStr">
        <is>
          <t>REV_000101</t>
        </is>
      </c>
      <c r="E102" t="inlineStr">
        <is>
          <t>1.8</t>
        </is>
      </c>
      <c r="F102">
        <f>ROUND(INDEX('07_Reviews'!$E:$E,MATCH(D102,'07_Reviews'!$A:$A,0))/5*100,2)</f>
        <v/>
      </c>
      <c r="G102">
        <f>ROUND(F102*INDEX('01_Criteria'!$F:$F,MATCH(C102,'01_Criteria'!$A:$A,0))/100,2)</f>
        <v/>
      </c>
      <c r="H102" t="inlineStr">
        <is>
          <t>Review score 3/5 (normalized RawScore = 60.0/100 on a documented 1-5 scale, since the framework does not prescribe a numeric scale). Traceable to REV_000101 -&gt; supporting Evidence -&gt; cited Source.</t>
        </is>
      </c>
    </row>
    <row r="103">
      <c r="A103" t="inlineStr">
        <is>
          <t>SCORE_000103</t>
        </is>
      </c>
      <c r="B103" t="inlineStr">
        <is>
          <t>BYD_ATTO3_DESIGN</t>
        </is>
      </c>
      <c r="C103" t="inlineStr">
        <is>
          <t>W002</t>
        </is>
      </c>
      <c r="D103" t="inlineStr">
        <is>
          <t>REV_000102</t>
        </is>
      </c>
      <c r="E103" t="inlineStr">
        <is>
          <t>1.8</t>
        </is>
      </c>
      <c r="F103">
        <f>ROUND(INDEX('07_Reviews'!$E:$E,MATCH(D103,'07_Reviews'!$A:$A,0))/5*100,2)</f>
        <v/>
      </c>
      <c r="G103">
        <f>ROUND(F103*INDEX('01_Criteria'!$F:$F,MATCH(C103,'01_Criteria'!$A:$A,0))/100,2)</f>
        <v/>
      </c>
      <c r="H103" t="inlineStr">
        <is>
          <t>Review score 4/5 (normalized RawScore = 80.0/100 on a documented 1-5 scale, since the framework does not prescribe a numeric scale). Traceable to REV_000102 -&gt; supporting Evidence -&gt; cited Source.</t>
        </is>
      </c>
    </row>
    <row r="104">
      <c r="A104" t="inlineStr">
        <is>
          <t>SCORE_000104</t>
        </is>
      </c>
      <c r="B104" t="inlineStr">
        <is>
          <t>BYD_ATTO3_DESIGN</t>
        </is>
      </c>
      <c r="C104" t="inlineStr">
        <is>
          <t>W003</t>
        </is>
      </c>
      <c r="D104" t="inlineStr">
        <is>
          <t>REV_000103</t>
        </is>
      </c>
      <c r="E104" t="inlineStr">
        <is>
          <t>1.8</t>
        </is>
      </c>
      <c r="F104">
        <f>ROUND(INDEX('07_Reviews'!$E:$E,MATCH(D104,'07_Reviews'!$A:$A,0))/5*100,2)</f>
        <v/>
      </c>
      <c r="G104">
        <f>ROUND(F104*INDEX('01_Criteria'!$F:$F,MATCH(C104,'01_Criteria'!$A:$A,0))/100,2)</f>
        <v/>
      </c>
      <c r="H104" t="inlineStr">
        <is>
          <t>Review score 4/5 (normalized RawScore = 80.0/100 on a documented 1-5 scale, since the framework does not prescribe a numeric scale). Traceable to REV_000103 -&gt; supporting Evidence -&gt; cited Source.</t>
        </is>
      </c>
    </row>
    <row r="105">
      <c r="A105" t="inlineStr">
        <is>
          <t>SCORE_000105</t>
        </is>
      </c>
      <c r="B105" t="inlineStr">
        <is>
          <t>BYD_ATTO3_DESIGN</t>
        </is>
      </c>
      <c r="C105" t="inlineStr">
        <is>
          <t>W004</t>
        </is>
      </c>
      <c r="D105" t="inlineStr">
        <is>
          <t>REV_000104</t>
        </is>
      </c>
      <c r="E105" t="inlineStr">
        <is>
          <t>1.8</t>
        </is>
      </c>
      <c r="F105">
        <f>ROUND(INDEX('07_Reviews'!$E:$E,MATCH(D105,'07_Reviews'!$A:$A,0))/5*100,2)</f>
        <v/>
      </c>
      <c r="G105">
        <f>ROUND(F105*INDEX('01_Criteria'!$F:$F,MATCH(C105,'01_Criteria'!$A:$A,0))/100,2)</f>
        <v/>
      </c>
      <c r="H105" t="inlineStr">
        <is>
          <t>Review score 3/5 (normalized RawScore = 60.0/100 on a documented 1-5 scale, since the framework does not prescribe a numeric scale). Traceable to REV_000104 -&gt; supporting Evidence -&gt; cited Source.</t>
        </is>
      </c>
    </row>
    <row r="106">
      <c r="A106" t="inlineStr">
        <is>
          <t>SCORE_000106</t>
        </is>
      </c>
      <c r="B106" t="inlineStr">
        <is>
          <t>BYD_ATTO3_DESIGN</t>
        </is>
      </c>
      <c r="C106" t="inlineStr">
        <is>
          <t>W005</t>
        </is>
      </c>
      <c r="D106" t="inlineStr">
        <is>
          <t>REV_000105</t>
        </is>
      </c>
      <c r="E106" t="inlineStr">
        <is>
          <t>1.8</t>
        </is>
      </c>
      <c r="F106">
        <f>ROUND(INDEX('07_Reviews'!$E:$E,MATCH(D106,'07_Reviews'!$A:$A,0))/5*100,2)</f>
        <v/>
      </c>
      <c r="G106">
        <f>ROUND(F106*INDEX('01_Criteria'!$F:$F,MATCH(C106,'01_Criteria'!$A:$A,0))/100,2)</f>
        <v/>
      </c>
      <c r="H106" t="inlineStr">
        <is>
          <t>Review score 3/5 (normalized RawScore = 60.0/100 on a documented 1-5 scale, since the framework does not prescribe a numeric scale). Traceable to REV_000105 -&gt; supporting Evidence -&gt; cited Source.</t>
        </is>
      </c>
    </row>
    <row r="107">
      <c r="A107" t="inlineStr">
        <is>
          <t>SCORE_000107</t>
        </is>
      </c>
      <c r="B107" t="inlineStr">
        <is>
          <t>BYD_ATTO3_DESIGN</t>
        </is>
      </c>
      <c r="C107" t="inlineStr">
        <is>
          <t>W006</t>
        </is>
      </c>
      <c r="D107" t="inlineStr">
        <is>
          <t>REV_000106</t>
        </is>
      </c>
      <c r="E107" t="inlineStr">
        <is>
          <t>1.8</t>
        </is>
      </c>
      <c r="F107">
        <f>ROUND(INDEX('07_Reviews'!$E:$E,MATCH(D107,'07_Reviews'!$A:$A,0))/5*100,2)</f>
        <v/>
      </c>
      <c r="G107">
        <f>ROUND(F107*INDEX('01_Criteria'!$F:$F,MATCH(C107,'01_Criteria'!$A:$A,0))/100,2)</f>
        <v/>
      </c>
      <c r="H107" t="inlineStr">
        <is>
          <t>Review score 4/5 (normalized RawScore = 80.0/100 on a documented 1-5 scale, since the framework does not prescribe a numeric scale). Traceable to REV_000106 -&gt; supporting Evidence -&gt; cited Source.</t>
        </is>
      </c>
    </row>
    <row r="108">
      <c r="A108" t="inlineStr">
        <is>
          <t>SCORE_000108</t>
        </is>
      </c>
      <c r="B108" t="inlineStr">
        <is>
          <t>BYD_ATTO3_DESIGN</t>
        </is>
      </c>
      <c r="C108" t="inlineStr">
        <is>
          <t>W007</t>
        </is>
      </c>
      <c r="D108" t="inlineStr">
        <is>
          <t>REV_000107</t>
        </is>
      </c>
      <c r="E108" t="inlineStr">
        <is>
          <t>1.8</t>
        </is>
      </c>
      <c r="F108">
        <f>ROUND(INDEX('07_Reviews'!$E:$E,MATCH(D108,'07_Reviews'!$A:$A,0))/5*100,2)</f>
        <v/>
      </c>
      <c r="G108">
        <f>ROUND(F108*INDEX('01_Criteria'!$F:$F,MATCH(C108,'01_Criteria'!$A:$A,0))/100,2)</f>
        <v/>
      </c>
      <c r="H108" t="inlineStr">
        <is>
          <t>Review score 3/5 (normalized RawScore = 60.0/100 on a documented 1-5 scale, since the framework does not prescribe a numeric scale). Traceable to REV_000107 -&gt; supporting Evidence -&gt; cited Source.</t>
        </is>
      </c>
    </row>
    <row r="109">
      <c r="A109" t="inlineStr">
        <is>
          <t>SCORE_000109</t>
        </is>
      </c>
      <c r="B109" t="inlineStr">
        <is>
          <t>BYD_ATTO3_DESIGN</t>
        </is>
      </c>
      <c r="C109" t="inlineStr">
        <is>
          <t>W008</t>
        </is>
      </c>
      <c r="D109" t="inlineStr">
        <is>
          <t>REV_000108</t>
        </is>
      </c>
      <c r="E109" t="inlineStr">
        <is>
          <t>1.8</t>
        </is>
      </c>
      <c r="F109">
        <f>ROUND(INDEX('07_Reviews'!$E:$E,MATCH(D109,'07_Reviews'!$A:$A,0))/5*100,2)</f>
        <v/>
      </c>
      <c r="G109">
        <f>ROUND(F109*INDEX('01_Criteria'!$F:$F,MATCH(C109,'01_Criteria'!$A:$A,0))/100,2)</f>
        <v/>
      </c>
      <c r="H109" t="inlineStr">
        <is>
          <t>Review score 2/5 (normalized RawScore = 40.0/100 on a documented 1-5 scale, since the framework does not prescribe a numeric scale). Traceable to REV_000108 -&gt; supporting Evidence -&gt; cited Source.</t>
        </is>
      </c>
    </row>
    <row r="110">
      <c r="A110" t="inlineStr">
        <is>
          <t>SCORE_000110</t>
        </is>
      </c>
      <c r="B110" t="inlineStr">
        <is>
          <t>BYD_ATTO3_DESIGN</t>
        </is>
      </c>
      <c r="C110" t="inlineStr">
        <is>
          <t>W009</t>
        </is>
      </c>
      <c r="D110" t="inlineStr">
        <is>
          <t>REV_000109</t>
        </is>
      </c>
      <c r="E110" t="inlineStr">
        <is>
          <t>1.8</t>
        </is>
      </c>
      <c r="F110">
        <f>ROUND(INDEX('07_Reviews'!$E:$E,MATCH(D110,'07_Reviews'!$A:$A,0))/5*100,2)</f>
        <v/>
      </c>
      <c r="G110">
        <f>ROUND(F110*INDEX('01_Criteria'!$F:$F,MATCH(C110,'01_Criteria'!$A:$A,0))/100,2)</f>
        <v/>
      </c>
      <c r="H110" t="inlineStr">
        <is>
          <t>Review score 5/5 (normalized RawScore = 100.0/100 on a documented 1-5 scale, since the framework does not prescribe a numeric scale). Traceable to REV_000109 -&gt; supporting Evidence -&gt; cited Source.</t>
        </is>
      </c>
    </row>
    <row r="111">
      <c r="A111" t="inlineStr">
        <is>
          <t>SCORE_000111</t>
        </is>
      </c>
      <c r="B111" t="inlineStr">
        <is>
          <t>BYD_ATTO3_DESIGN</t>
        </is>
      </c>
      <c r="C111" t="inlineStr">
        <is>
          <t>W010</t>
        </is>
      </c>
      <c r="D111" t="inlineStr">
        <is>
          <t>REV_000110</t>
        </is>
      </c>
      <c r="E111" t="inlineStr">
        <is>
          <t>1.8</t>
        </is>
      </c>
      <c r="F111">
        <f>ROUND(INDEX('07_Reviews'!$E:$E,MATCH(D111,'07_Reviews'!$A:$A,0))/5*100,2)</f>
        <v/>
      </c>
      <c r="G111">
        <f>ROUND(F111*INDEX('01_Criteria'!$F:$F,MATCH(C111,'01_Criteria'!$A:$A,0))/100,2)</f>
        <v/>
      </c>
      <c r="H111" t="inlineStr">
        <is>
          <t>Review score 4/5 (normalized RawScore = 80.0/100 on a documented 1-5 scale, since the framework does not prescribe a numeric scale). Traceable to REV_000110 -&gt; supporting Evidence -&gt; cited Source.</t>
        </is>
      </c>
    </row>
    <row r="112">
      <c r="A112" t="inlineStr">
        <is>
          <t>SCORE_000112</t>
        </is>
      </c>
      <c r="B112" t="inlineStr">
        <is>
          <t>BYD_ATTO3_DESIGN</t>
        </is>
      </c>
      <c r="C112" t="inlineStr">
        <is>
          <t>W011</t>
        </is>
      </c>
      <c r="D112" t="inlineStr">
        <is>
          <t>REV_000111</t>
        </is>
      </c>
      <c r="E112" t="inlineStr">
        <is>
          <t>1.8</t>
        </is>
      </c>
      <c r="F112">
        <f>ROUND(INDEX('07_Reviews'!$E:$E,MATCH(D112,'07_Reviews'!$A:$A,0))/5*100,2)</f>
        <v/>
      </c>
      <c r="G112">
        <f>ROUND(F112*INDEX('01_Criteria'!$F:$F,MATCH(C112,'01_Criteria'!$A:$A,0))/100,2)</f>
        <v/>
      </c>
      <c r="H112" t="inlineStr">
        <is>
          <t>Review score 4/5 (normalized RawScore = 80.0/100 on a documented 1-5 scale, since the framework does not prescribe a numeric scale). Traceable to REV_000111 -&gt; supporting Evidence -&gt; cited Source.</t>
        </is>
      </c>
    </row>
    <row r="113">
      <c r="A113" t="inlineStr">
        <is>
          <t>SCORE_000113</t>
        </is>
      </c>
      <c r="B113" t="inlineStr">
        <is>
          <t>BYD_ATTO3_DESIGN</t>
        </is>
      </c>
      <c r="C113" t="inlineStr">
        <is>
          <t>W012</t>
        </is>
      </c>
      <c r="D113" t="inlineStr">
        <is>
          <t>REV_000112</t>
        </is>
      </c>
      <c r="E113" t="inlineStr">
        <is>
          <t>1.8</t>
        </is>
      </c>
      <c r="F113">
        <f>ROUND(INDEX('07_Reviews'!$E:$E,MATCH(D113,'07_Reviews'!$A:$A,0))/5*100,2)</f>
        <v/>
      </c>
      <c r="G113">
        <f>ROUND(F113*INDEX('01_Criteria'!$F:$F,MATCH(C113,'01_Criteria'!$A:$A,0))/100,2)</f>
        <v/>
      </c>
      <c r="H113" t="inlineStr">
        <is>
          <t>Review score 3/5 (normalized RawScore = 60.0/100 on a documented 1-5 scale, since the framework does not prescribe a numeric scale). Traceable to REV_000112 -&gt; supporting Evidence -&gt; cited Source.</t>
        </is>
      </c>
    </row>
    <row r="114">
      <c r="A114" t="inlineStr">
        <is>
          <t>SCORE_000114</t>
        </is>
      </c>
      <c r="B114" t="inlineStr">
        <is>
          <t>BYD_ATTO3_DESIGN</t>
        </is>
      </c>
      <c r="C114" t="inlineStr">
        <is>
          <t>W013</t>
        </is>
      </c>
      <c r="D114" t="inlineStr">
        <is>
          <t>REV_000113</t>
        </is>
      </c>
      <c r="E114" t="inlineStr">
        <is>
          <t>1.8</t>
        </is>
      </c>
      <c r="F114">
        <f>ROUND(INDEX('07_Reviews'!$E:$E,MATCH(D114,'07_Reviews'!$A:$A,0))/5*100,2)</f>
        <v/>
      </c>
      <c r="G114">
        <f>ROUND(F114*INDEX('01_Criteria'!$F:$F,MATCH(C114,'01_Criteria'!$A:$A,0))/100,2)</f>
        <v/>
      </c>
      <c r="H114" t="inlineStr">
        <is>
          <t>Review score 3/5 (normalized RawScore = 60.0/100 on a documented 1-5 scale, since the framework does not prescribe a numeric scale). Traceable to REV_000113 -&gt; supporting Evidence -&gt; cited Source.</t>
        </is>
      </c>
    </row>
    <row r="115">
      <c r="A115" t="inlineStr">
        <is>
          <t>SCORE_000115</t>
        </is>
      </c>
      <c r="B115" t="inlineStr">
        <is>
          <t>BYD_ATTO3_DESIGN</t>
        </is>
      </c>
      <c r="C115" t="inlineStr">
        <is>
          <t>W014</t>
        </is>
      </c>
      <c r="D115" t="inlineStr">
        <is>
          <t>REV_000114</t>
        </is>
      </c>
      <c r="E115" t="inlineStr">
        <is>
          <t>1.8</t>
        </is>
      </c>
      <c r="F115">
        <f>ROUND(INDEX('07_Reviews'!$E:$E,MATCH(D115,'07_Reviews'!$A:$A,0))/5*100,2)</f>
        <v/>
      </c>
      <c r="G115">
        <f>ROUND(F115*INDEX('01_Criteria'!$F:$F,MATCH(C115,'01_Criteria'!$A:$A,0))/100,2)</f>
        <v/>
      </c>
      <c r="H115" t="inlineStr">
        <is>
          <t>Review score 4/5 (normalized RawScore = 80.0/100 on a documented 1-5 scale, since the framework does not prescribe a numeric scale). Traceable to REV_000114 -&gt; supporting Evidence -&gt; cited Source.</t>
        </is>
      </c>
    </row>
    <row r="116">
      <c r="A116" t="inlineStr">
        <is>
          <t>SCORE_000116</t>
        </is>
      </c>
      <c r="B116" t="inlineStr">
        <is>
          <t>BYD_ATTO3_DESIGN</t>
        </is>
      </c>
      <c r="C116" t="inlineStr">
        <is>
          <t>W015</t>
        </is>
      </c>
      <c r="D116" t="inlineStr">
        <is>
          <t>REV_000115</t>
        </is>
      </c>
      <c r="E116" t="inlineStr">
        <is>
          <t>1.8</t>
        </is>
      </c>
      <c r="F116">
        <f>ROUND(INDEX('07_Reviews'!$E:$E,MATCH(D116,'07_Reviews'!$A:$A,0))/5*100,2)</f>
        <v/>
      </c>
      <c r="G116">
        <f>ROUND(F116*INDEX('01_Criteria'!$F:$F,MATCH(C116,'01_Criteria'!$A:$A,0))/100,2)</f>
        <v/>
      </c>
      <c r="H116" t="inlineStr">
        <is>
          <t>Review score 5/5 (normalized RawScore = 100.0/100 on a documented 1-5 scale, since the framework does not prescribe a numeric scale). Traceable to REV_000115 -&gt; supporting Evidence -&gt; cited Source.</t>
        </is>
      </c>
    </row>
    <row r="117">
      <c r="A117" t="inlineStr">
        <is>
          <t>SCORE_000117</t>
        </is>
      </c>
      <c r="B117" t="inlineStr">
        <is>
          <t>BYD_ATTO3_DESIGN</t>
        </is>
      </c>
      <c r="C117" t="inlineStr">
        <is>
          <t>W016</t>
        </is>
      </c>
      <c r="D117" t="inlineStr">
        <is>
          <t>REV_000116</t>
        </is>
      </c>
      <c r="E117" t="inlineStr">
        <is>
          <t>1.8</t>
        </is>
      </c>
      <c r="F117">
        <f>ROUND(INDEX('07_Reviews'!$E:$E,MATCH(D117,'07_Reviews'!$A:$A,0))/5*100,2)</f>
        <v/>
      </c>
      <c r="G117">
        <f>ROUND(F117*INDEX('01_Criteria'!$F:$F,MATCH(C117,'01_Criteria'!$A:$A,0))/100,2)</f>
        <v/>
      </c>
      <c r="H117" t="inlineStr">
        <is>
          <t>Review score 3/5 (normalized RawScore = 60.0/100 on a documented 1-5 scale, since the framework does not prescribe a numeric scale). Traceable to REV_000116 -&gt; supporting Evidence -&gt; cited Source.</t>
        </is>
      </c>
    </row>
    <row r="118">
      <c r="A118" t="inlineStr">
        <is>
          <t>SCORE_000118</t>
        </is>
      </c>
      <c r="B118" t="inlineStr">
        <is>
          <t>BYD_ATTO3_DESIGN</t>
        </is>
      </c>
      <c r="C118" t="inlineStr">
        <is>
          <t>W017</t>
        </is>
      </c>
      <c r="D118" t="inlineStr">
        <is>
          <t>REV_000117</t>
        </is>
      </c>
      <c r="E118" t="inlineStr">
        <is>
          <t>1.8</t>
        </is>
      </c>
      <c r="F118">
        <f>ROUND(INDEX('07_Reviews'!$E:$E,MATCH(D118,'07_Reviews'!$A:$A,0))/5*100,2)</f>
        <v/>
      </c>
      <c r="G118">
        <f>ROUND(F118*INDEX('01_Criteria'!$F:$F,MATCH(C118,'01_Criteria'!$A:$A,0))/100,2)</f>
        <v/>
      </c>
      <c r="H118" t="inlineStr">
        <is>
          <t>Review score 3/5 (normalized RawScore = 60.0/100 on a documented 1-5 scale, since the framework does not prescribe a numeric scale). Traceable to REV_000117 -&gt; supporting Evidence -&gt; cited Source.</t>
        </is>
      </c>
    </row>
    <row r="119">
      <c r="A119" t="inlineStr">
        <is>
          <t>SCORE_000119</t>
        </is>
      </c>
      <c r="B119" t="inlineStr">
        <is>
          <t>BYD_ATTO3_DESIGN</t>
        </is>
      </c>
      <c r="C119" t="inlineStr">
        <is>
          <t>W018</t>
        </is>
      </c>
      <c r="D119" t="inlineStr">
        <is>
          <t>REV_000118</t>
        </is>
      </c>
      <c r="E119" t="inlineStr">
        <is>
          <t>1.8</t>
        </is>
      </c>
      <c r="F119">
        <f>ROUND(INDEX('07_Reviews'!$E:$E,MATCH(D119,'07_Reviews'!$A:$A,0))/5*100,2)</f>
        <v/>
      </c>
      <c r="G119">
        <f>ROUND(F119*INDEX('01_Criteria'!$F:$F,MATCH(C119,'01_Criteria'!$A:$A,0))/100,2)</f>
        <v/>
      </c>
      <c r="H119" t="inlineStr">
        <is>
          <t>Review score 4/5 (normalized RawScore = 80.0/100 on a documented 1-5 scale, since the framework does not prescribe a numeric scale). Traceable to REV_000118 -&gt; supporting Evidence -&gt; cited Source.</t>
        </is>
      </c>
    </row>
    <row r="120">
      <c r="A120" t="inlineStr">
        <is>
          <t>SCORE_000120</t>
        </is>
      </c>
      <c r="B120" t="inlineStr">
        <is>
          <t>BYD_ATTO3_DESIGN</t>
        </is>
      </c>
      <c r="C120" t="inlineStr">
        <is>
          <t>W019</t>
        </is>
      </c>
      <c r="D120" t="inlineStr">
        <is>
          <t>REV_000119</t>
        </is>
      </c>
      <c r="E120" t="inlineStr">
        <is>
          <t>1.8</t>
        </is>
      </c>
      <c r="F120">
        <f>ROUND(INDEX('07_Reviews'!$E:$E,MATCH(D120,'07_Reviews'!$A:$A,0))/5*100,2)</f>
        <v/>
      </c>
      <c r="G120">
        <f>ROUND(F120*INDEX('01_Criteria'!$F:$F,MATCH(C120,'01_Criteria'!$A:$A,0))/100,2)</f>
        <v/>
      </c>
      <c r="H120" t="inlineStr">
        <is>
          <t>Review score 3/5 (normalized RawScore = 60.0/100 on a documented 1-5 scale, since the framework does not prescribe a numeric scale). Traceable to REV_000119 -&gt; supporting Evidence -&gt; cited Source.</t>
        </is>
      </c>
    </row>
    <row r="121">
      <c r="A121" t="inlineStr">
        <is>
          <t>SCORE_000121</t>
        </is>
      </c>
      <c r="B121" t="inlineStr">
        <is>
          <t>BYD_ATTO3_DESIGN</t>
        </is>
      </c>
      <c r="C121" t="inlineStr">
        <is>
          <t>W020</t>
        </is>
      </c>
      <c r="D121" t="inlineStr">
        <is>
          <t>REV_000120</t>
        </is>
      </c>
      <c r="E121" t="inlineStr">
        <is>
          <t>1.8</t>
        </is>
      </c>
      <c r="F121">
        <f>ROUND(INDEX('07_Reviews'!$E:$E,MATCH(D121,'07_Reviews'!$A:$A,0))/5*100,2)</f>
        <v/>
      </c>
      <c r="G121">
        <f>ROUND(F121*INDEX('01_Criteria'!$F:$F,MATCH(C121,'01_Criteria'!$A:$A,0))/100,2)</f>
        <v/>
      </c>
      <c r="H121" t="inlineStr">
        <is>
          <t>Review score 2/5 (normalized RawScore = 40.0/100 on a documented 1-5 scale, since the framework does not prescribe a numeric scale). Traceable to REV_000120 -&gt; supporting Evidence -&gt; cited Source.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c r="H1" t="inlineStr">
        <is>
          <t>VersionBumpType</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c r="H2" t="inlineStr">
        <is>
          <t>SCHEMA</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c r="H3" t="inlineStr">
        <is>
          <t>SCHEMA</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c r="H4" t="inlineStr">
        <is>
          <t>SCHEMA</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c r="H5" t="inlineStr">
        <is>
          <t>NONE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c r="H6" t="inlineStr">
        <is>
          <t>SCHEMA</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c r="H7" t="inlineStr">
        <is>
          <t>METHODOLOGY</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c r="H8" t="inlineStr">
        <is>
          <t>NONE</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c r="H9" t="inlineStr">
        <is>
          <t>NONE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c r="H10" t="inlineStr">
        <is>
          <t>NONE</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c r="H11" t="inlineStr">
        <is>
          <t>NONE</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c r="H12" t="inlineStr">
        <is>
          <t>NONE</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c r="H13" t="inlineStr">
        <is>
          <t>NONE</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c r="H14" t="inlineStr">
        <is>
          <t>NONE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c r="H15" t="inlineStr">
        <is>
          <t>NONE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c r="H16" t="inlineStr">
        <is>
          <t>NONE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c r="H17" t="inlineStr">
        <is>
          <t>NONE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c r="H18" t="inlineStr">
        <is>
          <t>SCHEMA</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c r="H19" t="inlineStr">
        <is>
          <t>NONE</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c r="H20" t="inlineStr">
        <is>
          <t>SCHEMA</t>
        </is>
      </c>
    </row>
    <row r="21">
      <c r="A21" t="inlineStr">
        <is>
          <t>DEC_ADR_010</t>
        </is>
      </c>
      <c r="B21" t="inlineStr">
        <is>
          <t>2026-07-07</t>
        </is>
      </c>
      <c r="C21" t="inlineStr">
        <is>
          <t>1.7</t>
        </is>
      </c>
      <c r="D21" t="inlineStr">
        <is>
          <t>Ratified the Schema-vs-Methodology Framework Version bump rule and added 11_DecisionLog.VersionBumpType (ADR-010)</t>
        </is>
      </c>
      <c r="E21" t="inlineStr">
        <is>
          <t>ARCH-010 found every historical FrameworkVersion bump except ADR-005 was a schema change, never a weighting change (all 29 01_Criteria rows still FrameworkVersion 1.0) - the docs gestured at a rule 'every significant methodology change creates a new Framework Version' without ever defining significant or methodology, so this ratifies the two-kind distinction explicitly.</t>
        </is>
      </c>
      <c r="F21" t="inlineStr">
        <is>
          <t>Claude</t>
        </is>
      </c>
      <c r="G21" t="inlineStr">
        <is>
          <t>Backfilled VersionBumpType for all 19 existing entries per the ARCH-010 ledger. This entry is itself a Schema-type bump - no existing Configuration's evaluations require re-scoring as a result, per the rule this entry documents.</t>
        </is>
      </c>
      <c r="H21" t="inlineStr">
        <is>
          <t>SCHEMA</t>
        </is>
      </c>
    </row>
    <row r="22">
      <c r="A22" t="inlineStr">
        <is>
          <t>DEC_ADR_011</t>
        </is>
      </c>
      <c r="B22" t="inlineStr">
        <is>
          <t>2026-07-07</t>
        </is>
      </c>
      <c r="C22" t="inlineStr">
        <is>
          <t>1.7</t>
        </is>
      </c>
      <c r="D22" t="inlineStr">
        <is>
          <t>Pruned Tesla 03_Configurations.Notes to pointers, ratified Notes content policy (ADR-011)</t>
        </is>
      </c>
      <c r="E22" t="inlineStr">
        <is>
          <t>ARCH-011 found the M002/FAIL and M003/UNKNOWN narrative in Tesla's Configuration Notes was fully duplicated by 14_HardRequirementResults and DEC_M002_VIOLATION, neither of which existed when the Notes prose was originally written.</t>
        </is>
      </c>
      <c r="F22" t="inlineStr">
        <is>
          <t>Claude</t>
        </is>
      </c>
      <c r="G22" t="inlineStr">
        <is>
          <t>Reworded Notes for all 4 Tesla configurations to a short pointer instead of restating the M002/M003 narrative. Page-review/price-sourcing and Configuration Status rationale sentences left untouched - no other structured home exists for that content today. No Score/Review/HardRequirementResult data changed.</t>
        </is>
      </c>
      <c r="H22" t="inlineStr">
        <is>
          <t>NONE</t>
        </is>
      </c>
    </row>
    <row r="23">
      <c r="A23" t="inlineStr">
        <is>
          <t>DEC_ADR_012</t>
        </is>
      </c>
      <c r="B23" t="inlineStr">
        <is>
          <t>2026-07-07</t>
        </is>
      </c>
      <c r="C23" t="inlineStr">
        <is>
          <t>1.8</t>
        </is>
      </c>
      <c r="D23" t="inlineStr">
        <is>
          <t>Added 09_Sources.Language and documented Type-to-Tier mapping (ADR-012)</t>
        </is>
      </c>
      <c r="E23" t="inlineStr">
        <is>
          <t>ARCH-012 found PublishedDate/RetrievedDate already existed (RetrievedDate 100% populated, PublishedDate correctly sparse for manufacturer pages but under-captured for professional reviews); Language did not exist and the data showed a real 31/56 no-domain/other split.</t>
        </is>
      </c>
      <c r="F23" t="inlineStr">
        <is>
          <t>Claude</t>
        </is>
      </c>
      <c r="G23" t="inlineStr">
        <is>
          <t>Backfilled Language for all 87 existing Sources from each row's own URL/Publisher - no new research performed. Documented the existing Type enum's mapping onto the Evidence Policy's Tier A/B/C hierarchy in docs/02 instead of adding a redundant Tier column.</t>
        </is>
      </c>
      <c r="H23" t="inlineStr">
        <is>
          <t>SCHEMA</t>
        </is>
      </c>
    </row>
    <row r="24">
      <c r="A24" t="inlineStr">
        <is>
          <t>DEC_DIACRITICS_001</t>
        </is>
      </c>
      <c r="B24" t="inlineStr">
        <is>
          <t>2026-07-07</t>
        </is>
      </c>
      <c r="C24" t="inlineStr">
        <is>
          <t>1.8</t>
        </is>
      </c>
      <c r="D24" t="inlineStr">
        <is>
          <t>Corrected ASCII-substituted Norwegian diacritics across 07_Reviews, 08_Evidence and 09_Sources</t>
        </is>
      </c>
      <c r="E24" t="inlineStr">
        <is>
          <t>33 Review/Evidence rows and 6 Source Notes rows had ASCII substitutes for Norwegian aa/ae/oe (e.g. plain a instead of å, ae instead of æ, oe instead of ø) predating the project's diacritics rule. Pure spelling correction - no wording, meaning, Score, Confidence, or ID changed.</t>
        </is>
      </c>
      <c r="F24" t="inlineStr">
        <is>
          <t>Claude</t>
        </is>
      </c>
      <c r="G24" t="inlineStr">
        <is>
          <t>24 07_Reviews.Summary rows, 9 08_Evidence.Observation rows, 6 09_Sources.Notes rows corrected. URLs (containing 'no' as part of domain/path substrings) deliberately left untouched - they are real addresses, not prose.</t>
        </is>
      </c>
      <c r="H24" t="inlineStr">
        <is>
          <t>NONE</t>
        </is>
      </c>
    </row>
    <row r="25">
      <c r="A25" t="inlineStr">
        <is>
          <t>DEC_DATA_009</t>
        </is>
      </c>
      <c r="B25" t="inlineStr">
        <is>
          <t>2026-07-07</t>
        </is>
      </c>
      <c r="C25" t="inlineStr">
        <is>
          <t>1.8</t>
        </is>
      </c>
      <c r="D25" t="inlineStr">
        <is>
          <t>Added sixth Vehicle (BYD Atto 3) - Vehicle, Configurations, Technical, Equipment and HardRequirementResults</t>
        </is>
      </c>
      <c r="E25" t="inlineStr">
        <is>
          <t>First vehicle onboarded since the P1-P6 architecture review closed (FrameworkVersion 1.8) - first real test of 13_TechnicalFieldDefinitions/14_HardRequirementResults/Source.Language being used from day one instead of retrofitted. User confirmed via direct question that «BYD Atto 3» means the standard Atto 3 (FWD, 60 kWh), not the separately marketed BYD EVO 4x4 (AWD, 74.8 kWh, 443hk) - BYD Norge's own site treats these as two distinct model pages, not trims of one car.</t>
        </is>
      </c>
      <c r="F25" t="inlineStr">
        <is>
          <t>Claude</t>
        </is>
      </c>
      <c r="G25" t="inlineStr">
        <is>
          <t>Added both real Norwegian trims (Comfort 365920kr, Design 389920kr) as Configurations; Technical facts recorded once at Vehicle level since both trims share the same battery/dimensions/powertrain per byd.no. All 5 Hard Requirements resolved for both configs: M001/M002/M004/M005 PASS, M003 UNKNOWN (a search-engine-summarized 311km NAF winter-test figure could not be confirmed via direct fetch of NAF's own page, which only shows summer 2023 test data - left genuinely unresolved rather than assumed). DC fast-charging shows a genuine source disagreement (BYD states 80kW, NAF measured 90kW peak) - both recorded via Qualifier rather than picking one. No Evidence/Review/Score/OverallScore added yet - which trim to take through the full 20-criterion weighted scoring pipeline is still to be decided.</t>
        </is>
      </c>
      <c r="H25" t="inlineStr">
        <is>
          <t>NONE</t>
        </is>
      </c>
    </row>
    <row r="26">
      <c r="A26" t="inlineStr">
        <is>
          <t>DEC_DATA_010</t>
        </is>
      </c>
      <c r="B26" t="inlineStr">
        <is>
          <t>2026-07-07</t>
        </is>
      </c>
      <c r="C26" t="inlineStr">
        <is>
          <t>1.8</t>
        </is>
      </c>
      <c r="D26" t="inlineStr">
        <is>
          <t>Added BYD Atto 3 Design Evidence/Review/Score - now 6th vehicle in the full comparison, all 20 weighted criteria</t>
        </is>
      </c>
      <c r="E26" t="inlineStr">
        <is>
          <t>Completed the full weighted-scoring pipeline for BYD_ATTO3_DESIGN (chosen over Comfort per user's explicit choice - Design is closer in equipment tier to the other 5 vehicles' chosen configurations). All 5 Hard Requirements already resolved (DEC_DATA_009): M001/M002/M004/M005 PASS, M003 UNKNOWN.</t>
        </is>
      </c>
      <c r="F26" t="inlineStr">
        <is>
          <t>Claude</t>
        </is>
      </c>
      <c r="G26" t="inlineStr">
        <is>
          <t>5 real sources used (Bil24 and Formel E professional tests, BYD's own warranty PDF, an owner-reported-problems compilation, and a dedicated CarPlay-update news article), 20 Evidence rows, 20 Reviews, 20 Scores. Two genuine findings documented rather than resolved: (1) infotainment quality source disagreement (Formel E praises the Design screen; Bil24 finds menu logic inconsistent), (2) a real, multi-source-confirmed ADAS quality weakness (jerky lane-keep, phantom collision warnings) scored low (W008=2/5) despite the underlying hardware being present and passing M004. Bil24's own reviewer was personally ambivalent about price/value, reflected honestly in W017 rather than inflated. No FrameworkVersion bump - pure data addition, same precedent as DEC_DATA_003/004/006/008.</t>
        </is>
      </c>
      <c r="H26" t="inlineStr">
        <is>
          <t>NONE</t>
        </is>
      </c>
    </row>
    <row r="27">
      <c r="A27" t="inlineStr">
        <is>
          <t>DEC_ADR_013</t>
        </is>
      </c>
      <c r="B27" t="inlineStr">
        <is>
          <t>2026-07-07</t>
        </is>
      </c>
      <c r="C27" t="inlineStr">
        <is>
          <t>1.8</t>
        </is>
      </c>
      <c r="D27" t="inlineStr">
        <is>
          <t>Formalized Confidence defaults, ID-prefix conventions, and flagship-Configuration scope; added a sourcing-verification rule; added an onboarding checklist template and read-only dry-run/ID-helper scripts (ADR-013)</t>
        </is>
      </c>
      <c r="E27" t="inlineStr">
        <is>
          <t>Onboarding BYD Atto 3 as the sixth vehicle surfaced five conventions followed only as undocumented, memorized practice - Confidence defaults (98%/85%/72%/49% MEDIUM across 04_Technical/05_Equipment/07_Reviews/14_HardRequirementResults), ID-prefix zero-padding, and "one flagship Configuration per Vehicle gets scored" (confirmed 6/6 Vehicles) had never been written down; a web-search AI summary was also found to confidently misstate a source's actual content (BYD/NAF winter-range claim), caught only by direct verification.</t>
        </is>
      </c>
      <c r="F27" t="inlineStr">
        <is>
          <t>Claude</t>
        </is>
      </c>
      <c r="G27" t="inlineStr">
        <is>
          <t>No workbook column added. scripts/onboarding_helpers.py and framework/templates/vehicle-onboarding-checklist.md added as new, non-workbook repository artifacts. Forward-looking only - no existing Vehicle, Configuration, or record was audited or modified for convention conformance.</t>
        </is>
      </c>
      <c r="H27" t="inlineStr">
        <is>
          <t>NONE</t>
        </is>
      </c>
    </row>
  </sheetData>
  <autoFilter ref="A1:G3"/>
  <dataValidations count="1">
    <dataValidation sqref="H2:H1048576" showDropDown="0" showInputMessage="0" showErrorMessage="1" allowBlank="1" type="list">
      <formula1>Enum_VersionBumpType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row r="7">
      <c r="A7" t="inlineStr">
        <is>
          <t>OVSC_000006</t>
        </is>
      </c>
      <c r="B7" t="inlineStr">
        <is>
          <t>BYD_ATTO3_DESIGN</t>
        </is>
      </c>
      <c r="C7" t="inlineStr">
        <is>
          <t>1.8</t>
        </is>
      </c>
      <c r="D7">
        <f>SUMIFS('10_Scoring'!$G$2:$G$1000,'10_Scoring'!$B$2:$B$1000,B7,'10_Scoring'!$E$2:$E$1000,C7)</f>
        <v/>
      </c>
      <c r="E7">
        <f>ROUND(SUMPRODUCT(('10_Scoring'!$B$2:$B$1000=B7)*('10_Scoring'!$E$2:$E$1000=C7)*IFERROR(INDEX('01_Criteria'!$F$2:$F$1000,MATCH('10_Scoring'!$C$2:$C$1000,'01_Criteria'!$A$2:$A$1000,0)),0))/SUMIFS('01_Criteria'!$F$2:$F$1000,'01_Criteria'!$E$2:$E$1000,"WEIGHTED",'01_Criteria'!$H$2:$H$1000,"TRUE")*100,2)</f>
        <v/>
      </c>
      <c r="F7">
        <f>COUNTIFS('10_Scoring'!$B$2:$B$1000,B7,'10_Scoring'!$E$2:$E$1000,C7)</f>
        <v/>
      </c>
      <c r="G7">
        <f>COUNTIFS('01_Criteria'!$E$2:$E$1000,"WEIGHTED",'01_Criteria'!$H$2:$H$1000,"TRUE")</f>
        <v/>
      </c>
      <c r="H7">
        <f>IF(E7&lt;100,"Partial evaluation - "&amp;F7&amp;" of "&amp;G7&amp;" WEIGHTED+Active criteria scored ("&amp;E7&amp;"%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UNKNOWN</t>
        </is>
      </c>
      <c r="E38" t="inlineStr">
        <is>
          <t>MEDIUM</t>
        </is>
      </c>
      <c r="F38" t="inlineStr">
        <is>
          <t>To vintertester funnet, men begge er upålitelige treff: en 2022-test brukte en utgått pre-facelift-generasjon, og en NAF-vintertest 2025 rapporterer 702km WLTP som ikke matcher noen av de fire registrerte Model 3-konfigurasjonene. Forblir reelt ukjent.</t>
        </is>
      </c>
      <c r="H38" t="inlineStr">
        <is>
          <t>1.6</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UNKNOWN</t>
        </is>
      </c>
      <c r="E44" t="inlineStr">
        <is>
          <t>LOW</t>
        </is>
      </c>
      <c r="F44" t="inlineStr">
        <is>
          <t>Eneste tilgjengelige datapunkt (elbil.no, Iconic-trim - samme drivverk, men annet utstyrsnivå) målte 287 km ved konstant 100 km/t i mildvær (5-7°C), ikke reell vinterkulde. Et bekymringsfullt signal, men ikke et bekreftet fall, siden testen verken matcher trim eller forhold.</t>
        </is>
      </c>
      <c r="G44" t="inlineStr">
        <is>
          <t>SRC_ELBIL_RENAULT4_TEST</t>
        </is>
      </c>
      <c r="H44" t="inlineStr">
        <is>
          <t>1.6</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UNKNOWN</t>
        </is>
      </c>
      <c r="E49" t="inlineStr">
        <is>
          <t>LOW</t>
        </is>
      </c>
      <c r="F49" t="inlineStr">
        <is>
          <t>Ingen uavhengig vintertest funnet for denne konfigurasjonen.</t>
        </is>
      </c>
      <c r="H49" t="inlineStr">
        <is>
          <t>1.6</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UNKNOWN</t>
        </is>
      </c>
      <c r="E53" t="inlineStr">
        <is>
          <t>LOW</t>
        </is>
      </c>
      <c r="F53" t="inlineStr">
        <is>
          <t>Ingen vintertest vurdert for denne konfigurasjonen.</t>
        </is>
      </c>
      <c r="H53" t="inlineStr">
        <is>
          <t>1.6</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UNKNOWN</t>
        </is>
      </c>
      <c r="E55" t="inlineStr">
        <is>
          <t>LOW</t>
        </is>
      </c>
      <c r="F55" t="inlineStr">
        <is>
          <t>Ingen uavhengig vintertest funnet - sannsynligvis fordi modellen er for ny til det norske markedet.</t>
        </is>
      </c>
      <c r="H55" t="inlineStr">
        <is>
          <t>1.6</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LOW</t>
        </is>
      </c>
      <c r="F72" t="inlineStr">
        <is>
          <t>Ikke uavhengig bekreftet for denne spesifikke konfigurasjonen; utledet fra VOLVO_EX30_P8_AWD, som deler samme kjøreassistentpakke på tvers av rekken per Volvos egen produktbeskrivelse.</t>
        </is>
      </c>
      <c r="H72" t="inlineStr">
        <is>
          <t>1.6</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UNKNOWN</t>
        </is>
      </c>
      <c r="E89" t="inlineStr">
        <is>
          <t>LOW</t>
        </is>
      </c>
      <c r="F89" t="inlineStr">
        <is>
          <t>Ikke uavhengig bekreftet via en presist kildesporet henting - forblir bevisst ukjent fremfor antatt.</t>
        </is>
      </c>
      <c r="H89" t="inlineStr">
        <is>
          <t>1.6</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row r="92">
      <c r="A92" t="inlineStr">
        <is>
          <t>HRR_000091</t>
        </is>
      </c>
      <c r="B92" t="inlineStr">
        <is>
          <t>BYD_ATTO3_COMFORT</t>
        </is>
      </c>
      <c r="C92" t="inlineStr">
        <is>
          <t>M001</t>
        </is>
      </c>
      <c r="D92" t="inlineStr">
        <is>
          <t>PASS</t>
        </is>
      </c>
      <c r="E92" t="inlineStr">
        <is>
          <t>HIGH</t>
        </is>
      </c>
      <c r="F92" t="inlineStr">
        <is>
          <t>Kun helelektriske biler inkluderes i denne sammenligningen; alle vurderte konfigurasjoner er BEV.</t>
        </is>
      </c>
      <c r="H92" t="inlineStr">
        <is>
          <t>1.8</t>
        </is>
      </c>
    </row>
    <row r="93">
      <c r="A93" t="inlineStr">
        <is>
          <t>HRR_000092</t>
        </is>
      </c>
      <c r="B93" t="inlineStr">
        <is>
          <t>BYD_ATTO3_COMFORT</t>
        </is>
      </c>
      <c r="C93" t="inlineStr">
        <is>
          <t>M002</t>
        </is>
      </c>
      <c r="D93" t="inlineStr">
        <is>
          <t>PASS</t>
        </is>
      </c>
      <c r="E93" t="inlineStr">
        <is>
          <t>MEDIUM</t>
        </is>
      </c>
      <c r="F93" t="inlineStr">
        <is>
          <t>Offisiell lengde 4455mm er innenfor 4500mm-grensen med 45mm margin - en reell, men moderat margin.</t>
        </is>
      </c>
      <c r="G93" t="inlineStr">
        <is>
          <t>SRC_EVDATABASE_ATTO3</t>
        </is>
      </c>
      <c r="H93" t="inlineStr">
        <is>
          <t>1.8</t>
        </is>
      </c>
    </row>
    <row r="94">
      <c r="A94" t="inlineStr">
        <is>
          <t>HRR_000093</t>
        </is>
      </c>
      <c r="B94" t="inlineStr">
        <is>
          <t>BYD_ATTO3_COMFORT</t>
        </is>
      </c>
      <c r="C94" t="inlineStr">
        <is>
          <t>M003</t>
        </is>
      </c>
      <c r="D94" t="inlineStr">
        <is>
          <t>UNKNOWN</t>
        </is>
      </c>
      <c r="E94" t="inlineStr">
        <is>
          <t>LOW</t>
        </is>
      </c>
      <c r="F94" t="inlineStr">
        <is>
          <t>Ingen bekreftet uavhengig vintertest funnet. Et søkemotor-sammendrag hevdet 311 km i NAFs vintertest, men dette tallet kunne ikke bekreftes ved direkte henting av NAFs egen Atto 3-side, som kun viser sommertest 2023-resultater. Forblir genuint ukjent, ikke antatt.</t>
        </is>
      </c>
      <c r="H94" t="inlineStr">
        <is>
          <t>1.8</t>
        </is>
      </c>
    </row>
    <row r="95">
      <c r="A95" t="inlineStr">
        <is>
          <t>HRR_000094</t>
        </is>
      </c>
      <c r="B95" t="inlineStr">
        <is>
          <t>BYD_ATTO3_COMFORT</t>
        </is>
      </c>
      <c r="C95" t="inlineStr">
        <is>
          <t>M004</t>
        </is>
      </c>
      <c r="D95" t="inlineStr">
        <is>
          <t>PASS</t>
        </is>
      </c>
      <c r="E95" t="inlineStr">
        <is>
          <t>MEDIUM</t>
        </is>
      </c>
      <c r="F95" t="inlineStr">
        <is>
          <t>Adaptiv cruisekontroll bekreftet standard på offisiell BYD Norge-side (ikke brutt ned per utstyrsnivå, men listet som generell modellfunksjon).</t>
        </is>
      </c>
      <c r="G95" t="inlineStr">
        <is>
          <t>SRC_BYD_NO_ATTO3</t>
        </is>
      </c>
      <c r="H95" t="inlineStr">
        <is>
          <t>1.8</t>
        </is>
      </c>
    </row>
    <row r="96">
      <c r="A96" t="inlineStr">
        <is>
          <t>HRR_000095</t>
        </is>
      </c>
      <c r="B96" t="inlineStr">
        <is>
          <t>BYD_ATTO3_COMFORT</t>
        </is>
      </c>
      <c r="C96" t="inlineStr">
        <is>
          <t>M005</t>
        </is>
      </c>
      <c r="D96" t="inlineStr">
        <is>
          <t>PASS</t>
        </is>
      </c>
      <c r="E96" t="inlineStr">
        <is>
          <t>MEDIUM</t>
        </is>
      </c>
      <c r="F96" t="inlineStr">
        <is>
          <t>Ryggekamera/360-graders kamera bekreftet standard på offisiell BYD Norge-side (ikke brutt ned per utstyrsnivå, men listet som generell modellfunksjon).</t>
        </is>
      </c>
      <c r="G96" t="inlineStr">
        <is>
          <t>SRC_BYD_NO_ATTO3</t>
        </is>
      </c>
      <c r="H96" t="inlineStr">
        <is>
          <t>1.8</t>
        </is>
      </c>
    </row>
    <row r="97">
      <c r="A97" t="inlineStr">
        <is>
          <t>HRR_000096</t>
        </is>
      </c>
      <c r="B97" t="inlineStr">
        <is>
          <t>BYD_ATTO3_DESIGN</t>
        </is>
      </c>
      <c r="C97" t="inlineStr">
        <is>
          <t>M001</t>
        </is>
      </c>
      <c r="D97" t="inlineStr">
        <is>
          <t>PASS</t>
        </is>
      </c>
      <c r="E97" t="inlineStr">
        <is>
          <t>HIGH</t>
        </is>
      </c>
      <c r="F97" t="inlineStr">
        <is>
          <t>Kun helelektriske biler inkluderes i denne sammenligningen; alle vurderte konfigurasjoner er BEV.</t>
        </is>
      </c>
      <c r="H97" t="inlineStr">
        <is>
          <t>1.8</t>
        </is>
      </c>
    </row>
    <row r="98">
      <c r="A98" t="inlineStr">
        <is>
          <t>HRR_000097</t>
        </is>
      </c>
      <c r="B98" t="inlineStr">
        <is>
          <t>BYD_ATTO3_DESIGN</t>
        </is>
      </c>
      <c r="C98" t="inlineStr">
        <is>
          <t>M002</t>
        </is>
      </c>
      <c r="D98" t="inlineStr">
        <is>
          <t>PASS</t>
        </is>
      </c>
      <c r="E98" t="inlineStr">
        <is>
          <t>MEDIUM</t>
        </is>
      </c>
      <c r="F98" t="inlineStr">
        <is>
          <t>Offisiell lengde 4455mm er innenfor 4500mm-grensen med 45mm margin - en reell, men moderat margin.</t>
        </is>
      </c>
      <c r="G98" t="inlineStr">
        <is>
          <t>SRC_EVDATABASE_ATTO3</t>
        </is>
      </c>
      <c r="H98" t="inlineStr">
        <is>
          <t>1.8</t>
        </is>
      </c>
    </row>
    <row r="99">
      <c r="A99" t="inlineStr">
        <is>
          <t>HRR_000098</t>
        </is>
      </c>
      <c r="B99" t="inlineStr">
        <is>
          <t>BYD_ATTO3_DESIGN</t>
        </is>
      </c>
      <c r="C99" t="inlineStr">
        <is>
          <t>M003</t>
        </is>
      </c>
      <c r="D99" t="inlineStr">
        <is>
          <t>UNKNOWN</t>
        </is>
      </c>
      <c r="E99" t="inlineStr">
        <is>
          <t>LOW</t>
        </is>
      </c>
      <c r="F99" t="inlineStr">
        <is>
          <t>Ingen bekreftet uavhengig vintertest funnet. Et søkemotor-sammendrag hevdet 311 km i NAFs vintertest, men dette tallet kunne ikke bekreftes ved direkte henting av NAFs egen Atto 3-side, som kun viser sommertest 2023-resultater. Forblir genuint ukjent, ikke antatt.</t>
        </is>
      </c>
      <c r="H99" t="inlineStr">
        <is>
          <t>1.8</t>
        </is>
      </c>
    </row>
    <row r="100">
      <c r="A100" t="inlineStr">
        <is>
          <t>HRR_000099</t>
        </is>
      </c>
      <c r="B100" t="inlineStr">
        <is>
          <t>BYD_ATTO3_DESIGN</t>
        </is>
      </c>
      <c r="C100" t="inlineStr">
        <is>
          <t>M004</t>
        </is>
      </c>
      <c r="D100" t="inlineStr">
        <is>
          <t>PASS</t>
        </is>
      </c>
      <c r="E100" t="inlineStr">
        <is>
          <t>MEDIUM</t>
        </is>
      </c>
      <c r="F100" t="inlineStr">
        <is>
          <t>Adaptiv cruisekontroll bekreftet standard på offisiell BYD Norge-side (ikke brutt ned per utstyrsnivå, men listet som generell modellfunksjon).</t>
        </is>
      </c>
      <c r="G100" t="inlineStr">
        <is>
          <t>SRC_BYD_NO_ATTO3</t>
        </is>
      </c>
      <c r="H100" t="inlineStr">
        <is>
          <t>1.8</t>
        </is>
      </c>
    </row>
    <row r="101">
      <c r="A101" t="inlineStr">
        <is>
          <t>HRR_000100</t>
        </is>
      </c>
      <c r="B101" t="inlineStr">
        <is>
          <t>BYD_ATTO3_DESIGN</t>
        </is>
      </c>
      <c r="C101" t="inlineStr">
        <is>
          <t>M005</t>
        </is>
      </c>
      <c r="D101" t="inlineStr">
        <is>
          <t>PASS</t>
        </is>
      </c>
      <c r="E101" t="inlineStr">
        <is>
          <t>MEDIUM</t>
        </is>
      </c>
      <c r="F101" t="inlineStr">
        <is>
          <t>Ryggekamera/360-graders kamera bekreftet standard på offisiell BYD Norge-side (ikke brutt ned per utstyrsnivå, men listet som generell modellfunksjon).</t>
        </is>
      </c>
      <c r="G101" t="inlineStr">
        <is>
          <t>SRC_BYD_NO_ATTO3</t>
        </is>
      </c>
      <c r="H101" t="inlineStr">
        <is>
          <t>1.8</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2026-07-07T18:24:11Z</dcterms:modified>
  <cp:lastModifiedBy>Codex</cp:lastModifiedBy>
  <cp:keywords>EV Decision Framework; FrameworkVersion 1.0; workbook schema</cp:keywords>
</cp:coreProperties>
</file>