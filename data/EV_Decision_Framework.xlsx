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7600" tabRatio="600" firstSheet="0" activeTab="0" autoFilterDateGrouping="1"/>
  </bookViews>
  <sheets>
    <sheet name="README" sheetId="1" state="visible" r:id="rId1"/>
    <sheet name="01_Criteria" sheetId="2" state="visible" r:id="rId2"/>
    <sheet name="02_Vehicles" sheetId="3" state="visible" r:id="rId3"/>
    <sheet name="03_Configurations" sheetId="4" state="visible" r:id="rId4"/>
    <sheet name="04_Technical" sheetId="5" state="visible" r:id="rId5"/>
    <sheet name="05_Equipment" sheetId="6" state="visible" r:id="rId6"/>
    <sheet name="06_EquipmentDefinitions" sheetId="7" state="visible" r:id="rId7"/>
    <sheet name="07_Reviews" sheetId="8" state="visible" r:id="rId8"/>
    <sheet name="08_Evidence" sheetId="9" state="visible" r:id="rId9"/>
    <sheet name="09_Sources" sheetId="10" state="visible" r:id="rId10"/>
    <sheet name="10_Scoring" sheetId="11" state="visible" r:id="rId11"/>
    <sheet name="11_DecisionLog" sheetId="12" state="visible" r:id="rId12"/>
    <sheet name="12_OverallScores" sheetId="13" state="visible" r:id="rId13"/>
  </sheets>
  <definedNames>
    <definedName name="Enum_Availability">'README'!$X$2:$X$6</definedName>
    <definedName name="Enum_Confidence">'README'!$Y$2:$Y$5</definedName>
    <definedName name="Enum_VehicleStatus">'README'!$Z$2:$Z$7</definedName>
    <definedName name="Enum_ConfigurationStatus">'README'!$AA$2:$AA$5</definedName>
    <definedName name="Enum_RequirementType">'README'!$AB$2:$AB$5</definedName>
    <definedName name="Enum_SourceType">'README'!$AC$2:$AC$10</definedName>
    <definedName name="Enum_EvidenceType">'README'!$AD$2:$AD$7</definedName>
    <definedName name="Enum_Market">'README'!$AE$2:$AE$8</definedName>
    <definedName name="Enum_Unit">'README'!$AF$2:$AF$13</definedName>
    <definedName name="Enum_FrameworkStatus">'README'!$AG$2:$AG$5</definedName>
    <definedName name="Enum_DecisionStatus">'README'!$AH$2:$AH$5</definedName>
    <definedName name="Validation_Boolean">'README'!$AI$2:$AI$3</definedName>
    <definedName name="_xlnm._FilterDatabase" localSheetId="0" hidden="1">'README'!$A$1:$B$8</definedName>
    <definedName name="_xlnm._FilterDatabase" localSheetId="1" hidden="1">'01_Criteria'!$A$1:$J$30</definedName>
    <definedName name="_xlnm._FilterDatabase" localSheetId="2" hidden="1">'02_Vehicles'!$A$1:$G$5</definedName>
    <definedName name="_xlnm._FilterDatabase" localSheetId="3" hidden="1">'03_Configurations'!$A$1:$G$1</definedName>
    <definedName name="_xlnm._FilterDatabase" localSheetId="4" hidden="1">'04_Technical'!$A$1:$J$7</definedName>
    <definedName name="_xlnm._FilterDatabase" localSheetId="5" hidden="1">'05_Equipment'!$A$1:$F$1</definedName>
    <definedName name="_xlnm._FilterDatabase" localSheetId="6" hidden="1">'06_EquipmentDefinitions'!$A$1:$F$21</definedName>
    <definedName name="_xlnm._FilterDatabase" localSheetId="7" hidden="1">'07_Reviews'!$A$1:$I$1</definedName>
    <definedName name="_xlnm._FilterDatabase" localSheetId="8" hidden="1">'08_Evidence'!$A$1:$H$1</definedName>
    <definedName name="_xlnm._FilterDatabase" localSheetId="9" hidden="1">'09_Sources'!$A$1:$H$1</definedName>
    <definedName name="_xlnm._FilterDatabase" localSheetId="10" hidden="1">'10_Scoring'!$A$1:$H$1</definedName>
    <definedName name="_xlnm._FilterDatabase" localSheetId="11" hidden="1">'11_DecisionLog'!$A$1:$G$3</definedName>
  </definedNames>
  <calcPr calcId="0" fullCalcOnLoad="1"/>
</workbook>
</file>

<file path=xl/styles.xml><?xml version="1.0" encoding="utf-8"?>
<styleSheet xmlns="http://schemas.openxmlformats.org/spreadsheetml/2006/main">
  <numFmts count="0"/>
  <fonts count="2">
    <font>
      <name val="Aptos"/>
      <family val="2"/>
      <color theme="1"/>
      <sz val="11"/>
    </font>
    <font>
      <name val="Aptos"/>
      <family val="2"/>
      <b val="1"/>
      <color rgb="FFFFFFFF"/>
      <sz val="11"/>
    </font>
  </fonts>
  <fills count="3">
    <fill>
      <patternFill/>
    </fill>
    <fill>
      <patternFill patternType="gray125"/>
    </fill>
    <fill>
      <patternFill patternType="solid">
        <fgColor rgb="FF1F4E7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E78"/>
      </a:dk2>
      <a:lt2>
        <a:srgbClr val="EAF2F8"/>
      </a:lt2>
      <a:accent1>
        <a:srgbClr val="1F4E78"/>
      </a:accent1>
      <a:accent2>
        <a:srgbClr val="70AD47"/>
      </a:accent2>
      <a:accent3>
        <a:srgbClr val="FFC000"/>
      </a:accent3>
      <a:accent4>
        <a:srgbClr val="5B9BD5"/>
      </a:accent4>
      <a:accent5>
        <a:srgbClr val="A5A5A5"/>
      </a:accent5>
      <a:accent6>
        <a:srgbClr val="ED7D31"/>
      </a:accent6>
      <a:hlink>
        <a:srgbClr val="0563C1"/>
      </a:hlink>
      <a:folHlink>
        <a:srgbClr val="954F72"/>
      </a:folHlink>
    </a:clrScheme>
    <a:fontScheme name="Office">
      <a:majorFont>
        <a:latin typeface="Aptos Display"/>
      </a:majorFont>
      <a:minorFont>
        <a:latin typeface="Aptos"/>
      </a:minorFont>
    </a:fontScheme>
    <a:fmtScheme name="Office">
      <a:fillStyleLst>
        <a:solidFill>
          <a:schemeClr val="phClr"/>
        </a:solidFill>
      </a:fillStyleLst>
      <a:lnStyleLst>
        <a:ln w="6350" cap="flat" cmpd="sng" algn="ctr">
          <a:solidFill>
            <a:schemeClr val="phClr"/>
          </a:solidFill>
          <a:prstDash val="solid"/>
        </a:ln>
      </a:lnStyleLst>
      <a:effectStyleLst>
        <a:effectStyle/>
      </a:effectStyleLst>
      <a:bgFillStyleLst>
        <a:solidFill>
          <a:schemeClr val="phClr"/>
        </a:solidFill>
      </a:bgFillStyleLst>
    </a:fmtScheme>
  </a:themeElements>
</a:theme>
</file>

<file path=xl/worksheets/sheet1.xml><?xml version="1.0" encoding="utf-8"?>
<worksheet xmlns="http://schemas.openxmlformats.org/spreadsheetml/2006/main">
  <sheetPr>
    <outlinePr summaryBelow="1" summaryRight="1"/>
    <pageSetUpPr/>
  </sheetPr>
  <dimension ref="A1:AI13"/>
  <sheetViews>
    <sheetView showGridLines="1" workbookViewId="0">
      <pane ySplit="1" topLeftCell="A2" activePane="bottomLeft" state="frozen"/>
      <selection pane="bottomLeft" activeCell="A2" sqref="A2"/>
    </sheetView>
  </sheetViews>
  <sheetFormatPr baseColWidth="8" defaultRowHeight="15"/>
  <cols>
    <col width="24" customWidth="1" min="1" max="1"/>
    <col width="90" customWidth="1" min="2" max="2"/>
    <col hidden="1" width="12" customWidth="1" min="24" max="24"/>
    <col hidden="1" width="12" customWidth="1" min="25" max="25"/>
    <col hidden="1" width="12" customWidth="1" min="26" max="26"/>
    <col hidden="1" width="12" customWidth="1" min="27" max="27"/>
    <col hidden="1" width="12" customWidth="1" min="28" max="28"/>
    <col hidden="1" width="12" customWidth="1" min="29" max="29"/>
    <col hidden="1" width="12" customWidth="1" min="30" max="30"/>
    <col hidden="1" width="12" customWidth="1" min="31" max="31"/>
    <col hidden="1" width="12" customWidth="1" min="32" max="32"/>
    <col hidden="1" width="12" customWidth="1" min="33" max="33"/>
    <col hidden="1" width="12" customWidth="1" min="34" max="34"/>
    <col hidden="1" width="12" customWidth="1" min="35" max="35"/>
  </cols>
  <sheetData>
    <row r="1" ht="22" customHeight="1">
      <c r="A1" s="1" t="inlineStr">
        <is>
          <t>Field</t>
        </is>
      </c>
      <c r="B1" s="1" t="inlineStr">
        <is>
          <t>Value</t>
        </is>
      </c>
      <c r="X1" s="1" t="inlineStr">
        <is>
          <t>Enum_Availability</t>
        </is>
      </c>
      <c r="Y1" s="1" t="inlineStr">
        <is>
          <t>Enum_Confidence</t>
        </is>
      </c>
      <c r="Z1" s="1" t="inlineStr">
        <is>
          <t>Enum_VehicleStatus</t>
        </is>
      </c>
      <c r="AA1" s="1" t="inlineStr">
        <is>
          <t>Enum_ConfigurationStatus</t>
        </is>
      </c>
      <c r="AB1" s="1" t="inlineStr">
        <is>
          <t>Enum_RequirementType</t>
        </is>
      </c>
      <c r="AC1" s="1" t="inlineStr">
        <is>
          <t>Enum_SourceType</t>
        </is>
      </c>
      <c r="AD1" s="1" t="inlineStr">
        <is>
          <t>Enum_EvidenceType</t>
        </is>
      </c>
      <c r="AE1" s="1" t="inlineStr">
        <is>
          <t>Enum_Market</t>
        </is>
      </c>
      <c r="AF1" s="1" t="inlineStr">
        <is>
          <t>Enum_Unit</t>
        </is>
      </c>
      <c r="AG1" s="1" t="inlineStr">
        <is>
          <t>Enum_FrameworkStatus</t>
        </is>
      </c>
      <c r="AH1" s="1" t="inlineStr">
        <is>
          <t>Enum_DecisionStatus</t>
        </is>
      </c>
      <c r="AI1" s="1" t="inlineStr">
        <is>
          <t>Validation_Boolean</t>
        </is>
      </c>
    </row>
    <row r="2">
      <c r="A2" t="inlineStr">
        <is>
          <t>WorkbookVersion</t>
        </is>
      </c>
      <c r="B2" t="inlineStr">
        <is>
          <t>1.3</t>
        </is>
      </c>
      <c r="X2" t="inlineStr">
        <is>
          <t>STANDARD</t>
        </is>
      </c>
      <c r="Y2" t="inlineStr">
        <is>
          <t>HIGH</t>
        </is>
      </c>
      <c r="Z2" t="inlineStr">
        <is>
          <t>ANNOUNCED</t>
        </is>
      </c>
      <c r="AA2" t="inlineStr">
        <is>
          <t>AVAILABLE</t>
        </is>
      </c>
      <c r="AB2" t="inlineStr">
        <is>
          <t>HARD</t>
        </is>
      </c>
      <c r="AC2" t="inlineStr">
        <is>
          <t>MANUFACTURER</t>
        </is>
      </c>
      <c r="AD2" t="inlineStr">
        <is>
          <t>SPECIFICATION</t>
        </is>
      </c>
      <c r="AE2" t="inlineStr">
        <is>
          <t>NO</t>
        </is>
      </c>
      <c r="AF2" t="inlineStr">
        <is>
          <t>MM</t>
        </is>
      </c>
      <c r="AG2" t="inlineStr">
        <is>
          <t>DRAFT</t>
        </is>
      </c>
      <c r="AH2" t="inlineStr">
        <is>
          <t>PROPOSED</t>
        </is>
      </c>
      <c r="AI2" t="inlineStr">
        <is>
          <t>TRUE</t>
        </is>
      </c>
    </row>
    <row r="3">
      <c r="A3" t="inlineStr">
        <is>
          <t>FrameworkVersion</t>
        </is>
      </c>
      <c r="B3" t="inlineStr">
        <is>
          <t>1.4</t>
        </is>
      </c>
      <c r="X3" t="inlineStr">
        <is>
          <t>OPTIONAL</t>
        </is>
      </c>
      <c r="Y3" t="inlineStr">
        <is>
          <t>MEDIUM</t>
        </is>
      </c>
      <c r="Z3" t="inlineStr">
        <is>
          <t>PREORDER</t>
        </is>
      </c>
      <c r="AA3" t="inlineStr">
        <is>
          <t>UPCOMING</t>
        </is>
      </c>
      <c r="AB3" t="inlineStr">
        <is>
          <t>WEIGHTED</t>
        </is>
      </c>
      <c r="AC3" t="inlineStr">
        <is>
          <t>GOVERNMENT</t>
        </is>
      </c>
      <c r="AD3" t="inlineStr">
        <is>
          <t>MEASUREMENT</t>
        </is>
      </c>
      <c r="AE3" t="inlineStr">
        <is>
          <t>SE</t>
        </is>
      </c>
      <c r="AF3" t="inlineStr">
        <is>
          <t>CM</t>
        </is>
      </c>
      <c r="AG3" t="inlineStr">
        <is>
          <t>REVIEW</t>
        </is>
      </c>
      <c r="AH3" t="inlineStr">
        <is>
          <t>ACCEPTED</t>
        </is>
      </c>
      <c r="AI3" t="inlineStr">
        <is>
          <t>FALSE</t>
        </is>
      </c>
    </row>
    <row r="4">
      <c r="A4" t="inlineStr">
        <is>
          <t>LastUpdated</t>
        </is>
      </c>
      <c r="B4" t="inlineStr">
        <is>
          <t>2026-07-06</t>
        </is>
      </c>
      <c r="X4" t="inlineStr">
        <is>
          <t>PACKAGE</t>
        </is>
      </c>
      <c r="Y4" t="inlineStr">
        <is>
          <t>LOW</t>
        </is>
      </c>
      <c r="Z4" t="inlineStr">
        <is>
          <t>AVAILABLE</t>
        </is>
      </c>
      <c r="AA4" t="inlineStr">
        <is>
          <t>DISCONTINUED</t>
        </is>
      </c>
      <c r="AB4" t="inlineStr">
        <is>
          <t>INFORMATIONAL</t>
        </is>
      </c>
      <c r="AC4" t="inlineStr">
        <is>
          <t>CERTIFICATION</t>
        </is>
      </c>
      <c r="AD4" t="inlineStr">
        <is>
          <t>OBSERVATION</t>
        </is>
      </c>
      <c r="AE4" t="inlineStr">
        <is>
          <t>DK</t>
        </is>
      </c>
      <c r="AF4" t="inlineStr">
        <is>
          <t>M</t>
        </is>
      </c>
      <c r="AG4" t="inlineStr">
        <is>
          <t>LOCKED</t>
        </is>
      </c>
      <c r="AH4" t="inlineStr">
        <is>
          <t>IMPLEMENTED</t>
        </is>
      </c>
    </row>
    <row r="5">
      <c r="A5" t="inlineStr">
        <is>
          <t>Domain</t>
        </is>
      </c>
      <c r="B5" t="inlineStr">
        <is>
          <t>Battery electric vehicle decision framework</t>
        </is>
      </c>
      <c r="X5" t="inlineStr">
        <is>
          <t>UNAVAILABLE</t>
        </is>
      </c>
      <c r="Y5" t="inlineStr">
        <is>
          <t>UNKNOWN</t>
        </is>
      </c>
      <c r="Z5" t="inlineStr">
        <is>
          <t>DISCONTINUED</t>
        </is>
      </c>
      <c r="AA5" t="inlineStr">
        <is>
          <t>UNKNOWN</t>
        </is>
      </c>
      <c r="AB5" t="inlineStr">
        <is>
          <t>EXCLUDED</t>
        </is>
      </c>
      <c r="AC5" t="inlineStr">
        <is>
          <t>PROFESSIONAL_REVIEW</t>
        </is>
      </c>
      <c r="AD5" t="inlineStr">
        <is>
          <t>TEST_RESULT</t>
        </is>
      </c>
      <c r="AE5" t="inlineStr">
        <is>
          <t>FI</t>
        </is>
      </c>
      <c r="AF5" t="inlineStr">
        <is>
          <t>KM</t>
        </is>
      </c>
      <c r="AG5" t="inlineStr">
        <is>
          <t>DEPRECATED</t>
        </is>
      </c>
      <c r="AH5" t="inlineStr">
        <is>
          <t>SUPERSEDED</t>
        </is>
      </c>
    </row>
    <row r="6">
      <c r="A6" t="inlineStr">
        <is>
          <t>Purpose</t>
        </is>
      </c>
      <c r="B6" t="inlineStr">
        <is>
          <t>Reference implementation of the documented EV Decision Framework schema.</t>
        </is>
      </c>
      <c r="X6" t="inlineStr">
        <is>
          <t>UNKNOWN</t>
        </is>
      </c>
      <c r="Z6" t="inlineStr">
        <is>
          <t>CANCELLED</t>
        </is>
      </c>
      <c r="AC6" t="inlineStr">
        <is>
          <t>OWNER_REPORT</t>
        </is>
      </c>
      <c r="AD6" t="inlineStr">
        <is>
          <t>REVIEW_SUMMARY</t>
        </is>
      </c>
      <c r="AE6" t="inlineStr">
        <is>
          <t>EU</t>
        </is>
      </c>
      <c r="AF6" t="inlineStr">
        <is>
          <t>KMH</t>
        </is>
      </c>
    </row>
    <row r="7">
      <c r="A7" t="inlineStr">
        <is>
          <t>Notes</t>
        </is>
      </c>
      <c r="B7" t="inlineStr">
        <is>
          <t>Scoring mechanics implemented per ADR-005: 10_Scoring RawScore/WeightedScore are now formulas (1-5 Review.Score scale, documented rounding rule); new 12_OverallScores worksheet aggregates Configuration-level Overall Score with mandatory CoveragePercent.</t>
        </is>
      </c>
      <c r="Z7" t="inlineStr">
        <is>
          <t>UNKNOWN</t>
        </is>
      </c>
      <c r="AC7" t="inlineStr">
        <is>
          <t>COMMUNITY</t>
        </is>
      </c>
      <c r="AD7" t="inlineStr">
        <is>
          <t>OWNER_EXPERIENCE</t>
        </is>
      </c>
      <c r="AE7" t="inlineStr">
        <is>
          <t>UK</t>
        </is>
      </c>
      <c r="AF7" t="inlineStr">
        <is>
          <t>KWH</t>
        </is>
      </c>
    </row>
    <row r="8">
      <c r="A8" t="inlineStr">
        <is>
          <t>Status</t>
        </is>
      </c>
      <c r="B8" t="inlineStr">
        <is>
          <t>LOCKED</t>
        </is>
      </c>
      <c r="AC8" t="inlineStr">
        <is>
          <t>DATABASE</t>
        </is>
      </c>
      <c r="AE8" t="inlineStr">
        <is>
          <t>GLOBAL</t>
        </is>
      </c>
      <c r="AF8" t="inlineStr">
        <is>
          <t>KWH_100KM</t>
        </is>
      </c>
    </row>
    <row r="9">
      <c r="AC9" t="inlineStr">
        <is>
          <t>VIDEO</t>
        </is>
      </c>
      <c r="AF9" t="inlineStr">
        <is>
          <t>KW</t>
        </is>
      </c>
    </row>
    <row r="10">
      <c r="AC10" t="inlineStr">
        <is>
          <t>OTHER</t>
        </is>
      </c>
      <c r="AF10" t="inlineStr">
        <is>
          <t>NM</t>
        </is>
      </c>
    </row>
    <row r="11">
      <c r="AF11" t="inlineStr">
        <is>
          <t>KG</t>
        </is>
      </c>
    </row>
    <row r="12">
      <c r="AF12" t="inlineStr">
        <is>
          <t>L</t>
        </is>
      </c>
    </row>
    <row r="13">
      <c r="AF13" t="inlineStr">
        <is>
          <t>DB</t>
        </is>
      </c>
    </row>
  </sheetData>
  <autoFilter ref="A1:B8"/>
  <dataValidations count="1">
    <dataValidation sqref="B8" showDropDown="0" showInputMessage="0" showErrorMessage="1" allowBlank="1" type="list">
      <formula1>Enum_FrameworkStatus</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30"/>
  <sheetViews>
    <sheetView showGridLines="1" workbookViewId="0">
      <pane ySplit="1" topLeftCell="A2" activePane="bottomLeft" state="frozen"/>
      <selection pane="bottomLeft" activeCell="A2" sqref="A2"/>
    </sheetView>
  </sheetViews>
  <sheetFormatPr baseColWidth="8" defaultRowHeight="15"/>
  <cols>
    <col width="18" customWidth="1" min="1" max="1"/>
    <col width="24" customWidth="1" min="2" max="2"/>
    <col width="30" customWidth="1" min="3" max="3"/>
    <col width="72" customWidth="1" min="4" max="4"/>
    <col width="18" customWidth="1" min="5" max="5"/>
    <col width="12" customWidth="1" min="6" max="6"/>
    <col width="20" customWidth="1" min="7" max="7"/>
    <col width="12" customWidth="1" min="8" max="8"/>
    <col width="48" customWidth="1" min="9" max="9"/>
    <col width="20" customWidth="1" min="10" max="10"/>
  </cols>
  <sheetData>
    <row r="1" ht="22" customHeight="1">
      <c r="A1" s="1" t="inlineStr">
        <is>
          <t>CriterionID</t>
        </is>
      </c>
      <c r="B1" s="1" t="inlineStr">
        <is>
          <t>Category</t>
        </is>
      </c>
      <c r="C1" s="1" t="inlineStr">
        <is>
          <t>Name</t>
        </is>
      </c>
      <c r="D1" s="1" t="inlineStr">
        <is>
          <t>Description</t>
        </is>
      </c>
      <c r="E1" s="1" t="inlineStr">
        <is>
          <t>Type</t>
        </is>
      </c>
      <c r="F1" s="1" t="inlineStr">
        <is>
          <t>Weight</t>
        </is>
      </c>
      <c r="G1" s="1" t="inlineStr">
        <is>
          <t>HardRequirement</t>
        </is>
      </c>
      <c r="H1" s="1" t="inlineStr">
        <is>
          <t>Active</t>
        </is>
      </c>
      <c r="I1" s="1" t="inlineStr">
        <is>
          <t>Notes</t>
        </is>
      </c>
      <c r="J1" s="1" t="inlineStr">
        <is>
          <t>FrameworkVersion</t>
        </is>
      </c>
    </row>
    <row r="2">
      <c r="A2" t="inlineStr">
        <is>
          <t>M001</t>
        </is>
      </c>
      <c r="B2" t="inlineStr">
        <is>
          <t>Hard requirement</t>
        </is>
      </c>
      <c r="C2" t="inlineStr">
        <is>
          <t>Elbil</t>
        </is>
      </c>
      <c r="D2" t="inlineStr">
        <is>
          <t>Kun helelektriske biler vurderes.</t>
        </is>
      </c>
      <c r="E2" t="inlineStr">
        <is>
          <t>HARD</t>
        </is>
      </c>
      <c r="F2" t="inlineStr">
        <is>
          <t>0</t>
        </is>
      </c>
      <c r="G2" t="inlineStr">
        <is>
          <t>TRUE</t>
        </is>
      </c>
      <c r="H2" t="inlineStr">
        <is>
          <t>TRUE</t>
        </is>
      </c>
      <c r="J2" t="inlineStr">
        <is>
          <t>1.0</t>
        </is>
      </c>
    </row>
    <row r="3">
      <c r="A3" t="inlineStr">
        <is>
          <t>M002</t>
        </is>
      </c>
      <c r="B3" t="inlineStr">
        <is>
          <t>Hard requirement</t>
        </is>
      </c>
      <c r="C3" t="inlineStr">
        <is>
          <t>Lengde ≤ 4500 mm</t>
        </is>
      </c>
      <c r="D3" t="inlineStr">
        <is>
          <t>Garasjekrav. Oppgitt total lengde må være 4500 mm eller lavere.</t>
        </is>
      </c>
      <c r="E3" t="inlineStr">
        <is>
          <t>HARD</t>
        </is>
      </c>
      <c r="F3" t="inlineStr">
        <is>
          <t>0</t>
        </is>
      </c>
      <c r="G3" t="inlineStr">
        <is>
          <t>TRUE</t>
        </is>
      </c>
      <c r="H3" t="inlineStr">
        <is>
          <t>TRUE</t>
        </is>
      </c>
      <c r="J3" t="inlineStr">
        <is>
          <t>1.0</t>
        </is>
      </c>
    </row>
    <row r="4">
      <c r="A4" t="inlineStr">
        <is>
          <t>M003</t>
        </is>
      </c>
      <c r="B4" t="inlineStr">
        <is>
          <t>Hard requirement</t>
        </is>
      </c>
      <c r="C4" t="inlineStr">
        <is>
          <t>300 km vinter motorvei</t>
        </is>
      </c>
      <c r="D4" t="inlineStr">
        <is>
          <t>Funksjonskrav: Oslo–Grimstad/E18 vinter uten praktisk rekkeviddebekymring.</t>
        </is>
      </c>
      <c r="E4" t="inlineStr">
        <is>
          <t>HARD</t>
        </is>
      </c>
      <c r="F4" t="inlineStr">
        <is>
          <t>0</t>
        </is>
      </c>
      <c r="G4" t="inlineStr">
        <is>
          <t>TRUE</t>
        </is>
      </c>
      <c r="H4" t="inlineStr">
        <is>
          <t>TRUE</t>
        </is>
      </c>
      <c r="J4" t="inlineStr">
        <is>
          <t>1.0</t>
        </is>
      </c>
    </row>
    <row r="5">
      <c r="A5" t="inlineStr">
        <is>
          <t>M004</t>
        </is>
      </c>
      <c r="B5" t="inlineStr">
        <is>
          <t>Hard requirement</t>
        </is>
      </c>
      <c r="C5" t="inlineStr">
        <is>
          <t>Adaptiv cruisekontroll</t>
        </is>
      </c>
      <c r="D5" t="inlineStr">
        <is>
          <t>Rio mangler dette; sentralt for oppgradering.</t>
        </is>
      </c>
      <c r="E5" t="inlineStr">
        <is>
          <t>HARD</t>
        </is>
      </c>
      <c r="F5" t="inlineStr">
        <is>
          <t>0</t>
        </is>
      </c>
      <c r="G5" t="inlineStr">
        <is>
          <t>TRUE</t>
        </is>
      </c>
      <c r="H5" t="inlineStr">
        <is>
          <t>TRUE</t>
        </is>
      </c>
      <c r="J5" t="inlineStr">
        <is>
          <t>1.0</t>
        </is>
      </c>
    </row>
    <row r="6">
      <c r="A6" t="inlineStr">
        <is>
          <t>M005</t>
        </is>
      </c>
      <c r="B6" t="inlineStr">
        <is>
          <t>Hard requirement</t>
        </is>
      </c>
      <c r="C6" t="inlineStr">
        <is>
          <t>Ryggekamera eller bedre</t>
        </is>
      </c>
      <c r="D6" t="inlineStr">
        <is>
          <t>Minimum parkeringskamera. 360-kamera scores i teknologi/utstyr.</t>
        </is>
      </c>
      <c r="E6" t="inlineStr">
        <is>
          <t>HARD</t>
        </is>
      </c>
      <c r="F6" t="inlineStr">
        <is>
          <t>0</t>
        </is>
      </c>
      <c r="G6" t="inlineStr">
        <is>
          <t>TRUE</t>
        </is>
      </c>
      <c r="H6" t="inlineStr">
        <is>
          <t>TRUE</t>
        </is>
      </c>
      <c r="J6" t="inlineStr">
        <is>
          <t>1.0</t>
        </is>
      </c>
    </row>
    <row r="7">
      <c r="A7" t="inlineStr">
        <is>
          <t>W001</t>
        </is>
      </c>
      <c r="B7" t="inlineStr">
        <is>
          <t>Kjøreopplevelse</t>
        </is>
      </c>
      <c r="C7" t="inlineStr">
        <is>
          <t>Kupéstøy i motorveifart</t>
        </is>
      </c>
      <c r="D7" t="inlineStr">
        <is>
          <t>Vektlegger stille kupé tungt, særlig vinter/motorvei.</t>
        </is>
      </c>
      <c r="E7" t="inlineStr">
        <is>
          <t>WEIGHTED</t>
        </is>
      </c>
      <c r="F7" t="inlineStr">
        <is>
          <t>8</t>
        </is>
      </c>
      <c r="G7" t="inlineStr">
        <is>
          <t>FALSE</t>
        </is>
      </c>
      <c r="H7" t="inlineStr">
        <is>
          <t>TRUE</t>
        </is>
      </c>
      <c r="J7" t="inlineStr">
        <is>
          <t>1.0</t>
        </is>
      </c>
    </row>
    <row r="8">
      <c r="A8" t="inlineStr">
        <is>
          <t>W002</t>
        </is>
      </c>
      <c r="B8" t="inlineStr">
        <is>
          <t>Kjøreopplevelse</t>
        </is>
      </c>
      <c r="C8" t="inlineStr">
        <is>
          <t>Komfort/fjæring/seter</t>
        </is>
      </c>
      <c r="D8" t="inlineStr">
        <is>
          <t>Komfort over sportslighet.</t>
        </is>
      </c>
      <c r="E8" t="inlineStr">
        <is>
          <t>WEIGHTED</t>
        </is>
      </c>
      <c r="F8" t="inlineStr">
        <is>
          <t>7</t>
        </is>
      </c>
      <c r="G8" t="inlineStr">
        <is>
          <t>FALSE</t>
        </is>
      </c>
      <c r="H8" t="inlineStr">
        <is>
          <t>TRUE</t>
        </is>
      </c>
      <c r="J8" t="inlineStr">
        <is>
          <t>1.0</t>
        </is>
      </c>
    </row>
    <row r="9">
      <c r="A9" t="inlineStr">
        <is>
          <t>W003</t>
        </is>
      </c>
      <c r="B9" t="inlineStr">
        <is>
          <t>Kjøreopplevelse</t>
        </is>
      </c>
      <c r="C9" t="inlineStr">
        <is>
          <t>Sikt og manøvrering</t>
        </is>
      </c>
      <c r="D9" t="inlineStr">
        <is>
          <t>God sikt og enkel parkering i hverdagen.</t>
        </is>
      </c>
      <c r="E9" t="inlineStr">
        <is>
          <t>WEIGHTED</t>
        </is>
      </c>
      <c r="F9" t="inlineStr">
        <is>
          <t>5</t>
        </is>
      </c>
      <c r="G9" t="inlineStr">
        <is>
          <t>FALSE</t>
        </is>
      </c>
      <c r="H9" t="inlineStr">
        <is>
          <t>TRUE</t>
        </is>
      </c>
      <c r="J9" t="inlineStr">
        <is>
          <t>1.0</t>
        </is>
      </c>
    </row>
    <row r="10">
      <c r="A10" t="inlineStr">
        <is>
          <t>W004</t>
        </is>
      </c>
      <c r="B10" t="inlineStr">
        <is>
          <t>Kjøreopplevelse</t>
        </is>
      </c>
      <c r="C10" t="inlineStr">
        <is>
          <t>Presis styring/kontrollfølelse</t>
        </is>
      </c>
      <c r="D10" t="inlineStr">
        <is>
          <t>Presis, trygg og forutsigbar styring, ikke rå sportslighet.</t>
        </is>
      </c>
      <c r="E10" t="inlineStr">
        <is>
          <t>WEIGHTED</t>
        </is>
      </c>
      <c r="F10" t="inlineStr">
        <is>
          <t>5</t>
        </is>
      </c>
      <c r="G10" t="inlineStr">
        <is>
          <t>FALSE</t>
        </is>
      </c>
      <c r="H10" t="inlineStr">
        <is>
          <t>TRUE</t>
        </is>
      </c>
      <c r="J10" t="inlineStr">
        <is>
          <t>1.0</t>
        </is>
      </c>
    </row>
    <row r="11">
      <c r="A11" t="inlineStr">
        <is>
          <t>W005</t>
        </is>
      </c>
      <c r="B11" t="inlineStr">
        <is>
          <t>Teknologi</t>
        </is>
      </c>
      <c r="C11" t="inlineStr">
        <is>
          <t>Programvare/infotainment kvalitet</t>
        </is>
      </c>
      <c r="D11" t="inlineStr">
        <is>
          <t>Dersom programvare må betjenes, skal den føles bra.</t>
        </is>
      </c>
      <c r="E11" t="inlineStr">
        <is>
          <t>WEIGHTED</t>
        </is>
      </c>
      <c r="F11" t="inlineStr">
        <is>
          <t>7</t>
        </is>
      </c>
      <c r="G11" t="inlineStr">
        <is>
          <t>FALSE</t>
        </is>
      </c>
      <c r="H11" t="inlineStr">
        <is>
          <t>TRUE</t>
        </is>
      </c>
      <c r="J11" t="inlineStr">
        <is>
          <t>1.0</t>
        </is>
      </c>
    </row>
    <row r="12">
      <c r="A12" t="inlineStr">
        <is>
          <t>W006</t>
        </is>
      </c>
      <c r="B12" t="inlineStr">
        <is>
          <t>Teknologi</t>
        </is>
      </c>
      <c r="C12" t="inlineStr">
        <is>
          <t>OTA/fremtidssikring</t>
        </is>
      </c>
      <c r="D12" t="inlineStr">
        <is>
          <t>Viktig for 8–10 års eierhorisont.</t>
        </is>
      </c>
      <c r="E12" t="inlineStr">
        <is>
          <t>WEIGHTED</t>
        </is>
      </c>
      <c r="F12" t="inlineStr">
        <is>
          <t>4</t>
        </is>
      </c>
      <c r="G12" t="inlineStr">
        <is>
          <t>FALSE</t>
        </is>
      </c>
      <c r="H12" t="inlineStr">
        <is>
          <t>TRUE</t>
        </is>
      </c>
      <c r="J12" t="inlineStr">
        <is>
          <t>1.0</t>
        </is>
      </c>
    </row>
    <row r="13">
      <c r="A13" t="inlineStr">
        <is>
          <t>W007</t>
        </is>
      </c>
      <c r="B13" t="inlineStr">
        <is>
          <t>Teknologi</t>
        </is>
      </c>
      <c r="C13" t="inlineStr">
        <is>
          <t>Apple CarPlay/integrasjon</t>
        </is>
      </c>
      <c r="D13" t="inlineStr">
        <is>
          <t>CarPlay og mobilintegrasjon vektlegges.</t>
        </is>
      </c>
      <c r="E13" t="inlineStr">
        <is>
          <t>WEIGHTED</t>
        </is>
      </c>
      <c r="F13" t="inlineStr">
        <is>
          <t>3</t>
        </is>
      </c>
      <c r="G13" t="inlineStr">
        <is>
          <t>FALSE</t>
        </is>
      </c>
      <c r="H13" t="inlineStr">
        <is>
          <t>TRUE</t>
        </is>
      </c>
      <c r="J13" t="inlineStr">
        <is>
          <t>1.0</t>
        </is>
      </c>
    </row>
    <row r="14">
      <c r="A14" t="inlineStr">
        <is>
          <t>W008</t>
        </is>
      </c>
      <c r="B14" t="inlineStr">
        <is>
          <t>Teknologi</t>
        </is>
      </c>
      <c r="C14" t="inlineStr">
        <is>
          <t>Førerassistenter kvalitet</t>
        </is>
      </c>
      <c r="D14" t="inlineStr">
        <is>
          <t>ACC/lane centering må fungere godt, ikke bare finnes.</t>
        </is>
      </c>
      <c r="E14" t="inlineStr">
        <is>
          <t>WEIGHTED</t>
        </is>
      </c>
      <c r="F14" t="inlineStr">
        <is>
          <t>5</t>
        </is>
      </c>
      <c r="G14" t="inlineStr">
        <is>
          <t>FALSE</t>
        </is>
      </c>
      <c r="H14" t="inlineStr">
        <is>
          <t>TRUE</t>
        </is>
      </c>
      <c r="J14" t="inlineStr">
        <is>
          <t>1.0</t>
        </is>
      </c>
    </row>
    <row r="15">
      <c r="A15" t="inlineStr">
        <is>
          <t>W009</t>
        </is>
      </c>
      <c r="B15" t="inlineStr">
        <is>
          <t>Teknologi</t>
        </is>
      </c>
      <c r="C15" t="inlineStr">
        <is>
          <t>Kamera/parkering</t>
        </is>
      </c>
      <c r="D15" t="inlineStr">
        <is>
          <t>360-kamera gir ekstra verdi, særlig i garasje/parkering.</t>
        </is>
      </c>
      <c r="E15" t="inlineStr">
        <is>
          <t>WEIGHTED</t>
        </is>
      </c>
      <c r="F15" t="inlineStr">
        <is>
          <t>3</t>
        </is>
      </c>
      <c r="G15" t="inlineStr">
        <is>
          <t>FALSE</t>
        </is>
      </c>
      <c r="H15" t="inlineStr">
        <is>
          <t>TRUE</t>
        </is>
      </c>
      <c r="J15" t="inlineStr">
        <is>
          <t>1.0</t>
        </is>
      </c>
    </row>
    <row r="16">
      <c r="A16" t="inlineStr">
        <is>
          <t>W010</t>
        </is>
      </c>
      <c r="B16" t="inlineStr">
        <is>
          <t>Opplevd kvalitet</t>
        </is>
      </c>
      <c r="C16" t="inlineStr">
        <is>
          <t>Materialkvalitet</t>
        </is>
      </c>
      <c r="D16" t="inlineStr">
        <is>
          <t>Mindre B-segment-kompromiss og mindre hardplast-følelse.</t>
        </is>
      </c>
      <c r="E16" t="inlineStr">
        <is>
          <t>WEIGHTED</t>
        </is>
      </c>
      <c r="F16" t="inlineStr">
        <is>
          <t>5</t>
        </is>
      </c>
      <c r="G16" t="inlineStr">
        <is>
          <t>FALSE</t>
        </is>
      </c>
      <c r="H16" t="inlineStr">
        <is>
          <t>TRUE</t>
        </is>
      </c>
      <c r="J16" t="inlineStr">
        <is>
          <t>1.0</t>
        </is>
      </c>
    </row>
    <row r="17">
      <c r="A17" t="inlineStr">
        <is>
          <t>W011</t>
        </is>
      </c>
      <c r="B17" t="inlineStr">
        <is>
          <t>Opplevd kvalitet</t>
        </is>
      </c>
      <c r="C17" t="inlineStr">
        <is>
          <t>Byggekvalitet/knirk</t>
        </is>
      </c>
      <c r="D17" t="inlineStr">
        <is>
          <t>Solid og rolig inntrykk over tid.</t>
        </is>
      </c>
      <c r="E17" t="inlineStr">
        <is>
          <t>WEIGHTED</t>
        </is>
      </c>
      <c r="F17" t="inlineStr">
        <is>
          <t>5</t>
        </is>
      </c>
      <c r="G17" t="inlineStr">
        <is>
          <t>FALSE</t>
        </is>
      </c>
      <c r="H17" t="inlineStr">
        <is>
          <t>TRUE</t>
        </is>
      </c>
      <c r="J17" t="inlineStr">
        <is>
          <t>1.0</t>
        </is>
      </c>
    </row>
    <row r="18">
      <c r="A18" t="inlineStr">
        <is>
          <t>W012</t>
        </is>
      </c>
      <c r="B18" t="inlineStr">
        <is>
          <t>Opplevd kvalitet</t>
        </is>
      </c>
      <c r="C18" t="inlineStr">
        <is>
          <t>Ergonomi/førermiljø</t>
        </is>
      </c>
      <c r="D18" t="inlineStr">
        <is>
          <t>Førermiljøet skal være et tydelig steg opp fra Kia Rio.</t>
        </is>
      </c>
      <c r="E18" t="inlineStr">
        <is>
          <t>WEIGHTED</t>
        </is>
      </c>
      <c r="F18" t="inlineStr">
        <is>
          <t>5</t>
        </is>
      </c>
      <c r="G18" t="inlineStr">
        <is>
          <t>FALSE</t>
        </is>
      </c>
      <c r="H18" t="inlineStr">
        <is>
          <t>TRUE</t>
        </is>
      </c>
      <c r="J18" t="inlineStr">
        <is>
          <t>1.0</t>
        </is>
      </c>
    </row>
    <row r="19">
      <c r="A19" t="inlineStr">
        <is>
          <t>W013</t>
        </is>
      </c>
      <c r="B19" t="inlineStr">
        <is>
          <t>Opplevd kvalitet</t>
        </is>
      </c>
      <c r="C19" t="inlineStr">
        <is>
          <t>Betjeningskvalitet</t>
        </is>
      </c>
      <c r="D19" t="inlineStr">
        <is>
          <t>Knapper/hendler/skjerm skal oppleves gjennomtenkt.</t>
        </is>
      </c>
      <c r="E19" t="inlineStr">
        <is>
          <t>WEIGHTED</t>
        </is>
      </c>
      <c r="F19" t="inlineStr">
        <is>
          <t>3</t>
        </is>
      </c>
      <c r="G19" t="inlineStr">
        <is>
          <t>FALSE</t>
        </is>
      </c>
      <c r="H19" t="inlineStr">
        <is>
          <t>TRUE</t>
        </is>
      </c>
      <c r="J19" t="inlineStr">
        <is>
          <t>1.0</t>
        </is>
      </c>
    </row>
    <row r="20">
      <c r="A20" t="inlineStr">
        <is>
          <t>W014</t>
        </is>
      </c>
      <c r="B20" t="inlineStr">
        <is>
          <t>Langtidseierskap</t>
        </is>
      </c>
      <c r="C20" t="inlineStr">
        <is>
          <t>Produsent-/modellrisiko</t>
        </is>
      </c>
      <c r="D20" t="inlineStr">
        <is>
          <t>Konservativ vurdering for nye produsenter og kort historikk i Norden.</t>
        </is>
      </c>
      <c r="E20" t="inlineStr">
        <is>
          <t>WEIGHTED</t>
        </is>
      </c>
      <c r="F20" t="inlineStr">
        <is>
          <t>6</t>
        </is>
      </c>
      <c r="G20" t="inlineStr">
        <is>
          <t>FALSE</t>
        </is>
      </c>
      <c r="H20" t="inlineStr">
        <is>
          <t>TRUE</t>
        </is>
      </c>
      <c r="J20" t="inlineStr">
        <is>
          <t>1.0</t>
        </is>
      </c>
    </row>
    <row r="21">
      <c r="A21" t="inlineStr">
        <is>
          <t>W015</t>
        </is>
      </c>
      <c r="B21" t="inlineStr">
        <is>
          <t>Langtidseierskap</t>
        </is>
      </c>
      <c r="C21" t="inlineStr">
        <is>
          <t>Garanti/serviceapparat</t>
        </is>
      </c>
      <c r="D21" t="inlineStr">
        <is>
          <t>Garantivilkår og serviceapparat i Norge/Norden.</t>
        </is>
      </c>
      <c r="E21" t="inlineStr">
        <is>
          <t>WEIGHTED</t>
        </is>
      </c>
      <c r="F21" t="inlineStr">
        <is>
          <t>5</t>
        </is>
      </c>
      <c r="G21" t="inlineStr">
        <is>
          <t>FALSE</t>
        </is>
      </c>
      <c r="H21" t="inlineStr">
        <is>
          <t>TRUE</t>
        </is>
      </c>
      <c r="J21" t="inlineStr">
        <is>
          <t>1.0</t>
        </is>
      </c>
    </row>
    <row r="22">
      <c r="A22" t="inlineStr">
        <is>
          <t>W016</t>
        </is>
      </c>
      <c r="B22" t="inlineStr">
        <is>
          <t>Langtidseierskap</t>
        </is>
      </c>
      <c r="C22" t="inlineStr">
        <is>
          <t>Nordisk modenhet</t>
        </is>
      </c>
      <c r="D22" t="inlineStr">
        <is>
          <t>Dokumentert funksjon i nordisk klima over tid.</t>
        </is>
      </c>
      <c r="E22" t="inlineStr">
        <is>
          <t>WEIGHTED</t>
        </is>
      </c>
      <c r="F22" t="inlineStr">
        <is>
          <t>4</t>
        </is>
      </c>
      <c r="G22" t="inlineStr">
        <is>
          <t>FALSE</t>
        </is>
      </c>
      <c r="H22" t="inlineStr">
        <is>
          <t>TRUE</t>
        </is>
      </c>
      <c r="J22" t="inlineStr">
        <is>
          <t>1.0</t>
        </is>
      </c>
    </row>
    <row r="23">
      <c r="A23" t="inlineStr">
        <is>
          <t>W017</t>
        </is>
      </c>
      <c r="B23" t="inlineStr">
        <is>
          <t>Økonomi</t>
        </is>
      </c>
      <c r="C23" t="inlineStr">
        <is>
          <t>Pris/verdi</t>
        </is>
      </c>
      <c r="D23" t="inlineStr">
        <is>
          <t>Ikke lavest pris, men om merkostnad forsvares.</t>
        </is>
      </c>
      <c r="E23" t="inlineStr">
        <is>
          <t>WEIGHTED</t>
        </is>
      </c>
      <c r="F23" t="inlineStr">
        <is>
          <t>10</t>
        </is>
      </c>
      <c r="G23" t="inlineStr">
        <is>
          <t>FALSE</t>
        </is>
      </c>
      <c r="H23" t="inlineStr">
        <is>
          <t>TRUE</t>
        </is>
      </c>
      <c r="J23" t="inlineStr">
        <is>
          <t>1.0</t>
        </is>
      </c>
    </row>
    <row r="24">
      <c r="A24" t="inlineStr">
        <is>
          <t>W018</t>
        </is>
      </c>
      <c r="B24" t="inlineStr">
        <is>
          <t>Praktisk bruk</t>
        </is>
      </c>
      <c r="C24" t="inlineStr">
        <is>
          <t>Plass/bagasje/hverdagsnytte</t>
        </is>
      </c>
      <c r="D24" t="inlineStr">
        <is>
          <t>Familiens hovedbil, men begrenset årlig kjørelengde.</t>
        </is>
      </c>
      <c r="E24" t="inlineStr">
        <is>
          <t>WEIGHTED</t>
        </is>
      </c>
      <c r="F24" t="inlineStr">
        <is>
          <t>5</t>
        </is>
      </c>
      <c r="G24" t="inlineStr">
        <is>
          <t>FALSE</t>
        </is>
      </c>
      <c r="H24" t="inlineStr">
        <is>
          <t>TRUE</t>
        </is>
      </c>
      <c r="J24" t="inlineStr">
        <is>
          <t>1.0</t>
        </is>
      </c>
    </row>
    <row r="25">
      <c r="A25" t="inlineStr">
        <is>
          <t>W019</t>
        </is>
      </c>
      <c r="B25" t="inlineStr">
        <is>
          <t>Garasje</t>
        </is>
      </c>
      <c r="C25" t="inlineStr">
        <is>
          <t>Garasjevennlighet utover maksgrensen</t>
        </is>
      </c>
      <c r="D25" t="inlineStr">
        <is>
          <t>Kortere enn 4500 mm gir praktisk margin over tid.</t>
        </is>
      </c>
      <c r="E25" t="inlineStr">
        <is>
          <t>WEIGHTED</t>
        </is>
      </c>
      <c r="F25" t="inlineStr">
        <is>
          <t>3</t>
        </is>
      </c>
      <c r="G25" t="inlineStr">
        <is>
          <t>FALSE</t>
        </is>
      </c>
      <c r="H25" t="inlineStr">
        <is>
          <t>TRUE</t>
        </is>
      </c>
      <c r="J25" t="inlineStr">
        <is>
          <t>1.0</t>
        </is>
      </c>
    </row>
    <row r="26">
      <c r="A26" t="inlineStr">
        <is>
          <t>W020</t>
        </is>
      </c>
      <c r="B26" t="inlineStr">
        <is>
          <t>Rekkevidde/lading</t>
        </is>
      </c>
      <c r="C26" t="inlineStr">
        <is>
          <t>Ladeegenskaper utover minimum</t>
        </is>
      </c>
      <c r="D26" t="inlineStr">
        <is>
          <t>Ladehastighet er nyttig, men ikke toppprioritet ved 8000 km/år.</t>
        </is>
      </c>
      <c r="E26" t="inlineStr">
        <is>
          <t>WEIGHTED</t>
        </is>
      </c>
      <c r="F26" t="inlineStr">
        <is>
          <t>2</t>
        </is>
      </c>
      <c r="G26" t="inlineStr">
        <is>
          <t>FALSE</t>
        </is>
      </c>
      <c r="H26" t="inlineStr">
        <is>
          <t>TRUE</t>
        </is>
      </c>
      <c r="J26" t="inlineStr">
        <is>
          <t>1.0</t>
        </is>
      </c>
    </row>
    <row r="27">
      <c r="A27" t="inlineStr">
        <is>
          <t>I001</t>
        </is>
      </c>
      <c r="B27" t="inlineStr">
        <is>
          <t>Ikke målt</t>
        </is>
      </c>
      <c r="C27" t="inlineStr">
        <is>
          <t>0–100 km/t</t>
        </is>
      </c>
      <c r="D27" t="inlineStr">
        <is>
          <t>Dokumenteres eventuelt, men påvirker ikke score.</t>
        </is>
      </c>
      <c r="E27" t="inlineStr">
        <is>
          <t>INFORMATIONAL</t>
        </is>
      </c>
      <c r="F27" t="inlineStr">
        <is>
          <t>0</t>
        </is>
      </c>
      <c r="G27" t="inlineStr">
        <is>
          <t>FALSE</t>
        </is>
      </c>
      <c r="H27" t="inlineStr">
        <is>
          <t>TRUE</t>
        </is>
      </c>
      <c r="J27" t="inlineStr">
        <is>
          <t>1.0</t>
        </is>
      </c>
    </row>
    <row r="28">
      <c r="A28" t="inlineStr">
        <is>
          <t>I002</t>
        </is>
      </c>
      <c r="B28" t="inlineStr">
        <is>
          <t>Ikke målt</t>
        </is>
      </c>
      <c r="C28" t="inlineStr">
        <is>
          <t>Toppfart</t>
        </is>
      </c>
      <c r="D28" t="inlineStr">
        <is>
          <t>Dokumenteres eventuelt, men påvirker ikke score.</t>
        </is>
      </c>
      <c r="E28" t="inlineStr">
        <is>
          <t>INFORMATIONAL</t>
        </is>
      </c>
      <c r="F28" t="inlineStr">
        <is>
          <t>0</t>
        </is>
      </c>
      <c r="G28" t="inlineStr">
        <is>
          <t>FALSE</t>
        </is>
      </c>
      <c r="H28" t="inlineStr">
        <is>
          <t>TRUE</t>
        </is>
      </c>
      <c r="J28" t="inlineStr">
        <is>
          <t>1.0</t>
        </is>
      </c>
    </row>
    <row r="29">
      <c r="A29" t="inlineStr">
        <is>
          <t>I003</t>
        </is>
      </c>
      <c r="B29" t="inlineStr">
        <is>
          <t>Ikke målt</t>
        </is>
      </c>
      <c r="C29" t="inlineStr">
        <is>
          <t>Antall skjermer</t>
        </is>
      </c>
      <c r="D29" t="inlineStr">
        <is>
          <t>Antall skjermer er beslutningsstøy.</t>
        </is>
      </c>
      <c r="E29" t="inlineStr">
        <is>
          <t>INFORMATIONAL</t>
        </is>
      </c>
      <c r="F29" t="inlineStr">
        <is>
          <t>0</t>
        </is>
      </c>
      <c r="G29" t="inlineStr">
        <is>
          <t>FALSE</t>
        </is>
      </c>
      <c r="H29" t="inlineStr">
        <is>
          <t>TRUE</t>
        </is>
      </c>
      <c r="J29" t="inlineStr">
        <is>
          <t>1.0</t>
        </is>
      </c>
    </row>
    <row r="30">
      <c r="A30" t="inlineStr">
        <is>
          <t>I004</t>
        </is>
      </c>
      <c r="B30" t="inlineStr">
        <is>
          <t>Ikke målt</t>
        </is>
      </c>
      <c r="C30" t="inlineStr">
        <is>
          <t>Wow-faktor / hype</t>
        </is>
      </c>
      <c r="D30" t="inlineStr">
        <is>
          <t>Skal ikke drive beslutningen.</t>
        </is>
      </c>
      <c r="E30" t="inlineStr">
        <is>
          <t>INFORMATIONAL</t>
        </is>
      </c>
      <c r="F30" t="inlineStr">
        <is>
          <t>0</t>
        </is>
      </c>
      <c r="G30" t="inlineStr">
        <is>
          <t>FALSE</t>
        </is>
      </c>
      <c r="H30" t="inlineStr">
        <is>
          <t>TRUE</t>
        </is>
      </c>
      <c r="J30" t="inlineStr">
        <is>
          <t>1.0</t>
        </is>
      </c>
    </row>
  </sheetData>
  <autoFilter ref="A1:J30"/>
  <dataValidations count="3">
    <dataValidation sqref="E2:E1048576" showDropDown="0" showInputMessage="0" showErrorMessage="1" allowBlank="1" type="list">
      <formula1>Enum_RequirementType</formula1>
    </dataValidation>
    <dataValidation sqref="G2:G1048576" showDropDown="0" showInputMessage="0" showErrorMessage="1" allowBlank="1" type="list">
      <formula1>Validation_Boolean</formula1>
    </dataValidation>
    <dataValidation sqref="H2:H1048576" showDropDown="0" showInputMessage="0" showErrorMessage="1" allowBlank="1" type="list">
      <formula1>Validation_Boolean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6"/>
  <sheetViews>
    <sheetView showGridLines="1" workbookViewId="0">
      <pane ySplit="1" topLeftCell="A2" activePane="bottomLeft" state="frozen"/>
      <selection pane="bottomLeft" activeCell="A2" sqref="A2"/>
    </sheetView>
  </sheetViews>
  <sheetFormatPr baseColWidth="8" defaultRowHeight="15"/>
  <cols>
    <col width="22" customWidth="1" min="1" max="1"/>
    <col width="18" customWidth="1" min="2" max="2"/>
    <col width="24" customWidth="1" min="3" max="3"/>
    <col width="14" customWidth="1" min="4" max="4"/>
    <col width="24" customWidth="1" min="5" max="5"/>
    <col width="18" customWidth="1" min="6" max="6"/>
    <col width="60" customWidth="1" min="7" max="7"/>
  </cols>
  <sheetData>
    <row r="1" ht="22" customHeight="1">
      <c r="A1" s="1" t="inlineStr">
        <is>
          <t>VehicleID</t>
        </is>
      </c>
      <c r="B1" s="1" t="inlineStr">
        <is>
          <t>Manufacturer</t>
        </is>
      </c>
      <c r="C1" s="1" t="inlineStr">
        <is>
          <t>Model</t>
        </is>
      </c>
      <c r="D1" s="1" t="inlineStr">
        <is>
          <t>ModelYear</t>
        </is>
      </c>
      <c r="E1" s="1" t="inlineStr">
        <is>
          <t>Platform</t>
        </is>
      </c>
      <c r="F1" s="1" t="inlineStr">
        <is>
          <t>Status</t>
        </is>
      </c>
      <c r="G1" s="1" t="inlineStr">
        <is>
          <t>Notes</t>
        </is>
      </c>
    </row>
    <row r="2">
      <c r="A2" t="inlineStr">
        <is>
          <t>KIA_EV2</t>
        </is>
      </c>
      <c r="B2" t="inlineStr">
        <is>
          <t>Kia</t>
        </is>
      </c>
      <c r="C2" t="inlineStr">
        <is>
          <t>EV2</t>
        </is>
      </c>
      <c r="D2" t="inlineStr">
        <is>
          <t>UNKNOWN</t>
        </is>
      </c>
      <c r="E2" t="inlineStr">
        <is>
          <t>UNKNOWN</t>
        </is>
      </c>
      <c r="F2" t="inlineStr">
        <is>
          <t>AVAILABLE</t>
        </is>
      </c>
      <c r="G2" t="inlineStr">
        <is>
          <t>Official dealer sales quote from Bertel O. Steen Lorenskog (authorized Kia dealer), quote valid to 2026-07-12, reviewed 2026-07-06 - supersedes the earlier "not listed on Kia Norway model list" observation with concrete, dated transactional evidence of market availability. Configuration: EV2 FWD Long Range GT Line, 135 hk, forhjulsdrift. No battery capacity, WLTP range, charging power, or dimensions were stated anywhere in the quote document.</t>
        </is>
      </c>
    </row>
    <row r="3">
      <c r="A3" t="inlineStr">
        <is>
          <t>TESLA_MODEL_3</t>
        </is>
      </c>
      <c r="B3" t="inlineStr">
        <is>
          <t>Tesla</t>
        </is>
      </c>
      <c r="C3" t="inlineStr">
        <is>
          <t>Model 3</t>
        </is>
      </c>
      <c r="D3" t="inlineStr">
        <is>
          <t>UNKNOWN</t>
        </is>
      </c>
      <c r="E3" t="inlineStr">
        <is>
          <t>UNKNOWN</t>
        </is>
      </c>
      <c r="F3" t="inlineStr">
        <is>
          <t>AVAILABLE</t>
        </is>
      </c>
      <c r="G3" t="inlineStr">
        <is>
          <t>Tesla Norway Model 3 page reviewed 2026-07-06: https://www.tesla.com/no_no/model3; model year and platform not specified in workbook-supported source fields.</t>
        </is>
      </c>
    </row>
    <row r="4">
      <c r="A4" t="inlineStr">
        <is>
          <t>RENAULT_4</t>
        </is>
      </c>
      <c r="B4" t="inlineStr">
        <is>
          <t>Renault</t>
        </is>
      </c>
      <c r="C4" t="inlineStr">
        <is>
          <t>4 E-Tech Electric</t>
        </is>
      </c>
      <c r="D4" t="inlineStr">
        <is>
          <t>UNKNOWN</t>
        </is>
      </c>
      <c r="E4" t="inlineStr">
        <is>
          <t>UNKNOWN</t>
        </is>
      </c>
      <c r="F4" t="inlineStr">
        <is>
          <t>AVAILABLE</t>
        </is>
      </c>
      <c r="G4" t="inlineStr">
        <is>
          <t>Renault Norway product page and official price list (Versjon 2, 01-06-2026) reviewed 2026-07-06: https://www.renault.no/personbil/renault-4-e-tech-electric. Model year not specified in workbook-supported source fields.</t>
        </is>
      </c>
    </row>
    <row r="5">
      <c r="A5" t="inlineStr">
        <is>
          <t>SKODA_ELROQ</t>
        </is>
      </c>
      <c r="B5" t="inlineStr">
        <is>
          <t>Škoda</t>
        </is>
      </c>
      <c r="C5" t="inlineStr">
        <is>
          <t>Elroq</t>
        </is>
      </c>
      <c r="D5" t="inlineStr">
        <is>
          <t>UNKNOWN</t>
        </is>
      </c>
      <c r="E5" t="inlineStr">
        <is>
          <t>UNKNOWN</t>
        </is>
      </c>
      <c r="F5" t="inlineStr">
        <is>
          <t>AVAILABLE</t>
        </is>
      </c>
      <c r="G5" t="inlineStr">
        <is>
          <t>Skoda Norway product page and official 2027-model price list (29.06.2026) reviewed 2026-07-06: https://www.skoda-auto.no/modeller/elroq/elroq. Platform not specified in workbook-supported source fields. Length (4488mm) sourced from global technical data sheet (5.5.2025) - see SRC_SKODA_GLOBAL_TECHDATA notes on model-year cross-source discrepancy.</t>
        </is>
      </c>
    </row>
    <row r="6">
      <c r="A6" t="inlineStr">
        <is>
          <t>VOLVO_EX30</t>
        </is>
      </c>
      <c r="B6" t="inlineStr">
        <is>
          <t>Volvo</t>
        </is>
      </c>
      <c r="C6" t="inlineStr">
        <is>
          <t>EX30</t>
        </is>
      </c>
      <c r="D6" t="inlineStr">
        <is>
          <t>UNKNOWN</t>
        </is>
      </c>
      <c r="E6" t="inlineStr">
        <is>
          <t>UNKNOWN</t>
        </is>
      </c>
      <c r="F6" t="inlineStr">
        <is>
          <t>AVAILABLE</t>
        </is>
      </c>
      <c r="G6" t="inlineStr">
        <is>
          <t>Volvo Norway official specifications page reviewed 2026-07-06: https://www.volvocars.com/no/cars/ex30-electric/specifications/. Model year and platform not specified in workbook-supported source fields.</t>
        </is>
      </c>
    </row>
  </sheetData>
  <autoFilter ref="A1:G5"/>
  <dataValidations count="1">
    <dataValidation sqref="F2:F1048576" showDropDown="0" showInputMessage="0" showErrorMessage="1" allowBlank="1" type="list">
      <formula1>Enum_VehicleStatus</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9"/>
  <sheetViews>
    <sheetView showGridLines="1" workbookViewId="0">
      <pane ySplit="1" topLeftCell="A2" activePane="bottomLeft" state="frozen"/>
      <selection pane="bottomLeft" activeCell="A2" sqref="A2"/>
    </sheetView>
  </sheetViews>
  <sheetFormatPr baseColWidth="8" defaultRowHeight="15"/>
  <cols>
    <col width="24" customWidth="1" min="1" max="1"/>
    <col width="22" customWidth="1" min="2" max="2"/>
    <col width="12" customWidth="1" min="3" max="3"/>
    <col width="18" customWidth="1" min="4" max="4"/>
    <col width="22" customWidth="1" min="5" max="5"/>
    <col width="16" customWidth="1" min="6" max="6"/>
    <col width="18" customWidth="1" min="7" max="7"/>
    <col width="60" customWidth="1" min="8" max="8"/>
  </cols>
  <sheetData>
    <row r="1" ht="22" customHeight="1">
      <c r="A1" s="1" t="inlineStr">
        <is>
          <t>ConfigurationID</t>
        </is>
      </c>
      <c r="B1" s="1" t="inlineStr">
        <is>
          <t>VehicleID</t>
        </is>
      </c>
      <c r="C1" s="1" t="inlineStr">
        <is>
          <t>Market</t>
        </is>
      </c>
      <c r="D1" s="1" t="inlineStr">
        <is>
          <t>Status</t>
        </is>
      </c>
      <c r="E1" s="1" t="inlineStr">
        <is>
          <t>Trim</t>
        </is>
      </c>
      <c r="F1" s="1" t="inlineStr">
        <is>
          <t>BasePrice</t>
        </is>
      </c>
      <c r="G1" s="1" t="inlineStr">
        <is>
          <t>ConfiguredPrice</t>
        </is>
      </c>
      <c r="H1" s="1" t="inlineStr">
        <is>
          <t>Notes</t>
        </is>
      </c>
    </row>
    <row r="2">
      <c r="A2" t="inlineStr">
        <is>
          <t>TESLA_MODEL_3_RWD</t>
        </is>
      </c>
      <c r="B2" t="inlineStr">
        <is>
          <t>TESLA_MODEL_3</t>
        </is>
      </c>
      <c r="C2" t="inlineStr">
        <is>
          <t>NO</t>
        </is>
      </c>
      <c r="D2" t="inlineStr">
        <is>
          <t>AVAILABLE</t>
        </is>
      </c>
      <c r="E2" t="inlineStr">
        <is>
          <t>Bakhjulsdrift</t>
        </is>
      </c>
      <c r="H2" t="inlineStr">
        <is>
          <t>Tesla Norway Model 3 page reviewed 2026-07-06: https://www.tesla.com/no_no/model3; official price not exposed in accessible source content. Configuration Status recorded as AVAILABLE: trim is listed on the official Tesla Norway configurator as of the same review date (ADR-004 / IMPL-002).</t>
        </is>
      </c>
    </row>
    <row r="3">
      <c r="A3" t="inlineStr">
        <is>
          <t>TESLA_MODEL_3_LONG_RANGE_AWD</t>
        </is>
      </c>
      <c r="B3" t="inlineStr">
        <is>
          <t>TESLA_MODEL_3</t>
        </is>
      </c>
      <c r="C3" t="inlineStr">
        <is>
          <t>NO</t>
        </is>
      </c>
      <c r="D3" t="inlineStr">
        <is>
          <t>AVAILABLE</t>
        </is>
      </c>
      <c r="E3" t="inlineStr">
        <is>
          <t>Long Range firehjulsdrift</t>
        </is>
      </c>
      <c r="H3" t="inlineStr">
        <is>
          <t>Tesla Norway Model 3 page reviewed 2026-07-06: https://www.tesla.com/no_no/model3; official price not exposed in accessible source content. Configuration Status recorded as AVAILABLE: trim is listed on the official Tesla Norway configurator as of the same review date (ADR-004 / IMPL-002).</t>
        </is>
      </c>
    </row>
    <row r="4">
      <c r="A4" t="inlineStr">
        <is>
          <t>TESLA_MODEL_3_LONG_RANGE_RWD</t>
        </is>
      </c>
      <c r="B4" t="inlineStr">
        <is>
          <t>TESLA_MODEL_3</t>
        </is>
      </c>
      <c r="C4" t="inlineStr">
        <is>
          <t>NO</t>
        </is>
      </c>
      <c r="D4" t="inlineStr">
        <is>
          <t>AVAILABLE</t>
        </is>
      </c>
      <c r="E4" t="inlineStr">
        <is>
          <t>Long Range bakhjulsdrift</t>
        </is>
      </c>
      <c r="F4" t="n">
        <v>400539</v>
      </c>
      <c r="G4" t="n">
        <v>400539</v>
      </c>
      <c r="H4" t="inlineStr">
        <is>
          <t>Tesla Norway Model 3 page reviewed 2026-07-06: https://www.tesla.com/no_no/model3; official price not exposed in accessible source content. Configuration Status recorded as AVAILABLE: trim is listed on the official Tesla Norway configurator as of the same review date (ADR-004 / IMPL-002). M003 (winter highway range): Not verified. Two winter tests were found but both are unreliable matches: a 2022 test used a superseded pre-refresh Model 3 generation with a WLTP figure (614km) that matches no current trim, and a NAF winter 2025 test reports 702km WLTP (matching none of this workbook's four recorded Model 3 configurations) without specifying which trim was tested. Remains genuinely Unknown. Price verified 2026-07-06 via official Tesla Norway configurator (SRC_TESLA_NO_MODEL3_DESIGN): 400539 kr incl. VAT/fees, no optional extras selected (previously unpriced under DATA-001).</t>
        </is>
      </c>
    </row>
    <row r="5">
      <c r="A5" t="inlineStr">
        <is>
          <t>TESLA_MODEL_3_PERFORMANCE</t>
        </is>
      </c>
      <c r="B5" t="inlineStr">
        <is>
          <t>TESLA_MODEL_3</t>
        </is>
      </c>
      <c r="C5" t="inlineStr">
        <is>
          <t>NO</t>
        </is>
      </c>
      <c r="D5" t="inlineStr">
        <is>
          <t>AVAILABLE</t>
        </is>
      </c>
      <c r="E5" t="inlineStr">
        <is>
          <t>Performance</t>
        </is>
      </c>
      <c r="H5" t="inlineStr">
        <is>
          <t>Tesla Norway Model 3 page reviewed 2026-07-06: https://www.tesla.com/no_no/model3; official price not exposed in accessible source content. Configuration Status recorded as AVAILABLE: trim is listed on the official Tesla Norway configurator as of the same review date (ADR-004 / IMPL-002).</t>
        </is>
      </c>
    </row>
    <row r="6">
      <c r="A6" t="inlineStr">
        <is>
          <t>RENAULT_4_EVOLUTION_URBAN</t>
        </is>
      </c>
      <c r="B6" t="inlineStr">
        <is>
          <t>RENAULT_4</t>
        </is>
      </c>
      <c r="C6" t="inlineStr">
        <is>
          <t>NO</t>
        </is>
      </c>
      <c r="D6" t="inlineStr">
        <is>
          <t>AVAILABLE</t>
        </is>
      </c>
      <c r="E6" t="inlineStr">
        <is>
          <t>Evolution (Urban Range, 40 kWh)</t>
        </is>
      </c>
      <c r="F6" t="n">
        <v>299900</v>
      </c>
      <c r="G6" t="n">
        <v>299900</v>
      </c>
      <c r="H6" t="inlineStr">
        <is>
          <t>Renault Norway official price list (Versjon 2, 01-06-2026) reviewed 2026-07-06. Fails Hard Requirement M004 (Adaptive Cruise Control): Evolution trim has only fixed-speed Cruise Control, not adaptive - confirmed in the price list equipment comparison table. Not eligible for weighted scoring.</t>
        </is>
      </c>
    </row>
    <row r="7">
      <c r="A7" t="inlineStr">
        <is>
          <t>RENAULT_4_EVOLUTION_COMFORT</t>
        </is>
      </c>
      <c r="B7" t="inlineStr">
        <is>
          <t>RENAULT_4</t>
        </is>
      </c>
      <c r="C7" t="inlineStr">
        <is>
          <t>NO</t>
        </is>
      </c>
      <c r="D7" t="inlineStr">
        <is>
          <t>AVAILABLE</t>
        </is>
      </c>
      <c r="E7" t="inlineStr">
        <is>
          <t>Evolution (Comfort Range, 52 kWh)</t>
        </is>
      </c>
      <c r="F7" t="n">
        <v>327900</v>
      </c>
      <c r="G7" t="n">
        <v>327900</v>
      </c>
      <c r="H7" t="inlineStr">
        <is>
          <t>Renault Norway official price list (Versjon 2, 01-06-2026) reviewed 2026-07-06. Fails Hard Requirement M004 (Adaptive Cruise Control): Evolution trim has only fixed-speed Cruise Control, not adaptive - confirmed in the price list equipment comparison table. Not eligible for weighted scoring.</t>
        </is>
      </c>
    </row>
    <row r="8">
      <c r="A8" t="inlineStr">
        <is>
          <t>RENAULT_4_TECHNO</t>
        </is>
      </c>
      <c r="B8" t="inlineStr">
        <is>
          <t>RENAULT_4</t>
        </is>
      </c>
      <c r="C8" t="inlineStr">
        <is>
          <t>NO</t>
        </is>
      </c>
      <c r="D8" t="inlineStr">
        <is>
          <t>AVAILABLE</t>
        </is>
      </c>
      <c r="E8" t="inlineStr">
        <is>
          <t>Techno (Comfort Range, 52 kWh)</t>
        </is>
      </c>
      <c r="F8" t="n">
        <v>364900</v>
      </c>
      <c r="G8" t="n">
        <v>364900</v>
      </c>
      <c r="H8" t="inlineStr">
        <is>
          <t>Renault Norway official price list (Versjon 2, 01-06-2026) reviewed 2026-07-06. Meets all checked Hard Requirements (BEV, length 4140mm, Intelligent cruise control multi target = adaptive, standard rearview camera). M003 (winter highway range) remains Unknown - no winter test data reviewed. M003 (winter highway range): No dedicated deep-winter test found for this exact configuration. Closest available data point (elbil.no, Iconic trim - same 52kWh/150hk powertrain as Techno, but a different equipment level) measured 287 km at constant 100km/h highway driving in mild 5-7C conditions - NOT true winter cold. Since colder conditions would be expected to reduce range further, this data point is a concerning signal rather than a confident pass: the hard requirement remains genuinely uncertain, possibly at risk of failing, for this configuration. Flagged for the user's attention rather than resolved either way.</t>
        </is>
      </c>
    </row>
    <row r="9">
      <c r="A9" t="inlineStr">
        <is>
          <t>RENAULT_4_TECHNO_PLEIN_SUD</t>
        </is>
      </c>
      <c r="B9" t="inlineStr">
        <is>
          <t>RENAULT_4</t>
        </is>
      </c>
      <c r="C9" t="inlineStr">
        <is>
          <t>NO</t>
        </is>
      </c>
      <c r="D9" t="inlineStr">
        <is>
          <t>AVAILABLE</t>
        </is>
      </c>
      <c r="E9" t="inlineStr">
        <is>
          <t>Techno Plein Sud (Comfort Range, 52 kWh, canvas roof)</t>
        </is>
      </c>
      <c r="F9" t="n">
        <v>374900</v>
      </c>
      <c r="G9" t="n">
        <v>374900</v>
      </c>
      <c r="H9" t="inlineStr">
        <is>
          <t>Renault Norway official price list (Versjon 2, 01-06-2026) reviewed 2026-07-06. Shares Techno equipment level (adaptive cruise control, rearview camera); canvas soltak variant. M003 remains Unknown.</t>
        </is>
      </c>
    </row>
    <row r="10">
      <c r="A10" t="inlineStr">
        <is>
          <t>RENAULT_4_ICONIC</t>
        </is>
      </c>
      <c r="B10" t="inlineStr">
        <is>
          <t>RENAULT_4</t>
        </is>
      </c>
      <c r="C10" t="inlineStr">
        <is>
          <t>NO</t>
        </is>
      </c>
      <c r="D10" t="inlineStr">
        <is>
          <t>AVAILABLE</t>
        </is>
      </c>
      <c r="E10" t="inlineStr">
        <is>
          <t>Iconic (Comfort Range, 52 kWh)</t>
        </is>
      </c>
      <c r="F10" t="n">
        <v>389900</v>
      </c>
      <c r="G10" t="n">
        <v>389900</v>
      </c>
      <c r="H10" t="inlineStr">
        <is>
          <t>Renault Norway official price list (Versjon 2, 01-06-2026) reviewed 2026-07-06. Meets all checked Hard Requirements (BEV, length 4140mm, Intelligent cruise control multi target = adaptive, standard rearview camera). M003 remains Unknown.</t>
        </is>
      </c>
    </row>
    <row r="11">
      <c r="A11" t="inlineStr">
        <is>
          <t>RENAULT_4_ICONIC_PLEIN_SUD</t>
        </is>
      </c>
      <c r="B11" t="inlineStr">
        <is>
          <t>RENAULT_4</t>
        </is>
      </c>
      <c r="C11" t="inlineStr">
        <is>
          <t>NO</t>
        </is>
      </c>
      <c r="D11" t="inlineStr">
        <is>
          <t>AVAILABLE</t>
        </is>
      </c>
      <c r="E11" t="inlineStr">
        <is>
          <t>Iconic Plein Sud (Comfort Range, 52 kWh, canvas roof)</t>
        </is>
      </c>
      <c r="F11" t="n">
        <v>399900</v>
      </c>
      <c r="G11" t="n">
        <v>399900</v>
      </c>
      <c r="H11" t="inlineStr">
        <is>
          <t>Renault Norway official price list (Versjon 2, 01-06-2026) reviewed 2026-07-06. Shares Iconic equipment level (adaptive cruise control, rearview camera); canvas soltak variant. M003 remains Unknown.</t>
        </is>
      </c>
    </row>
    <row r="12">
      <c r="A12" t="inlineStr">
        <is>
          <t>SKODA_ELROQ_ESSENCE_60</t>
        </is>
      </c>
      <c r="B12" t="inlineStr">
        <is>
          <t>SKODA_ELROQ</t>
        </is>
      </c>
      <c r="C12" t="inlineStr">
        <is>
          <t>NO</t>
        </is>
      </c>
      <c r="D12" t="inlineStr">
        <is>
          <t>AVAILABLE</t>
        </is>
      </c>
      <c r="E12" t="inlineStr">
        <is>
          <t>Essence 60 (RWD, 58 kWh)</t>
        </is>
      </c>
      <c r="F12" t="n">
        <v>342900</v>
      </c>
      <c r="G12" t="n">
        <v>342900</v>
      </c>
      <c r="H12" t="inlineStr">
        <is>
          <t>Skoda Norway official price list (2027-modell, 29.06.2026) reviewed 2026-07-06. Meets all checked Hard Requirements: BEV, length 4488mm (only 12mm under the 4500mm limit - tight margin, flagged), Prediktiv adaptiv cruisekontroll standard, Ryggekamera standard. M003 (winter highway range) remains Unknown.</t>
        </is>
      </c>
    </row>
    <row r="13">
      <c r="A13" t="inlineStr">
        <is>
          <t>SKODA_ELROQ_SELECTION_60</t>
        </is>
      </c>
      <c r="B13" t="inlineStr">
        <is>
          <t>SKODA_ELROQ</t>
        </is>
      </c>
      <c r="C13" t="inlineStr">
        <is>
          <t>NO</t>
        </is>
      </c>
      <c r="D13" t="inlineStr">
        <is>
          <t>AVAILABLE</t>
        </is>
      </c>
      <c r="E13" t="inlineStr">
        <is>
          <t>Selection 60 (RWD, 58 kWh)</t>
        </is>
      </c>
      <c r="F13" t="n">
        <v>374900</v>
      </c>
      <c r="G13" t="n">
        <v>374900</v>
      </c>
      <c r="H13" t="inlineStr">
        <is>
          <t>Skoda Norway official price list (2027-modell, 29.06.2026) reviewed 2026-07-06. Reportedly the most popular Elroq variant per Skoda. Meets all checked Hard Requirements (see Essence 60 note; same length/ACC/camera). M003 remains Unknown. M003 (winter highway range): Not verified. NAF's El Prix winter 2026 test included only the Elroq RS variant (different chassis/suspension/power tier), and the results table was rendered as an image, not extractable as text. Searched but found no dedicated winter test for Selection 60 specifically. Remains genuinely Unknown, not assumed.</t>
        </is>
      </c>
    </row>
    <row r="14">
      <c r="A14" t="inlineStr">
        <is>
          <t>SKODA_ELROQ_SELECTION_85X</t>
        </is>
      </c>
      <c r="B14" t="inlineStr">
        <is>
          <t>SKODA_ELROQ</t>
        </is>
      </c>
      <c r="C14" t="inlineStr">
        <is>
          <t>NO</t>
        </is>
      </c>
      <c r="D14" t="inlineStr">
        <is>
          <t>AVAILABLE</t>
        </is>
      </c>
      <c r="E14" t="inlineStr">
        <is>
          <t>Selection 85x (AWD, 77 kWh)</t>
        </is>
      </c>
      <c r="F14" t="n">
        <v>492900</v>
      </c>
      <c r="G14" t="n">
        <v>492900</v>
      </c>
      <c r="H14" t="inlineStr">
        <is>
          <t>Skoda Norway official price list (2027-modell, 29.06.2026) reviewed 2026-07-06. Meets all checked Hard Requirements (see Essence 60 note). M003 remains Unknown.</t>
        </is>
      </c>
    </row>
    <row r="15">
      <c r="A15" t="inlineStr">
        <is>
          <t>SKODA_ELROQ_RS</t>
        </is>
      </c>
      <c r="B15" t="inlineStr">
        <is>
          <t>SKODA_ELROQ</t>
        </is>
      </c>
      <c r="C15" t="inlineStr">
        <is>
          <t>NO</t>
        </is>
      </c>
      <c r="D15" t="inlineStr">
        <is>
          <t>AVAILABLE</t>
        </is>
      </c>
      <c r="E15" t="inlineStr">
        <is>
          <t>RS (AWD, 77 kWh)</t>
        </is>
      </c>
      <c r="F15" t="n">
        <v>531900</v>
      </c>
      <c r="G15" t="n">
        <v>531900</v>
      </c>
      <c r="H15" t="inlineStr">
        <is>
          <t>Skoda Norway official price list (2027-modell, 29.06.2026) reviewed 2026-07-06. Meets all checked Hard Requirements (see Essence 60 note). M003 remains Unknown.</t>
        </is>
      </c>
    </row>
    <row r="16">
      <c r="A16" t="inlineStr">
        <is>
          <t>VOLVO_EX30_P5</t>
        </is>
      </c>
      <c r="B16" t="inlineStr">
        <is>
          <t>VOLVO_EX30</t>
        </is>
      </c>
      <c r="C16" t="inlineStr">
        <is>
          <t>NO</t>
        </is>
      </c>
      <c r="D16" t="inlineStr">
        <is>
          <t>AVAILABLE</t>
        </is>
      </c>
      <c r="E16" t="inlineStr">
        <is>
          <t>P5 (RWD, 51 kWh)</t>
        </is>
      </c>
      <c r="F16" t="n">
        <v>349900</v>
      </c>
      <c r="G16" t="n">
        <v>349900</v>
      </c>
      <c r="H16" t="inlineStr">
        <is>
          <t>Volvo Norway official specifications page reviewed 2026-07-06. Meets checked Hard Requirements: BEV, length 4233mm (comfortable margin under 4500mm limit), adaptive cruise control confirmed present via Motor.no test of the P8 AWD (same driver-assistance suite across the range, though functionally criticized in winter conditions). Rearview camera standard equipment not independently confirmed via a precisely-sourced fetch - left Unknown rather than assumed. M003 (winter highway range) remains Unknown.</t>
        </is>
      </c>
    </row>
    <row r="17">
      <c r="A17" t="inlineStr">
        <is>
          <t>VOLVO_EX30_P5_LONG_RANGE</t>
        </is>
      </c>
      <c r="B17" t="inlineStr">
        <is>
          <t>VOLVO_EX30</t>
        </is>
      </c>
      <c r="C17" t="inlineStr">
        <is>
          <t>NO</t>
        </is>
      </c>
      <c r="D17" t="inlineStr">
        <is>
          <t>AVAILABLE</t>
        </is>
      </c>
      <c r="E17" t="inlineStr">
        <is>
          <t>P5 Long Range (RWD, 69 kWh)</t>
        </is>
      </c>
      <c r="F17" t="n">
        <v>437900</v>
      </c>
      <c r="G17" t="n">
        <v>437900</v>
      </c>
      <c r="H17" t="inlineStr">
        <is>
          <t>Volvo Norway official specifications page reviewed 2026-07-06. Same Hard Requirement notes as P5 (see above).</t>
        </is>
      </c>
    </row>
    <row r="18">
      <c r="A18" t="inlineStr">
        <is>
          <t>VOLVO_EX30_P8_AWD</t>
        </is>
      </c>
      <c r="B18" t="inlineStr">
        <is>
          <t>VOLVO_EX30</t>
        </is>
      </c>
      <c r="C18" t="inlineStr">
        <is>
          <t>NO</t>
        </is>
      </c>
      <c r="D18" t="inlineStr">
        <is>
          <t>AVAILABLE</t>
        </is>
      </c>
      <c r="E18" t="inlineStr">
        <is>
          <t>P8 AWD (AWD, 69 kWh)</t>
        </is>
      </c>
      <c r="F18" t="n">
        <v>468900</v>
      </c>
      <c r="G18" t="n">
        <v>468900</v>
      </c>
      <c r="H18" t="inlineStr">
        <is>
          <t>Volvo Norway official specifications page reviewed 2026-07-06. Same Hard Requirement notes as P5. This is the configuration actually tested by Motor.no (Evidence directly applicable, not inferred across trims). M003 (winter highway range): Independent test (elbil.no, matching Twin Performance/dual-motor AWD powertrain) estimated ~75% of the 450km WLTP figure retained in real winter conditions (~-20C), i.e. approximately 338 km. This comfortably passes the ~300km hard requirement.</t>
        </is>
      </c>
    </row>
    <row r="19">
      <c r="A19" t="inlineStr">
        <is>
          <t>KIA_EV2_FWD_LONG_RANGE_GT_LINE</t>
        </is>
      </c>
      <c r="B19" t="inlineStr">
        <is>
          <t>KIA_EV2</t>
        </is>
      </c>
      <c r="C19" t="inlineStr">
        <is>
          <t>NO</t>
        </is>
      </c>
      <c r="D19" t="inlineStr">
        <is>
          <t>AVAILABLE</t>
        </is>
      </c>
      <c r="E19" t="inlineStr">
        <is>
          <t>FWD Long Range GT Line, 135 hk</t>
        </is>
      </c>
      <c r="F19" t="n">
        <v>346417</v>
      </c>
      <c r="G19" t="n">
        <v>423340</v>
      </c>
      <c r="H19" t="inlineStr">
        <is>
          <t>Official Bertel O. Steen (Kia dealer) sales quote reviewed 2026-07-06, valid to 2026-07-12. BasePrice (346417 kr) = base EV2 FWD Long Range (251655 kr) + GT Line package (94762 kr), i.e. the trim as sold. ConfiguredPrice (423340 kr) = this specific quote total, which additionally includes buyer-selected options not part of the base GT Line trim: 4-seat sliding-seat conversion (+3200 kr), 16" Nokian studded winter wheels (+23603 kr), plus delivery (12500 kr), VAT (21430 kr) and registration tax/vrakpant (16190 kr). Colour (Frost Blue - Solid) and interior (Grey/Black) were no-cost selections. No battery capacity, WLTP range, charging power, or vehicle dimensions were stated in the source document - these remain Unknown pending a manufacturer specification sheet. M003 (winter highway range): Not verified. No independent winter test was found for the Kia EV2 - likely because the model is too new to the Norwegian market to have been included in a winter test cycle yet. Remains genuinely Unknown.</t>
        </is>
      </c>
    </row>
  </sheetData>
  <autoFilter ref="A1:G1"/>
  <dataValidations count="2">
    <dataValidation sqref="C2:C1048576" showDropDown="0" showInputMessage="0" showErrorMessage="1" allowBlank="1" type="list">
      <formula1>Enum_Market</formula1>
    </dataValidation>
    <dataValidation sqref="D2:D1048576" showDropDown="0" showInputMessage="0" showErrorMessage="1" allowBlank="1" type="list">
      <formula1>Enum_ConfigurationStatus</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150"/>
  <sheetViews>
    <sheetView showGridLines="1" workbookViewId="0">
      <pane ySplit="1" topLeftCell="A2" activePane="bottomLeft" state="frozen"/>
      <selection pane="bottomLeft" activeCell="A2" sqref="A2"/>
    </sheetView>
  </sheetViews>
  <sheetFormatPr baseColWidth="8" defaultRowHeight="15"/>
  <cols>
    <col width="20" customWidth="1" min="1" max="1"/>
    <col width="22" customWidth="1" min="2" max="2"/>
    <col width="24" customWidth="1" min="3" max="3"/>
    <col width="32" customWidth="1" min="4" max="4"/>
    <col width="16" customWidth="1" min="5" max="5"/>
    <col width="12" customWidth="1" min="6" max="6"/>
    <col width="20" customWidth="1" min="7" max="7"/>
    <col width="16" customWidth="1" min="8" max="8"/>
    <col width="18" customWidth="1" min="9" max="9"/>
    <col width="20" customWidth="1" min="10" max="10"/>
  </cols>
  <sheetData>
    <row r="1" ht="22" customHeight="1">
      <c r="A1" s="1" t="inlineStr">
        <is>
          <t>TechnicalID</t>
        </is>
      </c>
      <c r="B1" s="1" t="inlineStr">
        <is>
          <t>VehicleID</t>
        </is>
      </c>
      <c r="C1" s="1" t="inlineStr">
        <is>
          <t>ConfigurationID</t>
        </is>
      </c>
      <c r="D1" s="1" t="inlineStr">
        <is>
          <t>TechnicalField</t>
        </is>
      </c>
      <c r="E1" s="1" t="inlineStr">
        <is>
          <t>Value</t>
        </is>
      </c>
      <c r="F1" s="1" t="inlineStr">
        <is>
          <t>Unit</t>
        </is>
      </c>
      <c r="G1" s="1" t="inlineStr">
        <is>
          <t>SourceID</t>
        </is>
      </c>
      <c r="H1" s="1" t="inlineStr">
        <is>
          <t>Confidence</t>
        </is>
      </c>
      <c r="I1" s="1" t="inlineStr">
        <is>
          <t>LastUpdated</t>
        </is>
      </c>
      <c r="J1" s="1" t="inlineStr">
        <is>
          <t>FrameworkVersion</t>
        </is>
      </c>
    </row>
    <row r="2">
      <c r="D2" t="inlineStr">
        <is>
          <t>Length</t>
        </is>
      </c>
      <c r="F2" t="inlineStr">
        <is>
          <t>MM</t>
        </is>
      </c>
      <c r="H2" t="inlineStr">
        <is>
          <t>UNKNOWN</t>
        </is>
      </c>
      <c r="J2" t="inlineStr">
        <is>
          <t>1.0</t>
        </is>
      </c>
    </row>
    <row r="3">
      <c r="D3" t="inlineStr">
        <is>
          <t>WLTP range</t>
        </is>
      </c>
      <c r="F3" t="inlineStr">
        <is>
          <t>KM</t>
        </is>
      </c>
      <c r="H3" t="inlineStr">
        <is>
          <t>UNKNOWN</t>
        </is>
      </c>
      <c r="J3" t="inlineStr">
        <is>
          <t>1.0</t>
        </is>
      </c>
    </row>
    <row r="4">
      <c r="D4" t="inlineStr">
        <is>
          <t>Winter highway range estimate</t>
        </is>
      </c>
      <c r="F4" t="inlineStr">
        <is>
          <t>KM</t>
        </is>
      </c>
      <c r="H4" t="inlineStr">
        <is>
          <t>UNKNOWN</t>
        </is>
      </c>
      <c r="J4" t="inlineStr">
        <is>
          <t>1.0</t>
        </is>
      </c>
    </row>
    <row r="5">
      <c r="D5" t="inlineStr">
        <is>
          <t>Battery net</t>
        </is>
      </c>
      <c r="F5" t="inlineStr">
        <is>
          <t>KWH</t>
        </is>
      </c>
      <c r="H5" t="inlineStr">
        <is>
          <t>UNKNOWN</t>
        </is>
      </c>
      <c r="J5" t="inlineStr">
        <is>
          <t>1.0</t>
        </is>
      </c>
    </row>
    <row r="6">
      <c r="D6" t="inlineStr">
        <is>
          <t>DC max charging</t>
        </is>
      </c>
      <c r="F6" t="inlineStr">
        <is>
          <t>KW</t>
        </is>
      </c>
      <c r="H6" t="inlineStr">
        <is>
          <t>UNKNOWN</t>
        </is>
      </c>
      <c r="J6" t="inlineStr">
        <is>
          <t>1.0</t>
        </is>
      </c>
    </row>
    <row r="7">
      <c r="D7" t="inlineStr">
        <is>
          <t>Boot volume</t>
        </is>
      </c>
      <c r="F7" t="inlineStr">
        <is>
          <t>L</t>
        </is>
      </c>
      <c r="H7" t="inlineStr">
        <is>
          <t>UNKNOWN</t>
        </is>
      </c>
      <c r="J7" t="inlineStr">
        <is>
          <t>1.0</t>
        </is>
      </c>
    </row>
    <row r="8">
      <c r="A8" t="inlineStr">
        <is>
          <t>TECH_000001</t>
        </is>
      </c>
      <c r="B8" t="inlineStr">
        <is>
          <t>TESLA_MODEL_3</t>
        </is>
      </c>
      <c r="D8" t="inlineStr">
        <is>
          <t>Length</t>
        </is>
      </c>
      <c r="E8" t="n">
        <v>4720</v>
      </c>
      <c r="F8" t="inlineStr">
        <is>
          <t>MM</t>
        </is>
      </c>
      <c r="G8" t="inlineStr">
        <is>
          <t>SRC_TESLA_NO_MODEL3_CONFIGURATOR</t>
        </is>
      </c>
      <c r="H8" t="inlineStr">
        <is>
          <t>MEDIUM</t>
        </is>
      </c>
      <c r="I8" t="inlineStr">
        <is>
          <t>2026-07-06</t>
        </is>
      </c>
      <c r="J8" t="inlineStr">
        <is>
          <t>1.2</t>
        </is>
      </c>
    </row>
    <row r="9">
      <c r="A9" t="inlineStr">
        <is>
          <t>TECH_000002</t>
        </is>
      </c>
      <c r="B9" t="inlineStr">
        <is>
          <t>TESLA_MODEL_3</t>
        </is>
      </c>
      <c r="D9" t="inlineStr">
        <is>
          <t>Width (mirrors unfolded)</t>
        </is>
      </c>
      <c r="E9" t="n">
        <v>2089</v>
      </c>
      <c r="F9" t="inlineStr">
        <is>
          <t>MM</t>
        </is>
      </c>
      <c r="G9" t="inlineStr">
        <is>
          <t>SRC_TESLA_NO_MODEL3_CONFIGURATOR</t>
        </is>
      </c>
      <c r="H9" t="inlineStr">
        <is>
          <t>MEDIUM</t>
        </is>
      </c>
      <c r="I9" t="inlineStr">
        <is>
          <t>2026-07-06</t>
        </is>
      </c>
      <c r="J9" t="inlineStr">
        <is>
          <t>1.2</t>
        </is>
      </c>
    </row>
    <row r="10">
      <c r="A10" t="inlineStr">
        <is>
          <t>TECH_000003</t>
        </is>
      </c>
      <c r="B10" t="inlineStr">
        <is>
          <t>TESLA_MODEL_3</t>
        </is>
      </c>
      <c r="D10" t="inlineStr">
        <is>
          <t>Boot volume</t>
        </is>
      </c>
      <c r="E10" t="n">
        <v>682</v>
      </c>
      <c r="F10" t="inlineStr">
        <is>
          <t>L</t>
        </is>
      </c>
      <c r="G10" t="inlineStr">
        <is>
          <t>SRC_TESLA_NO_MODEL3_CONFIGURATOR</t>
        </is>
      </c>
      <c r="H10" t="inlineStr">
        <is>
          <t>MEDIUM</t>
        </is>
      </c>
      <c r="I10" t="inlineStr">
        <is>
          <t>2026-07-06</t>
        </is>
      </c>
      <c r="J10" t="inlineStr">
        <is>
          <t>1.2</t>
        </is>
      </c>
    </row>
    <row r="11">
      <c r="A11" t="inlineStr">
        <is>
          <t>TECH_000004</t>
        </is>
      </c>
      <c r="C11" t="inlineStr">
        <is>
          <t>TESLA_MODEL_3_RWD</t>
        </is>
      </c>
      <c r="D11" t="inlineStr">
        <is>
          <t>Height</t>
        </is>
      </c>
      <c r="E11" t="n">
        <v>1440</v>
      </c>
      <c r="F11" t="inlineStr">
        <is>
          <t>MM</t>
        </is>
      </c>
      <c r="G11" t="inlineStr">
        <is>
          <t>SRC_TESLA_NO_MODEL3_CONFIGURATOR</t>
        </is>
      </c>
      <c r="H11" t="inlineStr">
        <is>
          <t>MEDIUM</t>
        </is>
      </c>
      <c r="I11" t="inlineStr">
        <is>
          <t>2026-07-06</t>
        </is>
      </c>
      <c r="J11" t="inlineStr">
        <is>
          <t>1.2</t>
        </is>
      </c>
    </row>
    <row r="12">
      <c r="A12" t="inlineStr">
        <is>
          <t>TECH_000005</t>
        </is>
      </c>
      <c r="C12" t="inlineStr">
        <is>
          <t>TESLA_MODEL_3_RWD</t>
        </is>
      </c>
      <c r="D12" t="inlineStr">
        <is>
          <t>Width (mirrors folded)</t>
        </is>
      </c>
      <c r="E12" t="n">
        <v>1850</v>
      </c>
      <c r="F12" t="inlineStr">
        <is>
          <t>MM</t>
        </is>
      </c>
      <c r="G12" t="inlineStr">
        <is>
          <t>SRC_TESLA_NO_MODEL3_CONFIGURATOR</t>
        </is>
      </c>
      <c r="H12" t="inlineStr">
        <is>
          <t>MEDIUM</t>
        </is>
      </c>
      <c r="I12" t="inlineStr">
        <is>
          <t>2026-07-06</t>
        </is>
      </c>
      <c r="J12" t="inlineStr">
        <is>
          <t>1.2</t>
        </is>
      </c>
    </row>
    <row r="13">
      <c r="A13" t="inlineStr">
        <is>
          <t>TECH_000006</t>
        </is>
      </c>
      <c r="C13" t="inlineStr">
        <is>
          <t>TESLA_MODEL_3_RWD</t>
        </is>
      </c>
      <c r="D13" t="inlineStr">
        <is>
          <t>Ground clearance</t>
        </is>
      </c>
      <c r="E13" t="n">
        <v>138</v>
      </c>
      <c r="F13" t="inlineStr">
        <is>
          <t>MM</t>
        </is>
      </c>
      <c r="G13" t="inlineStr">
        <is>
          <t>SRC_TESLA_NO_MODEL3_CONFIGURATOR</t>
        </is>
      </c>
      <c r="H13" t="inlineStr">
        <is>
          <t>MEDIUM</t>
        </is>
      </c>
      <c r="I13" t="inlineStr">
        <is>
          <t>2026-07-06</t>
        </is>
      </c>
      <c r="J13" t="inlineStr">
        <is>
          <t>1.2</t>
        </is>
      </c>
    </row>
    <row r="14">
      <c r="A14" t="inlineStr">
        <is>
          <t>TECH_000007</t>
        </is>
      </c>
      <c r="C14" t="inlineStr">
        <is>
          <t>TESLA_MODEL_3_RWD</t>
        </is>
      </c>
      <c r="D14" t="inlineStr">
        <is>
          <t>Kerb weight (MRO)</t>
        </is>
      </c>
      <c r="E14" t="n">
        <v>1847</v>
      </c>
      <c r="F14" t="inlineStr">
        <is>
          <t>KG</t>
        </is>
      </c>
      <c r="G14" t="inlineStr">
        <is>
          <t>SRC_TESLA_NO_MODEL3_CONFIGURATOR</t>
        </is>
      </c>
      <c r="H14" t="inlineStr">
        <is>
          <t>MEDIUM</t>
        </is>
      </c>
      <c r="I14" t="inlineStr">
        <is>
          <t>2026-07-06</t>
        </is>
      </c>
      <c r="J14" t="inlineStr">
        <is>
          <t>1.2</t>
        </is>
      </c>
    </row>
    <row r="15">
      <c r="A15" t="inlineStr">
        <is>
          <t>TECH_000008</t>
        </is>
      </c>
      <c r="C15" t="inlineStr">
        <is>
          <t>TESLA_MODEL_3_RWD</t>
        </is>
      </c>
      <c r="D15" t="inlineStr">
        <is>
          <t>WLTP range</t>
        </is>
      </c>
      <c r="E15" t="n">
        <v>534</v>
      </c>
      <c r="F15" t="inlineStr">
        <is>
          <t>KM</t>
        </is>
      </c>
      <c r="G15" t="inlineStr">
        <is>
          <t>SRC_TESLA_NO_MODEL3_CONFIGURATOR</t>
        </is>
      </c>
      <c r="H15" t="inlineStr">
        <is>
          <t>MEDIUM</t>
        </is>
      </c>
      <c r="I15" t="inlineStr">
        <is>
          <t>2026-07-06</t>
        </is>
      </c>
      <c r="J15" t="inlineStr">
        <is>
          <t>1.2</t>
        </is>
      </c>
    </row>
    <row r="16">
      <c r="A16" t="inlineStr">
        <is>
          <t>TECH_000009</t>
        </is>
      </c>
      <c r="C16" t="inlineStr">
        <is>
          <t>TESLA_MODEL_3_RWD</t>
        </is>
      </c>
      <c r="D16" t="inlineStr">
        <is>
          <t>WLTP consumption</t>
        </is>
      </c>
      <c r="E16" t="n">
        <v>13</v>
      </c>
      <c r="F16" t="inlineStr">
        <is>
          <t>KWH_100KM</t>
        </is>
      </c>
      <c r="G16" t="inlineStr">
        <is>
          <t>SRC_TESLA_NO_MODEL3_CONFIGURATOR</t>
        </is>
      </c>
      <c r="H16" t="inlineStr">
        <is>
          <t>MEDIUM</t>
        </is>
      </c>
      <c r="I16" t="inlineStr">
        <is>
          <t>2026-07-06</t>
        </is>
      </c>
      <c r="J16" t="inlineStr">
        <is>
          <t>1.2</t>
        </is>
      </c>
    </row>
    <row r="17">
      <c r="A17" t="inlineStr">
        <is>
          <t>TECH_000010</t>
        </is>
      </c>
      <c r="C17" t="inlineStr">
        <is>
          <t>TESLA_MODEL_3_RWD</t>
        </is>
      </c>
      <c r="D17" t="inlineStr">
        <is>
          <t>DC max charging</t>
        </is>
      </c>
      <c r="E17" t="n">
        <v>175</v>
      </c>
      <c r="F17" t="inlineStr">
        <is>
          <t>KW</t>
        </is>
      </c>
      <c r="G17" t="inlineStr">
        <is>
          <t>SRC_TESLA_NO_MODEL3_CONFIGURATOR</t>
        </is>
      </c>
      <c r="H17" t="inlineStr">
        <is>
          <t>MEDIUM</t>
        </is>
      </c>
      <c r="I17" t="inlineStr">
        <is>
          <t>2026-07-06</t>
        </is>
      </c>
      <c r="J17" t="inlineStr">
        <is>
          <t>1.2</t>
        </is>
      </c>
    </row>
    <row r="18">
      <c r="A18" t="inlineStr">
        <is>
          <t>TECH_000011</t>
        </is>
      </c>
      <c r="C18" t="inlineStr">
        <is>
          <t>TESLA_MODEL_3_LONG_RANGE_AWD</t>
        </is>
      </c>
      <c r="D18" t="inlineStr">
        <is>
          <t>Height</t>
        </is>
      </c>
      <c r="E18" t="n">
        <v>1441</v>
      </c>
      <c r="F18" t="inlineStr">
        <is>
          <t>MM</t>
        </is>
      </c>
      <c r="G18" t="inlineStr">
        <is>
          <t>SRC_TESLA_NO_MODEL3_CONFIGURATOR</t>
        </is>
      </c>
      <c r="H18" t="inlineStr">
        <is>
          <t>MEDIUM</t>
        </is>
      </c>
      <c r="I18" t="inlineStr">
        <is>
          <t>2026-07-06</t>
        </is>
      </c>
      <c r="J18" t="inlineStr">
        <is>
          <t>1.2</t>
        </is>
      </c>
    </row>
    <row r="19">
      <c r="A19" t="inlineStr">
        <is>
          <t>TECH_000012</t>
        </is>
      </c>
      <c r="C19" t="inlineStr">
        <is>
          <t>TESLA_MODEL_3_LONG_RANGE_AWD</t>
        </is>
      </c>
      <c r="D19" t="inlineStr">
        <is>
          <t>Width (mirrors folded)</t>
        </is>
      </c>
      <c r="E19" t="n">
        <v>1933</v>
      </c>
      <c r="F19" t="inlineStr">
        <is>
          <t>MM</t>
        </is>
      </c>
      <c r="G19" t="inlineStr">
        <is>
          <t>SRC_TESLA_NO_MODEL3_CONFIGURATOR</t>
        </is>
      </c>
      <c r="H19" t="inlineStr">
        <is>
          <t>MEDIUM</t>
        </is>
      </c>
      <c r="I19" t="inlineStr">
        <is>
          <t>2026-07-06</t>
        </is>
      </c>
      <c r="J19" t="inlineStr">
        <is>
          <t>1.2</t>
        </is>
      </c>
    </row>
    <row r="20">
      <c r="A20" t="inlineStr">
        <is>
          <t>TECH_000013</t>
        </is>
      </c>
      <c r="C20" t="inlineStr">
        <is>
          <t>TESLA_MODEL_3_LONG_RANGE_AWD</t>
        </is>
      </c>
      <c r="D20" t="inlineStr">
        <is>
          <t>Ground clearance</t>
        </is>
      </c>
      <c r="E20" t="n">
        <v>138</v>
      </c>
      <c r="F20" t="inlineStr">
        <is>
          <t>MM</t>
        </is>
      </c>
      <c r="G20" t="inlineStr">
        <is>
          <t>SRC_TESLA_NO_MODEL3_CONFIGURATOR</t>
        </is>
      </c>
      <c r="H20" t="inlineStr">
        <is>
          <t>MEDIUM</t>
        </is>
      </c>
      <c r="I20" t="inlineStr">
        <is>
          <t>2026-07-06</t>
        </is>
      </c>
      <c r="J20" t="inlineStr">
        <is>
          <t>1.2</t>
        </is>
      </c>
    </row>
    <row r="21">
      <c r="A21" t="inlineStr">
        <is>
          <t>TECH_000014</t>
        </is>
      </c>
      <c r="C21" t="inlineStr">
        <is>
          <t>TESLA_MODEL_3_LONG_RANGE_AWD</t>
        </is>
      </c>
      <c r="D21" t="inlineStr">
        <is>
          <t>Kerb weight (MRO)</t>
        </is>
      </c>
      <c r="E21" t="n">
        <v>1899</v>
      </c>
      <c r="F21" t="inlineStr">
        <is>
          <t>KG</t>
        </is>
      </c>
      <c r="G21" t="inlineStr">
        <is>
          <t>SRC_TESLA_NO_MODEL3_CONFIGURATOR</t>
        </is>
      </c>
      <c r="H21" t="inlineStr">
        <is>
          <t>MEDIUM</t>
        </is>
      </c>
      <c r="I21" t="inlineStr">
        <is>
          <t>2026-07-06</t>
        </is>
      </c>
      <c r="J21" t="inlineStr">
        <is>
          <t>1.2</t>
        </is>
      </c>
    </row>
    <row r="22">
      <c r="A22" t="inlineStr">
        <is>
          <t>TECH_000015</t>
        </is>
      </c>
      <c r="C22" t="inlineStr">
        <is>
          <t>TESLA_MODEL_3_LONG_RANGE_AWD</t>
        </is>
      </c>
      <c r="D22" t="inlineStr">
        <is>
          <t>WLTP range</t>
        </is>
      </c>
      <c r="E22" t="n">
        <v>660</v>
      </c>
      <c r="F22" t="inlineStr">
        <is>
          <t>KM</t>
        </is>
      </c>
      <c r="G22" t="inlineStr">
        <is>
          <t>SRC_TESLA_NO_MODEL3_CONFIGURATOR</t>
        </is>
      </c>
      <c r="H22" t="inlineStr">
        <is>
          <t>MEDIUM</t>
        </is>
      </c>
      <c r="I22" t="inlineStr">
        <is>
          <t>2026-07-06</t>
        </is>
      </c>
      <c r="J22" t="inlineStr">
        <is>
          <t>1.2</t>
        </is>
      </c>
    </row>
    <row r="23">
      <c r="A23" t="inlineStr">
        <is>
          <t>TECH_000016</t>
        </is>
      </c>
      <c r="C23" t="inlineStr">
        <is>
          <t>TESLA_MODEL_3_LONG_RANGE_AWD</t>
        </is>
      </c>
      <c r="D23" t="inlineStr">
        <is>
          <t>WLTP consumption</t>
        </is>
      </c>
      <c r="E23" t="n">
        <v>14.3</v>
      </c>
      <c r="F23" t="inlineStr">
        <is>
          <t>KWH_100KM</t>
        </is>
      </c>
      <c r="G23" t="inlineStr">
        <is>
          <t>SRC_TESLA_NO_MODEL3_CONFIGURATOR</t>
        </is>
      </c>
      <c r="H23" t="inlineStr">
        <is>
          <t>MEDIUM</t>
        </is>
      </c>
      <c r="I23" t="inlineStr">
        <is>
          <t>2026-07-06</t>
        </is>
      </c>
      <c r="J23" t="inlineStr">
        <is>
          <t>1.2</t>
        </is>
      </c>
    </row>
    <row r="24">
      <c r="A24" t="inlineStr">
        <is>
          <t>TECH_000017</t>
        </is>
      </c>
      <c r="C24" t="inlineStr">
        <is>
          <t>TESLA_MODEL_3_LONG_RANGE_AWD</t>
        </is>
      </c>
      <c r="D24" t="inlineStr">
        <is>
          <t>DC max charging</t>
        </is>
      </c>
      <c r="E24" t="n">
        <v>250</v>
      </c>
      <c r="F24" t="inlineStr">
        <is>
          <t>KW</t>
        </is>
      </c>
      <c r="G24" t="inlineStr">
        <is>
          <t>SRC_TESLA_NO_MODEL3_CONFIGURATOR</t>
        </is>
      </c>
      <c r="H24" t="inlineStr">
        <is>
          <t>MEDIUM</t>
        </is>
      </c>
      <c r="I24" t="inlineStr">
        <is>
          <t>2026-07-06</t>
        </is>
      </c>
      <c r="J24" t="inlineStr">
        <is>
          <t>1.2</t>
        </is>
      </c>
    </row>
    <row r="25">
      <c r="A25" t="inlineStr">
        <is>
          <t>TECH_000018</t>
        </is>
      </c>
      <c r="C25" t="inlineStr">
        <is>
          <t>TESLA_MODEL_3_LONG_RANGE_RWD</t>
        </is>
      </c>
      <c r="D25" t="inlineStr">
        <is>
          <t>Height</t>
        </is>
      </c>
      <c r="E25" t="n">
        <v>1441</v>
      </c>
      <c r="F25" t="inlineStr">
        <is>
          <t>MM</t>
        </is>
      </c>
      <c r="G25" t="inlineStr">
        <is>
          <t>SRC_TESLA_NO_MODEL3_CONFIGURATOR</t>
        </is>
      </c>
      <c r="H25" t="inlineStr">
        <is>
          <t>MEDIUM</t>
        </is>
      </c>
      <c r="I25" t="inlineStr">
        <is>
          <t>2026-07-06</t>
        </is>
      </c>
      <c r="J25" t="inlineStr">
        <is>
          <t>1.2</t>
        </is>
      </c>
    </row>
    <row r="26">
      <c r="A26" t="inlineStr">
        <is>
          <t>TECH_000019</t>
        </is>
      </c>
      <c r="C26" t="inlineStr">
        <is>
          <t>TESLA_MODEL_3_LONG_RANGE_RWD</t>
        </is>
      </c>
      <c r="D26" t="inlineStr">
        <is>
          <t>Width (mirrors folded)</t>
        </is>
      </c>
      <c r="E26" t="n">
        <v>1933</v>
      </c>
      <c r="F26" t="inlineStr">
        <is>
          <t>MM</t>
        </is>
      </c>
      <c r="G26" t="inlineStr">
        <is>
          <t>SRC_TESLA_NO_MODEL3_CONFIGURATOR</t>
        </is>
      </c>
      <c r="H26" t="inlineStr">
        <is>
          <t>MEDIUM</t>
        </is>
      </c>
      <c r="I26" t="inlineStr">
        <is>
          <t>2026-07-06</t>
        </is>
      </c>
      <c r="J26" t="inlineStr">
        <is>
          <t>1.2</t>
        </is>
      </c>
    </row>
    <row r="27">
      <c r="A27" t="inlineStr">
        <is>
          <t>TECH_000020</t>
        </is>
      </c>
      <c r="C27" t="inlineStr">
        <is>
          <t>TESLA_MODEL_3_LONG_RANGE_RWD</t>
        </is>
      </c>
      <c r="D27" t="inlineStr">
        <is>
          <t>Ground clearance</t>
        </is>
      </c>
      <c r="E27" t="n">
        <v>138</v>
      </c>
      <c r="F27" t="inlineStr">
        <is>
          <t>MM</t>
        </is>
      </c>
      <c r="G27" t="inlineStr">
        <is>
          <t>SRC_TESLA_NO_MODEL3_CONFIGURATOR</t>
        </is>
      </c>
      <c r="H27" t="inlineStr">
        <is>
          <t>MEDIUM</t>
        </is>
      </c>
      <c r="I27" t="inlineStr">
        <is>
          <t>2026-07-06</t>
        </is>
      </c>
      <c r="J27" t="inlineStr">
        <is>
          <t>1.2</t>
        </is>
      </c>
    </row>
    <row r="28">
      <c r="A28" t="inlineStr">
        <is>
          <t>TECH_000021</t>
        </is>
      </c>
      <c r="C28" t="inlineStr">
        <is>
          <t>TESLA_MODEL_3_LONG_RANGE_RWD</t>
        </is>
      </c>
      <c r="D28" t="inlineStr">
        <is>
          <t>Kerb weight (MRO)</t>
        </is>
      </c>
      <c r="E28" t="n">
        <v>1822</v>
      </c>
      <c r="F28" t="inlineStr">
        <is>
          <t>KG</t>
        </is>
      </c>
      <c r="G28" t="inlineStr">
        <is>
          <t>SRC_TESLA_NO_MODEL3_CONFIGURATOR</t>
        </is>
      </c>
      <c r="H28" t="inlineStr">
        <is>
          <t>MEDIUM</t>
        </is>
      </c>
      <c r="I28" t="inlineStr">
        <is>
          <t>2026-07-06</t>
        </is>
      </c>
      <c r="J28" t="inlineStr">
        <is>
          <t>1.2</t>
        </is>
      </c>
    </row>
    <row r="29">
      <c r="A29" t="inlineStr">
        <is>
          <t>TECH_000022</t>
        </is>
      </c>
      <c r="C29" t="inlineStr">
        <is>
          <t>TESLA_MODEL_3_LONG_RANGE_RWD</t>
        </is>
      </c>
      <c r="D29" t="inlineStr">
        <is>
          <t>WLTP range (18" wheels)</t>
        </is>
      </c>
      <c r="E29" t="n">
        <v>750</v>
      </c>
      <c r="F29" t="inlineStr">
        <is>
          <t>KM</t>
        </is>
      </c>
      <c r="G29" t="inlineStr">
        <is>
          <t>SRC_TESLA_NO_MODEL3_CONFIGURATOR</t>
        </is>
      </c>
      <c r="H29" t="inlineStr">
        <is>
          <t>MEDIUM</t>
        </is>
      </c>
      <c r="I29" t="inlineStr">
        <is>
          <t>2026-07-06</t>
        </is>
      </c>
      <c r="J29" t="inlineStr">
        <is>
          <t>1.2</t>
        </is>
      </c>
    </row>
    <row r="30">
      <c r="A30" t="inlineStr">
        <is>
          <t>TECH_000023</t>
        </is>
      </c>
      <c r="C30" t="inlineStr">
        <is>
          <t>TESLA_MODEL_3_LONG_RANGE_RWD</t>
        </is>
      </c>
      <c r="D30" t="inlineStr">
        <is>
          <t>WLTP range (19" wheels)</t>
        </is>
      </c>
      <c r="E30" t="n">
        <v>691</v>
      </c>
      <c r="F30" t="inlineStr">
        <is>
          <t>KM</t>
        </is>
      </c>
      <c r="G30" t="inlineStr">
        <is>
          <t>SRC_TESLA_NO_MODEL3_CONFIGURATOR</t>
        </is>
      </c>
      <c r="H30" t="inlineStr">
        <is>
          <t>MEDIUM</t>
        </is>
      </c>
      <c r="I30" t="inlineStr">
        <is>
          <t>2026-07-06</t>
        </is>
      </c>
      <c r="J30" t="inlineStr">
        <is>
          <t>1.2</t>
        </is>
      </c>
    </row>
    <row r="31">
      <c r="A31" t="inlineStr">
        <is>
          <t>TECH_000024</t>
        </is>
      </c>
      <c r="C31" t="inlineStr">
        <is>
          <t>TESLA_MODEL_3_LONG_RANGE_RWD</t>
        </is>
      </c>
      <c r="D31" t="inlineStr">
        <is>
          <t>WLTP consumption</t>
        </is>
      </c>
      <c r="E31" t="n">
        <v>13.6</v>
      </c>
      <c r="F31" t="inlineStr">
        <is>
          <t>KWH_100KM</t>
        </is>
      </c>
      <c r="G31" t="inlineStr">
        <is>
          <t>SRC_TESLA_NO_MODEL3_CONFIGURATOR</t>
        </is>
      </c>
      <c r="H31" t="inlineStr">
        <is>
          <t>MEDIUM</t>
        </is>
      </c>
      <c r="I31" t="inlineStr">
        <is>
          <t>2026-07-06</t>
        </is>
      </c>
      <c r="J31" t="inlineStr">
        <is>
          <t>1.2</t>
        </is>
      </c>
    </row>
    <row r="32">
      <c r="A32" t="inlineStr">
        <is>
          <t>TECH_000025</t>
        </is>
      </c>
      <c r="C32" t="inlineStr">
        <is>
          <t>TESLA_MODEL_3_LONG_RANGE_RWD</t>
        </is>
      </c>
      <c r="D32" t="inlineStr">
        <is>
          <t>DC max charging</t>
        </is>
      </c>
      <c r="E32" t="n">
        <v>250</v>
      </c>
      <c r="F32" t="inlineStr">
        <is>
          <t>KW</t>
        </is>
      </c>
      <c r="G32" t="inlineStr">
        <is>
          <t>SRC_TESLA_NO_MODEL3_CONFIGURATOR</t>
        </is>
      </c>
      <c r="H32" t="inlineStr">
        <is>
          <t>MEDIUM</t>
        </is>
      </c>
      <c r="I32" t="inlineStr">
        <is>
          <t>2026-07-06</t>
        </is>
      </c>
      <c r="J32" t="inlineStr">
        <is>
          <t>1.2</t>
        </is>
      </c>
    </row>
    <row r="33">
      <c r="A33" t="inlineStr">
        <is>
          <t>TECH_000026</t>
        </is>
      </c>
      <c r="C33" t="inlineStr">
        <is>
          <t>TESLA_MODEL_3_PERFORMANCE</t>
        </is>
      </c>
      <c r="D33" t="inlineStr">
        <is>
          <t>Height</t>
        </is>
      </c>
      <c r="E33" t="n">
        <v>1431</v>
      </c>
      <c r="F33" t="inlineStr">
        <is>
          <t>MM</t>
        </is>
      </c>
      <c r="G33" t="inlineStr">
        <is>
          <t>SRC_TESLA_NO_MODEL3_CONFIGURATOR</t>
        </is>
      </c>
      <c r="H33" t="inlineStr">
        <is>
          <t>MEDIUM</t>
        </is>
      </c>
      <c r="I33" t="inlineStr">
        <is>
          <t>2026-07-06</t>
        </is>
      </c>
      <c r="J33" t="inlineStr">
        <is>
          <t>1.2</t>
        </is>
      </c>
    </row>
    <row r="34">
      <c r="A34" t="inlineStr">
        <is>
          <t>TECH_000027</t>
        </is>
      </c>
      <c r="C34" t="inlineStr">
        <is>
          <t>TESLA_MODEL_3_PERFORMANCE</t>
        </is>
      </c>
      <c r="D34" t="inlineStr">
        <is>
          <t>Width (mirrors folded)</t>
        </is>
      </c>
      <c r="E34" t="n">
        <v>1933</v>
      </c>
      <c r="F34" t="inlineStr">
        <is>
          <t>MM</t>
        </is>
      </c>
      <c r="G34" t="inlineStr">
        <is>
          <t>SRC_TESLA_NO_MODEL3_CONFIGURATOR</t>
        </is>
      </c>
      <c r="H34" t="inlineStr">
        <is>
          <t>MEDIUM</t>
        </is>
      </c>
      <c r="I34" t="inlineStr">
        <is>
          <t>2026-07-06</t>
        </is>
      </c>
      <c r="J34" t="inlineStr">
        <is>
          <t>1.2</t>
        </is>
      </c>
    </row>
    <row r="35">
      <c r="A35" t="inlineStr">
        <is>
          <t>TECH_000028</t>
        </is>
      </c>
      <c r="C35" t="inlineStr">
        <is>
          <t>TESLA_MODEL_3_PERFORMANCE</t>
        </is>
      </c>
      <c r="D35" t="inlineStr">
        <is>
          <t>Ground clearance</t>
        </is>
      </c>
      <c r="E35" t="n">
        <v>128</v>
      </c>
      <c r="F35" t="inlineStr">
        <is>
          <t>MM</t>
        </is>
      </c>
      <c r="G35" t="inlineStr">
        <is>
          <t>SRC_TESLA_NO_MODEL3_CONFIGURATOR</t>
        </is>
      </c>
      <c r="H35" t="inlineStr">
        <is>
          <t>MEDIUM</t>
        </is>
      </c>
      <c r="I35" t="inlineStr">
        <is>
          <t>2026-07-06</t>
        </is>
      </c>
      <c r="J35" t="inlineStr">
        <is>
          <t>1.2</t>
        </is>
      </c>
    </row>
    <row r="36">
      <c r="A36" t="inlineStr">
        <is>
          <t>TECH_000029</t>
        </is>
      </c>
      <c r="C36" t="inlineStr">
        <is>
          <t>TESLA_MODEL_3_PERFORMANCE</t>
        </is>
      </c>
      <c r="D36" t="inlineStr">
        <is>
          <t>Kerb weight (MRO)</t>
        </is>
      </c>
      <c r="E36" t="n">
        <v>1929</v>
      </c>
      <c r="F36" t="inlineStr">
        <is>
          <t>KG</t>
        </is>
      </c>
      <c r="G36" t="inlineStr">
        <is>
          <t>SRC_TESLA_NO_MODEL3_CONFIGURATOR</t>
        </is>
      </c>
      <c r="H36" t="inlineStr">
        <is>
          <t>MEDIUM</t>
        </is>
      </c>
      <c r="I36" t="inlineStr">
        <is>
          <t>2026-07-06</t>
        </is>
      </c>
      <c r="J36" t="inlineStr">
        <is>
          <t>1.2</t>
        </is>
      </c>
    </row>
    <row r="37">
      <c r="A37" t="inlineStr">
        <is>
          <t>TECH_000030</t>
        </is>
      </c>
      <c r="C37" t="inlineStr">
        <is>
          <t>TESLA_MODEL_3_PERFORMANCE</t>
        </is>
      </c>
      <c r="D37" t="inlineStr">
        <is>
          <t>WLTP range</t>
        </is>
      </c>
      <c r="E37" t="n">
        <v>571</v>
      </c>
      <c r="F37" t="inlineStr">
        <is>
          <t>KM</t>
        </is>
      </c>
      <c r="G37" t="inlineStr">
        <is>
          <t>SRC_TESLA_NO_MODEL3_CONFIGURATOR</t>
        </is>
      </c>
      <c r="H37" t="inlineStr">
        <is>
          <t>MEDIUM</t>
        </is>
      </c>
      <c r="I37" t="inlineStr">
        <is>
          <t>2026-07-06</t>
        </is>
      </c>
      <c r="J37" t="inlineStr">
        <is>
          <t>1.2</t>
        </is>
      </c>
    </row>
    <row r="38">
      <c r="A38" t="inlineStr">
        <is>
          <t>TECH_000031</t>
        </is>
      </c>
      <c r="C38" t="inlineStr">
        <is>
          <t>TESLA_MODEL_3_PERFORMANCE</t>
        </is>
      </c>
      <c r="D38" t="inlineStr">
        <is>
          <t>WLTP consumption</t>
        </is>
      </c>
      <c r="E38" t="n">
        <v>16.5</v>
      </c>
      <c r="F38" t="inlineStr">
        <is>
          <t>KWH_100KM</t>
        </is>
      </c>
      <c r="G38" t="inlineStr">
        <is>
          <t>SRC_TESLA_NO_MODEL3_CONFIGURATOR</t>
        </is>
      </c>
      <c r="H38" t="inlineStr">
        <is>
          <t>MEDIUM</t>
        </is>
      </c>
      <c r="I38" t="inlineStr">
        <is>
          <t>2026-07-06</t>
        </is>
      </c>
      <c r="J38" t="inlineStr">
        <is>
          <t>1.2</t>
        </is>
      </c>
    </row>
    <row r="39">
      <c r="A39" t="inlineStr">
        <is>
          <t>TECH_000032</t>
        </is>
      </c>
      <c r="C39" t="inlineStr">
        <is>
          <t>TESLA_MODEL_3_PERFORMANCE</t>
        </is>
      </c>
      <c r="D39" t="inlineStr">
        <is>
          <t>DC max charging</t>
        </is>
      </c>
      <c r="E39" t="n">
        <v>250</v>
      </c>
      <c r="F39" t="inlineStr">
        <is>
          <t>KW</t>
        </is>
      </c>
      <c r="G39" t="inlineStr">
        <is>
          <t>SRC_TESLA_NO_MODEL3_CONFIGURATOR</t>
        </is>
      </c>
      <c r="H39" t="inlineStr">
        <is>
          <t>MEDIUM</t>
        </is>
      </c>
      <c r="I39" t="inlineStr">
        <is>
          <t>2026-07-06</t>
        </is>
      </c>
      <c r="J39" t="inlineStr">
        <is>
          <t>1.2</t>
        </is>
      </c>
    </row>
    <row r="40">
      <c r="A40" t="inlineStr">
        <is>
          <t>TECH_000033</t>
        </is>
      </c>
      <c r="C40" t="inlineStr">
        <is>
          <t>TESLA_MODEL_3_PERFORMANCE</t>
        </is>
      </c>
      <c r="D40" t="inlineStr">
        <is>
          <t>Top speed</t>
        </is>
      </c>
      <c r="E40" t="n">
        <v>262</v>
      </c>
      <c r="F40" t="inlineStr">
        <is>
          <t>KMH</t>
        </is>
      </c>
      <c r="G40" t="inlineStr">
        <is>
          <t>SRC_TESLA_NO_MODEL3_CONFIGURATOR</t>
        </is>
      </c>
      <c r="H40" t="inlineStr">
        <is>
          <t>MEDIUM</t>
        </is>
      </c>
      <c r="I40" t="inlineStr">
        <is>
          <t>2026-07-06</t>
        </is>
      </c>
      <c r="J40" t="inlineStr">
        <is>
          <t>1.2</t>
        </is>
      </c>
    </row>
    <row r="41">
      <c r="A41" t="inlineStr">
        <is>
          <t>TECH_000034</t>
        </is>
      </c>
      <c r="B41" t="inlineStr">
        <is>
          <t>RENAULT_4</t>
        </is>
      </c>
      <c r="D41" t="inlineStr">
        <is>
          <t>Length</t>
        </is>
      </c>
      <c r="E41" t="n">
        <v>4140</v>
      </c>
      <c r="F41" t="inlineStr">
        <is>
          <t>MM</t>
        </is>
      </c>
      <c r="G41" t="inlineStr">
        <is>
          <t>SRC_RENAULT_NO_R4_PAGE</t>
        </is>
      </c>
      <c r="H41" t="inlineStr">
        <is>
          <t>MEDIUM</t>
        </is>
      </c>
      <c r="I41" t="inlineStr">
        <is>
          <t>2026-07-06</t>
        </is>
      </c>
      <c r="J41" t="inlineStr">
        <is>
          <t>1.4</t>
        </is>
      </c>
    </row>
    <row r="42">
      <c r="A42" t="inlineStr">
        <is>
          <t>TECH_000035</t>
        </is>
      </c>
      <c r="B42" t="inlineStr">
        <is>
          <t>RENAULT_4</t>
        </is>
      </c>
      <c r="D42" t="inlineStr">
        <is>
          <t>Ground clearance</t>
        </is>
      </c>
      <c r="E42" t="n">
        <v>181</v>
      </c>
      <c r="F42" t="inlineStr">
        <is>
          <t>MM</t>
        </is>
      </c>
      <c r="G42" t="inlineStr">
        <is>
          <t>SRC_RENAULT_NO_R4_PAGE</t>
        </is>
      </c>
      <c r="H42" t="inlineStr">
        <is>
          <t>MEDIUM</t>
        </is>
      </c>
      <c r="I42" t="inlineStr">
        <is>
          <t>2026-07-06</t>
        </is>
      </c>
      <c r="J42" t="inlineStr">
        <is>
          <t>1.4</t>
        </is>
      </c>
    </row>
    <row r="43">
      <c r="A43" t="inlineStr">
        <is>
          <t>TECH_000036</t>
        </is>
      </c>
      <c r="C43" t="inlineStr">
        <is>
          <t>RENAULT_4_EVOLUTION_URBAN</t>
        </is>
      </c>
      <c r="D43" t="inlineStr">
        <is>
          <t>WLTP range</t>
        </is>
      </c>
      <c r="E43" t="n">
        <v>308</v>
      </c>
      <c r="F43" t="inlineStr">
        <is>
          <t>KM</t>
        </is>
      </c>
      <c r="G43" t="inlineStr">
        <is>
          <t>SRC_RENAULT_NO_R4_PRICELIST</t>
        </is>
      </c>
      <c r="H43" t="inlineStr">
        <is>
          <t>MEDIUM</t>
        </is>
      </c>
      <c r="I43" t="inlineStr">
        <is>
          <t>2026-07-06</t>
        </is>
      </c>
      <c r="J43" t="inlineStr">
        <is>
          <t>1.4</t>
        </is>
      </c>
    </row>
    <row r="44">
      <c r="A44" t="inlineStr">
        <is>
          <t>TECH_000037</t>
        </is>
      </c>
      <c r="C44" t="inlineStr">
        <is>
          <t>RENAULT_4_EVOLUTION_URBAN</t>
        </is>
      </c>
      <c r="D44" t="inlineStr">
        <is>
          <t>WLTP consumption</t>
        </is>
      </c>
      <c r="E44" t="n">
        <v>14.7</v>
      </c>
      <c r="F44" t="inlineStr">
        <is>
          <t>KWH_100KM</t>
        </is>
      </c>
      <c r="G44" t="inlineStr">
        <is>
          <t>SRC_RENAULT_NO_R4_PRICELIST</t>
        </is>
      </c>
      <c r="H44" t="inlineStr">
        <is>
          <t>MEDIUM</t>
        </is>
      </c>
      <c r="I44" t="inlineStr">
        <is>
          <t>2026-07-06</t>
        </is>
      </c>
      <c r="J44" t="inlineStr">
        <is>
          <t>1.4</t>
        </is>
      </c>
    </row>
    <row r="45">
      <c r="A45" t="inlineStr">
        <is>
          <t>TECH_000038</t>
        </is>
      </c>
      <c r="C45" t="inlineStr">
        <is>
          <t>RENAULT_4_EVOLUTION_URBAN</t>
        </is>
      </c>
      <c r="D45" t="inlineStr">
        <is>
          <t>DC max charging</t>
        </is>
      </c>
      <c r="E45" t="n">
        <v>80</v>
      </c>
      <c r="F45" t="inlineStr">
        <is>
          <t>KW</t>
        </is>
      </c>
      <c r="G45" t="inlineStr">
        <is>
          <t>SRC_RENAULT_NO_R4_PRICELIST</t>
        </is>
      </c>
      <c r="H45" t="inlineStr">
        <is>
          <t>MEDIUM</t>
        </is>
      </c>
      <c r="I45" t="inlineStr">
        <is>
          <t>2026-07-06</t>
        </is>
      </c>
      <c r="J45" t="inlineStr">
        <is>
          <t>1.4</t>
        </is>
      </c>
    </row>
    <row r="46">
      <c r="A46" t="inlineStr">
        <is>
          <t>TECH_000039</t>
        </is>
      </c>
      <c r="C46" t="inlineStr">
        <is>
          <t>RENAULT_4_EVOLUTION_URBAN</t>
        </is>
      </c>
      <c r="D46" t="inlineStr">
        <is>
          <t>AC max charging</t>
        </is>
      </c>
      <c r="E46" t="n">
        <v>11</v>
      </c>
      <c r="F46" t="inlineStr">
        <is>
          <t>KW</t>
        </is>
      </c>
      <c r="G46" t="inlineStr">
        <is>
          <t>SRC_RENAULT_NO_R4_PRICELIST</t>
        </is>
      </c>
      <c r="H46" t="inlineStr">
        <is>
          <t>MEDIUM</t>
        </is>
      </c>
      <c r="I46" t="inlineStr">
        <is>
          <t>2026-07-06</t>
        </is>
      </c>
      <c r="J46" t="inlineStr">
        <is>
          <t>1.4</t>
        </is>
      </c>
    </row>
    <row r="47">
      <c r="A47" t="inlineStr">
        <is>
          <t>TECH_000040</t>
        </is>
      </c>
      <c r="C47" t="inlineStr">
        <is>
          <t>RENAULT_4_EVOLUTION_URBAN</t>
        </is>
      </c>
      <c r="D47" t="inlineStr">
        <is>
          <t>Battery net</t>
        </is>
      </c>
      <c r="E47" t="n">
        <v>40</v>
      </c>
      <c r="F47" t="inlineStr">
        <is>
          <t>KWH</t>
        </is>
      </c>
      <c r="G47" t="inlineStr">
        <is>
          <t>SRC_RENAULT_NO_R4_PRICELIST</t>
        </is>
      </c>
      <c r="H47" t="inlineStr">
        <is>
          <t>MEDIUM</t>
        </is>
      </c>
      <c r="I47" t="inlineStr">
        <is>
          <t>2026-07-06</t>
        </is>
      </c>
      <c r="J47" t="inlineStr">
        <is>
          <t>1.4</t>
        </is>
      </c>
    </row>
    <row r="48">
      <c r="A48" t="inlineStr">
        <is>
          <t>TECH_000041</t>
        </is>
      </c>
      <c r="C48" t="inlineStr">
        <is>
          <t>RENAULT_4_EVOLUTION_URBAN</t>
        </is>
      </c>
      <c r="D48" t="inlineStr">
        <is>
          <t>Torque</t>
        </is>
      </c>
      <c r="E48" t="n">
        <v>225</v>
      </c>
      <c r="F48" t="inlineStr">
        <is>
          <t>NM</t>
        </is>
      </c>
      <c r="G48" t="inlineStr">
        <is>
          <t>SRC_RENAULT_NO_R4_PRICELIST</t>
        </is>
      </c>
      <c r="H48" t="inlineStr">
        <is>
          <t>MEDIUM</t>
        </is>
      </c>
      <c r="I48" t="inlineStr">
        <is>
          <t>2026-07-06</t>
        </is>
      </c>
      <c r="J48" t="inlineStr">
        <is>
          <t>1.4</t>
        </is>
      </c>
    </row>
    <row r="49">
      <c r="A49" t="inlineStr">
        <is>
          <t>TECH_000042</t>
        </is>
      </c>
      <c r="C49" t="inlineStr">
        <is>
          <t>RENAULT_4_EVOLUTION_URBAN</t>
        </is>
      </c>
      <c r="D49" t="inlineStr">
        <is>
          <t>Kerb weight</t>
        </is>
      </c>
      <c r="E49" t="n">
        <v>1492</v>
      </c>
      <c r="F49" t="inlineStr">
        <is>
          <t>KG</t>
        </is>
      </c>
      <c r="G49" t="inlineStr">
        <is>
          <t>SRC_RENAULT_NO_R4_PRICELIST</t>
        </is>
      </c>
      <c r="H49" t="inlineStr">
        <is>
          <t>MEDIUM</t>
        </is>
      </c>
      <c r="I49" t="inlineStr">
        <is>
          <t>2026-07-06</t>
        </is>
      </c>
      <c r="J49" t="inlineStr">
        <is>
          <t>1.4</t>
        </is>
      </c>
    </row>
    <row r="50">
      <c r="A50" t="inlineStr">
        <is>
          <t>TECH_000043</t>
        </is>
      </c>
      <c r="C50" t="inlineStr">
        <is>
          <t>RENAULT_4_EVOLUTION_URBAN</t>
        </is>
      </c>
      <c r="D50" t="inlineStr">
        <is>
          <t>Boot volume</t>
        </is>
      </c>
      <c r="E50" t="n">
        <v>420</v>
      </c>
      <c r="F50" t="inlineStr">
        <is>
          <t>L</t>
        </is>
      </c>
      <c r="G50" t="inlineStr">
        <is>
          <t>SRC_RENAULT_NO_R4_PAGE</t>
        </is>
      </c>
      <c r="H50" t="inlineStr">
        <is>
          <t>MEDIUM</t>
        </is>
      </c>
      <c r="I50" t="inlineStr">
        <is>
          <t>2026-07-06</t>
        </is>
      </c>
      <c r="J50" t="inlineStr">
        <is>
          <t>1.4</t>
        </is>
      </c>
    </row>
    <row r="51">
      <c r="A51" t="inlineStr">
        <is>
          <t>TECH_000044</t>
        </is>
      </c>
      <c r="C51" t="inlineStr">
        <is>
          <t>RENAULT_4_EVOLUTION_COMFORT</t>
        </is>
      </c>
      <c r="D51" t="inlineStr">
        <is>
          <t>WLTP range</t>
        </is>
      </c>
      <c r="E51" t="n">
        <v>407</v>
      </c>
      <c r="F51" t="inlineStr">
        <is>
          <t>KM</t>
        </is>
      </c>
      <c r="G51" t="inlineStr">
        <is>
          <t>SRC_RENAULT_NO_R4_PRICELIST</t>
        </is>
      </c>
      <c r="H51" t="inlineStr">
        <is>
          <t>MEDIUM</t>
        </is>
      </c>
      <c r="I51" t="inlineStr">
        <is>
          <t>2026-07-06</t>
        </is>
      </c>
      <c r="J51" t="inlineStr">
        <is>
          <t>1.4</t>
        </is>
      </c>
    </row>
    <row r="52">
      <c r="A52" t="inlineStr">
        <is>
          <t>TECH_000045</t>
        </is>
      </c>
      <c r="C52" t="inlineStr">
        <is>
          <t>RENAULT_4_EVOLUTION_COMFORT</t>
        </is>
      </c>
      <c r="D52" t="inlineStr">
        <is>
          <t>WLTP consumption</t>
        </is>
      </c>
      <c r="E52" t="n">
        <v>15.2</v>
      </c>
      <c r="F52" t="inlineStr">
        <is>
          <t>KWH_100KM</t>
        </is>
      </c>
      <c r="G52" t="inlineStr">
        <is>
          <t>SRC_RENAULT_NO_R4_PRICELIST</t>
        </is>
      </c>
      <c r="H52" t="inlineStr">
        <is>
          <t>MEDIUM</t>
        </is>
      </c>
      <c r="I52" t="inlineStr">
        <is>
          <t>2026-07-06</t>
        </is>
      </c>
      <c r="J52" t="inlineStr">
        <is>
          <t>1.4</t>
        </is>
      </c>
    </row>
    <row r="53">
      <c r="A53" t="inlineStr">
        <is>
          <t>TECH_000046</t>
        </is>
      </c>
      <c r="C53" t="inlineStr">
        <is>
          <t>RENAULT_4_EVOLUTION_COMFORT</t>
        </is>
      </c>
      <c r="D53" t="inlineStr">
        <is>
          <t>DC max charging</t>
        </is>
      </c>
      <c r="E53" t="n">
        <v>100</v>
      </c>
      <c r="F53" t="inlineStr">
        <is>
          <t>KW</t>
        </is>
      </c>
      <c r="G53" t="inlineStr">
        <is>
          <t>SRC_RENAULT_NO_R4_PRICELIST</t>
        </is>
      </c>
      <c r="H53" t="inlineStr">
        <is>
          <t>MEDIUM</t>
        </is>
      </c>
      <c r="I53" t="inlineStr">
        <is>
          <t>2026-07-06</t>
        </is>
      </c>
      <c r="J53" t="inlineStr">
        <is>
          <t>1.4</t>
        </is>
      </c>
    </row>
    <row r="54">
      <c r="A54" t="inlineStr">
        <is>
          <t>TECH_000047</t>
        </is>
      </c>
      <c r="C54" t="inlineStr">
        <is>
          <t>RENAULT_4_EVOLUTION_COMFORT</t>
        </is>
      </c>
      <c r="D54" t="inlineStr">
        <is>
          <t>AC max charging</t>
        </is>
      </c>
      <c r="E54" t="n">
        <v>11</v>
      </c>
      <c r="F54" t="inlineStr">
        <is>
          <t>KW</t>
        </is>
      </c>
      <c r="G54" t="inlineStr">
        <is>
          <t>SRC_RENAULT_NO_R4_PRICELIST</t>
        </is>
      </c>
      <c r="H54" t="inlineStr">
        <is>
          <t>MEDIUM</t>
        </is>
      </c>
      <c r="I54" t="inlineStr">
        <is>
          <t>2026-07-06</t>
        </is>
      </c>
      <c r="J54" t="inlineStr">
        <is>
          <t>1.4</t>
        </is>
      </c>
    </row>
    <row r="55">
      <c r="A55" t="inlineStr">
        <is>
          <t>TECH_000048</t>
        </is>
      </c>
      <c r="C55" t="inlineStr">
        <is>
          <t>RENAULT_4_EVOLUTION_COMFORT</t>
        </is>
      </c>
      <c r="D55" t="inlineStr">
        <is>
          <t>Battery net</t>
        </is>
      </c>
      <c r="E55" t="n">
        <v>52</v>
      </c>
      <c r="F55" t="inlineStr">
        <is>
          <t>KWH</t>
        </is>
      </c>
      <c r="G55" t="inlineStr">
        <is>
          <t>SRC_RENAULT_NO_R4_PRICELIST</t>
        </is>
      </c>
      <c r="H55" t="inlineStr">
        <is>
          <t>MEDIUM</t>
        </is>
      </c>
      <c r="I55" t="inlineStr">
        <is>
          <t>2026-07-06</t>
        </is>
      </c>
      <c r="J55" t="inlineStr">
        <is>
          <t>1.4</t>
        </is>
      </c>
    </row>
    <row r="56">
      <c r="A56" t="inlineStr">
        <is>
          <t>TECH_000049</t>
        </is>
      </c>
      <c r="C56" t="inlineStr">
        <is>
          <t>RENAULT_4_EVOLUTION_COMFORT</t>
        </is>
      </c>
      <c r="D56" t="inlineStr">
        <is>
          <t>Torque</t>
        </is>
      </c>
      <c r="E56" t="n">
        <v>245</v>
      </c>
      <c r="F56" t="inlineStr">
        <is>
          <t>NM</t>
        </is>
      </c>
      <c r="G56" t="inlineStr">
        <is>
          <t>SRC_RENAULT_NO_R4_PRICELIST</t>
        </is>
      </c>
      <c r="H56" t="inlineStr">
        <is>
          <t>MEDIUM</t>
        </is>
      </c>
      <c r="I56" t="inlineStr">
        <is>
          <t>2026-07-06</t>
        </is>
      </c>
      <c r="J56" t="inlineStr">
        <is>
          <t>1.4</t>
        </is>
      </c>
    </row>
    <row r="57">
      <c r="A57" t="inlineStr">
        <is>
          <t>TECH_000050</t>
        </is>
      </c>
      <c r="C57" t="inlineStr">
        <is>
          <t>RENAULT_4_EVOLUTION_COMFORT</t>
        </is>
      </c>
      <c r="D57" t="inlineStr">
        <is>
          <t>Kerb weight</t>
        </is>
      </c>
      <c r="E57" t="n">
        <v>1544</v>
      </c>
      <c r="F57" t="inlineStr">
        <is>
          <t>KG</t>
        </is>
      </c>
      <c r="G57" t="inlineStr">
        <is>
          <t>SRC_RENAULT_NO_R4_PRICELIST</t>
        </is>
      </c>
      <c r="H57" t="inlineStr">
        <is>
          <t>MEDIUM</t>
        </is>
      </c>
      <c r="I57" t="inlineStr">
        <is>
          <t>2026-07-06</t>
        </is>
      </c>
      <c r="J57" t="inlineStr">
        <is>
          <t>1.4</t>
        </is>
      </c>
    </row>
    <row r="58">
      <c r="A58" t="inlineStr">
        <is>
          <t>TECH_000051</t>
        </is>
      </c>
      <c r="C58" t="inlineStr">
        <is>
          <t>RENAULT_4_TECHNO</t>
        </is>
      </c>
      <c r="D58" t="inlineStr">
        <is>
          <t>WLTP range</t>
        </is>
      </c>
      <c r="E58" t="n">
        <v>398</v>
      </c>
      <c r="F58" t="inlineStr">
        <is>
          <t>KM</t>
        </is>
      </c>
      <c r="G58" t="inlineStr">
        <is>
          <t>SRC_RENAULT_NO_R4_PRICELIST</t>
        </is>
      </c>
      <c r="H58" t="inlineStr">
        <is>
          <t>MEDIUM</t>
        </is>
      </c>
      <c r="I58" t="inlineStr">
        <is>
          <t>2026-07-06</t>
        </is>
      </c>
      <c r="J58" t="inlineStr">
        <is>
          <t>1.4</t>
        </is>
      </c>
    </row>
    <row r="59">
      <c r="A59" t="inlineStr">
        <is>
          <t>TECH_000052</t>
        </is>
      </c>
      <c r="C59" t="inlineStr">
        <is>
          <t>RENAULT_4_TECHNO</t>
        </is>
      </c>
      <c r="D59" t="inlineStr">
        <is>
          <t>WLTP consumption</t>
        </is>
      </c>
      <c r="E59" t="n">
        <v>15.5</v>
      </c>
      <c r="F59" t="inlineStr">
        <is>
          <t>KWH_100KM</t>
        </is>
      </c>
      <c r="G59" t="inlineStr">
        <is>
          <t>SRC_RENAULT_NO_R4_PRICELIST</t>
        </is>
      </c>
      <c r="H59" t="inlineStr">
        <is>
          <t>MEDIUM</t>
        </is>
      </c>
      <c r="I59" t="inlineStr">
        <is>
          <t>2026-07-06</t>
        </is>
      </c>
      <c r="J59" t="inlineStr">
        <is>
          <t>1.4</t>
        </is>
      </c>
    </row>
    <row r="60">
      <c r="A60" t="inlineStr">
        <is>
          <t>TECH_000053</t>
        </is>
      </c>
      <c r="C60" t="inlineStr">
        <is>
          <t>RENAULT_4_TECHNO</t>
        </is>
      </c>
      <c r="D60" t="inlineStr">
        <is>
          <t>DC max charging</t>
        </is>
      </c>
      <c r="E60" t="n">
        <v>100</v>
      </c>
      <c r="F60" t="inlineStr">
        <is>
          <t>KW</t>
        </is>
      </c>
      <c r="G60" t="inlineStr">
        <is>
          <t>SRC_RENAULT_NO_R4_PRICELIST</t>
        </is>
      </c>
      <c r="H60" t="inlineStr">
        <is>
          <t>MEDIUM</t>
        </is>
      </c>
      <c r="I60" t="inlineStr">
        <is>
          <t>2026-07-06</t>
        </is>
      </c>
      <c r="J60" t="inlineStr">
        <is>
          <t>1.4</t>
        </is>
      </c>
    </row>
    <row r="61">
      <c r="A61" t="inlineStr">
        <is>
          <t>TECH_000054</t>
        </is>
      </c>
      <c r="C61" t="inlineStr">
        <is>
          <t>RENAULT_4_TECHNO</t>
        </is>
      </c>
      <c r="D61" t="inlineStr">
        <is>
          <t>AC max charging</t>
        </is>
      </c>
      <c r="E61" t="n">
        <v>11</v>
      </c>
      <c r="F61" t="inlineStr">
        <is>
          <t>KW</t>
        </is>
      </c>
      <c r="G61" t="inlineStr">
        <is>
          <t>SRC_RENAULT_NO_R4_PRICELIST</t>
        </is>
      </c>
      <c r="H61" t="inlineStr">
        <is>
          <t>MEDIUM</t>
        </is>
      </c>
      <c r="I61" t="inlineStr">
        <is>
          <t>2026-07-06</t>
        </is>
      </c>
      <c r="J61" t="inlineStr">
        <is>
          <t>1.4</t>
        </is>
      </c>
    </row>
    <row r="62">
      <c r="A62" t="inlineStr">
        <is>
          <t>TECH_000055</t>
        </is>
      </c>
      <c r="C62" t="inlineStr">
        <is>
          <t>RENAULT_4_TECHNO</t>
        </is>
      </c>
      <c r="D62" t="inlineStr">
        <is>
          <t>Battery net</t>
        </is>
      </c>
      <c r="E62" t="n">
        <v>52</v>
      </c>
      <c r="F62" t="inlineStr">
        <is>
          <t>KWH</t>
        </is>
      </c>
      <c r="G62" t="inlineStr">
        <is>
          <t>SRC_RENAULT_NO_R4_PRICELIST</t>
        </is>
      </c>
      <c r="H62" t="inlineStr">
        <is>
          <t>MEDIUM</t>
        </is>
      </c>
      <c r="I62" t="inlineStr">
        <is>
          <t>2026-07-06</t>
        </is>
      </c>
      <c r="J62" t="inlineStr">
        <is>
          <t>1.4</t>
        </is>
      </c>
    </row>
    <row r="63">
      <c r="A63" t="inlineStr">
        <is>
          <t>TECH_000056</t>
        </is>
      </c>
      <c r="C63" t="inlineStr">
        <is>
          <t>RENAULT_4_TECHNO</t>
        </is>
      </c>
      <c r="D63" t="inlineStr">
        <is>
          <t>Torque</t>
        </is>
      </c>
      <c r="E63" t="n">
        <v>245</v>
      </c>
      <c r="F63" t="inlineStr">
        <is>
          <t>NM</t>
        </is>
      </c>
      <c r="G63" t="inlineStr">
        <is>
          <t>SRC_RENAULT_NO_R4_PRICELIST</t>
        </is>
      </c>
      <c r="H63" t="inlineStr">
        <is>
          <t>MEDIUM</t>
        </is>
      </c>
      <c r="I63" t="inlineStr">
        <is>
          <t>2026-07-06</t>
        </is>
      </c>
      <c r="J63" t="inlineStr">
        <is>
          <t>1.4</t>
        </is>
      </c>
    </row>
    <row r="64">
      <c r="A64" t="inlineStr">
        <is>
          <t>TECH_000057</t>
        </is>
      </c>
      <c r="C64" t="inlineStr">
        <is>
          <t>RENAULT_4_TECHNO</t>
        </is>
      </c>
      <c r="D64" t="inlineStr">
        <is>
          <t>Kerb weight</t>
        </is>
      </c>
      <c r="E64" t="n">
        <v>1568</v>
      </c>
      <c r="F64" t="inlineStr">
        <is>
          <t>KG</t>
        </is>
      </c>
      <c r="G64" t="inlineStr">
        <is>
          <t>SRC_RENAULT_NO_R4_PRICELIST</t>
        </is>
      </c>
      <c r="H64" t="inlineStr">
        <is>
          <t>MEDIUM</t>
        </is>
      </c>
      <c r="I64" t="inlineStr">
        <is>
          <t>2026-07-06</t>
        </is>
      </c>
      <c r="J64" t="inlineStr">
        <is>
          <t>1.4</t>
        </is>
      </c>
    </row>
    <row r="65">
      <c r="A65" t="inlineStr">
        <is>
          <t>TECH_000058</t>
        </is>
      </c>
      <c r="C65" t="inlineStr">
        <is>
          <t>RENAULT_4_TECHNO_PLEIN_SUD</t>
        </is>
      </c>
      <c r="D65" t="inlineStr">
        <is>
          <t>WLTP range</t>
        </is>
      </c>
      <c r="E65" t="n">
        <v>394</v>
      </c>
      <c r="F65" t="inlineStr">
        <is>
          <t>KM</t>
        </is>
      </c>
      <c r="G65" t="inlineStr">
        <is>
          <t>SRC_RENAULT_NO_R4_PRICELIST</t>
        </is>
      </c>
      <c r="H65" t="inlineStr">
        <is>
          <t>MEDIUM</t>
        </is>
      </c>
      <c r="I65" t="inlineStr">
        <is>
          <t>2026-07-06</t>
        </is>
      </c>
      <c r="J65" t="inlineStr">
        <is>
          <t>1.4</t>
        </is>
      </c>
    </row>
    <row r="66">
      <c r="A66" t="inlineStr">
        <is>
          <t>TECH_000059</t>
        </is>
      </c>
      <c r="C66" t="inlineStr">
        <is>
          <t>RENAULT_4_TECHNO_PLEIN_SUD</t>
        </is>
      </c>
      <c r="D66" t="inlineStr">
        <is>
          <t>WLTP consumption</t>
        </is>
      </c>
      <c r="E66" t="n">
        <v>15.7</v>
      </c>
      <c r="F66" t="inlineStr">
        <is>
          <t>KWH_100KM</t>
        </is>
      </c>
      <c r="G66" t="inlineStr">
        <is>
          <t>SRC_RENAULT_NO_R4_PRICELIST</t>
        </is>
      </c>
      <c r="H66" t="inlineStr">
        <is>
          <t>MEDIUM</t>
        </is>
      </c>
      <c r="I66" t="inlineStr">
        <is>
          <t>2026-07-06</t>
        </is>
      </c>
      <c r="J66" t="inlineStr">
        <is>
          <t>1.4</t>
        </is>
      </c>
    </row>
    <row r="67">
      <c r="A67" t="inlineStr">
        <is>
          <t>TECH_000060</t>
        </is>
      </c>
      <c r="C67" t="inlineStr">
        <is>
          <t>RENAULT_4_TECHNO_PLEIN_SUD</t>
        </is>
      </c>
      <c r="D67" t="inlineStr">
        <is>
          <t>DC max charging</t>
        </is>
      </c>
      <c r="E67" t="n">
        <v>100</v>
      </c>
      <c r="F67" t="inlineStr">
        <is>
          <t>KW</t>
        </is>
      </c>
      <c r="G67" t="inlineStr">
        <is>
          <t>SRC_RENAULT_NO_R4_PRICELIST</t>
        </is>
      </c>
      <c r="H67" t="inlineStr">
        <is>
          <t>MEDIUM</t>
        </is>
      </c>
      <c r="I67" t="inlineStr">
        <is>
          <t>2026-07-06</t>
        </is>
      </c>
      <c r="J67" t="inlineStr">
        <is>
          <t>1.4</t>
        </is>
      </c>
    </row>
    <row r="68">
      <c r="A68" t="inlineStr">
        <is>
          <t>TECH_000061</t>
        </is>
      </c>
      <c r="C68" t="inlineStr">
        <is>
          <t>RENAULT_4_TECHNO_PLEIN_SUD</t>
        </is>
      </c>
      <c r="D68" t="inlineStr">
        <is>
          <t>AC max charging</t>
        </is>
      </c>
      <c r="E68" t="n">
        <v>11</v>
      </c>
      <c r="F68" t="inlineStr">
        <is>
          <t>KW</t>
        </is>
      </c>
      <c r="G68" t="inlineStr">
        <is>
          <t>SRC_RENAULT_NO_R4_PRICELIST</t>
        </is>
      </c>
      <c r="H68" t="inlineStr">
        <is>
          <t>MEDIUM</t>
        </is>
      </c>
      <c r="I68" t="inlineStr">
        <is>
          <t>2026-07-06</t>
        </is>
      </c>
      <c r="J68" t="inlineStr">
        <is>
          <t>1.4</t>
        </is>
      </c>
    </row>
    <row r="69">
      <c r="A69" t="inlineStr">
        <is>
          <t>TECH_000062</t>
        </is>
      </c>
      <c r="C69" t="inlineStr">
        <is>
          <t>RENAULT_4_TECHNO_PLEIN_SUD</t>
        </is>
      </c>
      <c r="D69" t="inlineStr">
        <is>
          <t>Battery net</t>
        </is>
      </c>
      <c r="E69" t="n">
        <v>52</v>
      </c>
      <c r="F69" t="inlineStr">
        <is>
          <t>KWH</t>
        </is>
      </c>
      <c r="G69" t="inlineStr">
        <is>
          <t>SRC_RENAULT_NO_R4_PRICELIST</t>
        </is>
      </c>
      <c r="H69" t="inlineStr">
        <is>
          <t>MEDIUM</t>
        </is>
      </c>
      <c r="I69" t="inlineStr">
        <is>
          <t>2026-07-06</t>
        </is>
      </c>
      <c r="J69" t="inlineStr">
        <is>
          <t>1.4</t>
        </is>
      </c>
    </row>
    <row r="70">
      <c r="A70" t="inlineStr">
        <is>
          <t>TECH_000063</t>
        </is>
      </c>
      <c r="C70" t="inlineStr">
        <is>
          <t>RENAULT_4_TECHNO_PLEIN_SUD</t>
        </is>
      </c>
      <c r="D70" t="inlineStr">
        <is>
          <t>Torque</t>
        </is>
      </c>
      <c r="E70" t="n">
        <v>245</v>
      </c>
      <c r="F70" t="inlineStr">
        <is>
          <t>NM</t>
        </is>
      </c>
      <c r="G70" t="inlineStr">
        <is>
          <t>SRC_RENAULT_NO_R4_PRICELIST</t>
        </is>
      </c>
      <c r="H70" t="inlineStr">
        <is>
          <t>MEDIUM</t>
        </is>
      </c>
      <c r="I70" t="inlineStr">
        <is>
          <t>2026-07-06</t>
        </is>
      </c>
      <c r="J70" t="inlineStr">
        <is>
          <t>1.4</t>
        </is>
      </c>
    </row>
    <row r="71">
      <c r="A71" t="inlineStr">
        <is>
          <t>TECH_000064</t>
        </is>
      </c>
      <c r="C71" t="inlineStr">
        <is>
          <t>RENAULT_4_ICONIC</t>
        </is>
      </c>
      <c r="D71" t="inlineStr">
        <is>
          <t>WLTP range</t>
        </is>
      </c>
      <c r="E71" t="n">
        <v>396</v>
      </c>
      <c r="F71" t="inlineStr">
        <is>
          <t>KM</t>
        </is>
      </c>
      <c r="G71" t="inlineStr">
        <is>
          <t>SRC_RENAULT_NO_R4_PRICELIST</t>
        </is>
      </c>
      <c r="H71" t="inlineStr">
        <is>
          <t>MEDIUM</t>
        </is>
      </c>
      <c r="I71" t="inlineStr">
        <is>
          <t>2026-07-06</t>
        </is>
      </c>
      <c r="J71" t="inlineStr">
        <is>
          <t>1.4</t>
        </is>
      </c>
    </row>
    <row r="72">
      <c r="A72" t="inlineStr">
        <is>
          <t>TECH_000065</t>
        </is>
      </c>
      <c r="C72" t="inlineStr">
        <is>
          <t>RENAULT_4_ICONIC</t>
        </is>
      </c>
      <c r="D72" t="inlineStr">
        <is>
          <t>WLTP consumption</t>
        </is>
      </c>
      <c r="E72" t="n">
        <v>15.6</v>
      </c>
      <c r="F72" t="inlineStr">
        <is>
          <t>KWH_100KM</t>
        </is>
      </c>
      <c r="G72" t="inlineStr">
        <is>
          <t>SRC_RENAULT_NO_R4_PRICELIST</t>
        </is>
      </c>
      <c r="H72" t="inlineStr">
        <is>
          <t>MEDIUM</t>
        </is>
      </c>
      <c r="I72" t="inlineStr">
        <is>
          <t>2026-07-06</t>
        </is>
      </c>
      <c r="J72" t="inlineStr">
        <is>
          <t>1.4</t>
        </is>
      </c>
    </row>
    <row r="73">
      <c r="A73" t="inlineStr">
        <is>
          <t>TECH_000066</t>
        </is>
      </c>
      <c r="C73" t="inlineStr">
        <is>
          <t>RENAULT_4_ICONIC</t>
        </is>
      </c>
      <c r="D73" t="inlineStr">
        <is>
          <t>DC max charging</t>
        </is>
      </c>
      <c r="E73" t="n">
        <v>100</v>
      </c>
      <c r="F73" t="inlineStr">
        <is>
          <t>KW</t>
        </is>
      </c>
      <c r="G73" t="inlineStr">
        <is>
          <t>SRC_RENAULT_NO_R4_PRICELIST</t>
        </is>
      </c>
      <c r="H73" t="inlineStr">
        <is>
          <t>MEDIUM</t>
        </is>
      </c>
      <c r="I73" t="inlineStr">
        <is>
          <t>2026-07-06</t>
        </is>
      </c>
      <c r="J73" t="inlineStr">
        <is>
          <t>1.4</t>
        </is>
      </c>
    </row>
    <row r="74">
      <c r="A74" t="inlineStr">
        <is>
          <t>TECH_000067</t>
        </is>
      </c>
      <c r="C74" t="inlineStr">
        <is>
          <t>RENAULT_4_ICONIC</t>
        </is>
      </c>
      <c r="D74" t="inlineStr">
        <is>
          <t>AC max charging</t>
        </is>
      </c>
      <c r="E74" t="n">
        <v>11</v>
      </c>
      <c r="F74" t="inlineStr">
        <is>
          <t>KW</t>
        </is>
      </c>
      <c r="G74" t="inlineStr">
        <is>
          <t>SRC_RENAULT_NO_R4_PRICELIST</t>
        </is>
      </c>
      <c r="H74" t="inlineStr">
        <is>
          <t>MEDIUM</t>
        </is>
      </c>
      <c r="I74" t="inlineStr">
        <is>
          <t>2026-07-06</t>
        </is>
      </c>
      <c r="J74" t="inlineStr">
        <is>
          <t>1.4</t>
        </is>
      </c>
    </row>
    <row r="75">
      <c r="A75" t="inlineStr">
        <is>
          <t>TECH_000068</t>
        </is>
      </c>
      <c r="C75" t="inlineStr">
        <is>
          <t>RENAULT_4_ICONIC</t>
        </is>
      </c>
      <c r="D75" t="inlineStr">
        <is>
          <t>Battery net</t>
        </is>
      </c>
      <c r="E75" t="n">
        <v>52</v>
      </c>
      <c r="F75" t="inlineStr">
        <is>
          <t>KWH</t>
        </is>
      </c>
      <c r="G75" t="inlineStr">
        <is>
          <t>SRC_RENAULT_NO_R4_PRICELIST</t>
        </is>
      </c>
      <c r="H75" t="inlineStr">
        <is>
          <t>MEDIUM</t>
        </is>
      </c>
      <c r="I75" t="inlineStr">
        <is>
          <t>2026-07-06</t>
        </is>
      </c>
      <c r="J75" t="inlineStr">
        <is>
          <t>1.4</t>
        </is>
      </c>
    </row>
    <row r="76">
      <c r="A76" t="inlineStr">
        <is>
          <t>TECH_000069</t>
        </is>
      </c>
      <c r="C76" t="inlineStr">
        <is>
          <t>RENAULT_4_ICONIC</t>
        </is>
      </c>
      <c r="D76" t="inlineStr">
        <is>
          <t>Torque</t>
        </is>
      </c>
      <c r="E76" t="n">
        <v>245</v>
      </c>
      <c r="F76" t="inlineStr">
        <is>
          <t>NM</t>
        </is>
      </c>
      <c r="G76" t="inlineStr">
        <is>
          <t>SRC_RENAULT_NO_R4_PRICELIST</t>
        </is>
      </c>
      <c r="H76" t="inlineStr">
        <is>
          <t>MEDIUM</t>
        </is>
      </c>
      <c r="I76" t="inlineStr">
        <is>
          <t>2026-07-06</t>
        </is>
      </c>
      <c r="J76" t="inlineStr">
        <is>
          <t>1.4</t>
        </is>
      </c>
    </row>
    <row r="77">
      <c r="A77" t="inlineStr">
        <is>
          <t>TECH_000070</t>
        </is>
      </c>
      <c r="C77" t="inlineStr">
        <is>
          <t>RENAULT_4_ICONIC</t>
        </is>
      </c>
      <c r="D77" t="inlineStr">
        <is>
          <t>Kerb weight</t>
        </is>
      </c>
      <c r="E77" t="n">
        <v>1574</v>
      </c>
      <c r="F77" t="inlineStr">
        <is>
          <t>KG</t>
        </is>
      </c>
      <c r="G77" t="inlineStr">
        <is>
          <t>SRC_RENAULT_NO_R4_PRICELIST</t>
        </is>
      </c>
      <c r="H77" t="inlineStr">
        <is>
          <t>MEDIUM</t>
        </is>
      </c>
      <c r="I77" t="inlineStr">
        <is>
          <t>2026-07-06</t>
        </is>
      </c>
      <c r="J77" t="inlineStr">
        <is>
          <t>1.4</t>
        </is>
      </c>
    </row>
    <row r="78">
      <c r="A78" t="inlineStr">
        <is>
          <t>TECH_000071</t>
        </is>
      </c>
      <c r="C78" t="inlineStr">
        <is>
          <t>RENAULT_4_ICONIC_PLEIN_SUD</t>
        </is>
      </c>
      <c r="D78" t="inlineStr">
        <is>
          <t>WLTP range</t>
        </is>
      </c>
      <c r="E78" t="n">
        <v>392</v>
      </c>
      <c r="F78" t="inlineStr">
        <is>
          <t>KM</t>
        </is>
      </c>
      <c r="G78" t="inlineStr">
        <is>
          <t>SRC_RENAULT_NO_R4_PRICELIST</t>
        </is>
      </c>
      <c r="H78" t="inlineStr">
        <is>
          <t>MEDIUM</t>
        </is>
      </c>
      <c r="I78" t="inlineStr">
        <is>
          <t>2026-07-06</t>
        </is>
      </c>
      <c r="J78" t="inlineStr">
        <is>
          <t>1.4</t>
        </is>
      </c>
    </row>
    <row r="79">
      <c r="A79" t="inlineStr">
        <is>
          <t>TECH_000072</t>
        </is>
      </c>
      <c r="C79" t="inlineStr">
        <is>
          <t>RENAULT_4_ICONIC_PLEIN_SUD</t>
        </is>
      </c>
      <c r="D79" t="inlineStr">
        <is>
          <t>WLTP consumption</t>
        </is>
      </c>
      <c r="E79" t="n">
        <v>15.8</v>
      </c>
      <c r="F79" t="inlineStr">
        <is>
          <t>KWH_100KM</t>
        </is>
      </c>
      <c r="G79" t="inlineStr">
        <is>
          <t>SRC_RENAULT_NO_R4_PRICELIST</t>
        </is>
      </c>
      <c r="H79" t="inlineStr">
        <is>
          <t>MEDIUM</t>
        </is>
      </c>
      <c r="I79" t="inlineStr">
        <is>
          <t>2026-07-06</t>
        </is>
      </c>
      <c r="J79" t="inlineStr">
        <is>
          <t>1.4</t>
        </is>
      </c>
    </row>
    <row r="80">
      <c r="A80" t="inlineStr">
        <is>
          <t>TECH_000073</t>
        </is>
      </c>
      <c r="C80" t="inlineStr">
        <is>
          <t>RENAULT_4_ICONIC_PLEIN_SUD</t>
        </is>
      </c>
      <c r="D80" t="inlineStr">
        <is>
          <t>DC max charging</t>
        </is>
      </c>
      <c r="E80" t="n">
        <v>100</v>
      </c>
      <c r="F80" t="inlineStr">
        <is>
          <t>KW</t>
        </is>
      </c>
      <c r="G80" t="inlineStr">
        <is>
          <t>SRC_RENAULT_NO_R4_PRICELIST</t>
        </is>
      </c>
      <c r="H80" t="inlineStr">
        <is>
          <t>MEDIUM</t>
        </is>
      </c>
      <c r="I80" t="inlineStr">
        <is>
          <t>2026-07-06</t>
        </is>
      </c>
      <c r="J80" t="inlineStr">
        <is>
          <t>1.4</t>
        </is>
      </c>
    </row>
    <row r="81">
      <c r="A81" t="inlineStr">
        <is>
          <t>TECH_000074</t>
        </is>
      </c>
      <c r="C81" t="inlineStr">
        <is>
          <t>RENAULT_4_ICONIC_PLEIN_SUD</t>
        </is>
      </c>
      <c r="D81" t="inlineStr">
        <is>
          <t>AC max charging</t>
        </is>
      </c>
      <c r="E81" t="n">
        <v>11</v>
      </c>
      <c r="F81" t="inlineStr">
        <is>
          <t>KW</t>
        </is>
      </c>
      <c r="G81" t="inlineStr">
        <is>
          <t>SRC_RENAULT_NO_R4_PRICELIST</t>
        </is>
      </c>
      <c r="H81" t="inlineStr">
        <is>
          <t>MEDIUM</t>
        </is>
      </c>
      <c r="I81" t="inlineStr">
        <is>
          <t>2026-07-06</t>
        </is>
      </c>
      <c r="J81" t="inlineStr">
        <is>
          <t>1.4</t>
        </is>
      </c>
    </row>
    <row r="82">
      <c r="A82" t="inlineStr">
        <is>
          <t>TECH_000075</t>
        </is>
      </c>
      <c r="C82" t="inlineStr">
        <is>
          <t>RENAULT_4_ICONIC_PLEIN_SUD</t>
        </is>
      </c>
      <c r="D82" t="inlineStr">
        <is>
          <t>Battery net</t>
        </is>
      </c>
      <c r="E82" t="n">
        <v>52</v>
      </c>
      <c r="F82" t="inlineStr">
        <is>
          <t>KWH</t>
        </is>
      </c>
      <c r="G82" t="inlineStr">
        <is>
          <t>SRC_RENAULT_NO_R4_PRICELIST</t>
        </is>
      </c>
      <c r="H82" t="inlineStr">
        <is>
          <t>MEDIUM</t>
        </is>
      </c>
      <c r="I82" t="inlineStr">
        <is>
          <t>2026-07-06</t>
        </is>
      </c>
      <c r="J82" t="inlineStr">
        <is>
          <t>1.4</t>
        </is>
      </c>
    </row>
    <row r="83">
      <c r="A83" t="inlineStr">
        <is>
          <t>TECH_000076</t>
        </is>
      </c>
      <c r="C83" t="inlineStr">
        <is>
          <t>RENAULT_4_ICONIC_PLEIN_SUD</t>
        </is>
      </c>
      <c r="D83" t="inlineStr">
        <is>
          <t>Torque</t>
        </is>
      </c>
      <c r="E83" t="n">
        <v>245</v>
      </c>
      <c r="F83" t="inlineStr">
        <is>
          <t>NM</t>
        </is>
      </c>
      <c r="G83" t="inlineStr">
        <is>
          <t>SRC_RENAULT_NO_R4_PRICELIST</t>
        </is>
      </c>
      <c r="H83" t="inlineStr">
        <is>
          <t>MEDIUM</t>
        </is>
      </c>
      <c r="I83" t="inlineStr">
        <is>
          <t>2026-07-06</t>
        </is>
      </c>
      <c r="J83" t="inlineStr">
        <is>
          <t>1.4</t>
        </is>
      </c>
    </row>
    <row r="84">
      <c r="A84" t="inlineStr">
        <is>
          <t>TECH_000077</t>
        </is>
      </c>
      <c r="B84" t="inlineStr">
        <is>
          <t>SKODA_ELROQ</t>
        </is>
      </c>
      <c r="D84" t="inlineStr">
        <is>
          <t>Length</t>
        </is>
      </c>
      <c r="E84" t="n">
        <v>4488</v>
      </c>
      <c r="F84" t="inlineStr">
        <is>
          <t>MM</t>
        </is>
      </c>
      <c r="G84" t="inlineStr">
        <is>
          <t>SRC_SKODA_GLOBAL_TECHDATA</t>
        </is>
      </c>
      <c r="H84" t="inlineStr">
        <is>
          <t>MEDIUM</t>
        </is>
      </c>
      <c r="I84" t="inlineStr">
        <is>
          <t>2026-07-06</t>
        </is>
      </c>
      <c r="J84" t="inlineStr">
        <is>
          <t>1.4</t>
        </is>
      </c>
    </row>
    <row r="85">
      <c r="A85" t="inlineStr">
        <is>
          <t>TECH_000078</t>
        </is>
      </c>
      <c r="B85" t="inlineStr">
        <is>
          <t>SKODA_ELROQ</t>
        </is>
      </c>
      <c r="D85" t="inlineStr">
        <is>
          <t>Width</t>
        </is>
      </c>
      <c r="E85" t="n">
        <v>1884</v>
      </c>
      <c r="F85" t="inlineStr">
        <is>
          <t>MM</t>
        </is>
      </c>
      <c r="G85" t="inlineStr">
        <is>
          <t>SRC_SKODA_GLOBAL_TECHDATA</t>
        </is>
      </c>
      <c r="H85" t="inlineStr">
        <is>
          <t>MEDIUM</t>
        </is>
      </c>
      <c r="I85" t="inlineStr">
        <is>
          <t>2026-07-06</t>
        </is>
      </c>
      <c r="J85" t="inlineStr">
        <is>
          <t>1.4</t>
        </is>
      </c>
    </row>
    <row r="86">
      <c r="A86" t="inlineStr">
        <is>
          <t>TECH_000079</t>
        </is>
      </c>
      <c r="B86" t="inlineStr">
        <is>
          <t>SKODA_ELROQ</t>
        </is>
      </c>
      <c r="D86" t="inlineStr">
        <is>
          <t>Boot volume</t>
        </is>
      </c>
      <c r="E86" t="n">
        <v>470</v>
      </c>
      <c r="F86" t="inlineStr">
        <is>
          <t>L</t>
        </is>
      </c>
      <c r="G86" t="inlineStr">
        <is>
          <t>SRC_SKODA_GLOBAL_TECHDATA</t>
        </is>
      </c>
      <c r="H86" t="inlineStr">
        <is>
          <t>MEDIUM</t>
        </is>
      </c>
      <c r="I86" t="inlineStr">
        <is>
          <t>2026-07-06</t>
        </is>
      </c>
      <c r="J86" t="inlineStr">
        <is>
          <t>1.4</t>
        </is>
      </c>
    </row>
    <row r="87">
      <c r="A87" t="inlineStr">
        <is>
          <t>TECH_000080</t>
        </is>
      </c>
      <c r="C87" t="inlineStr">
        <is>
          <t>SKODA_ELROQ_ESSENCE_60</t>
        </is>
      </c>
      <c r="D87" t="inlineStr">
        <is>
          <t>WLTP range</t>
        </is>
      </c>
      <c r="E87" t="n">
        <v>453</v>
      </c>
      <c r="F87" t="inlineStr">
        <is>
          <t>KM</t>
        </is>
      </c>
      <c r="G87" t="inlineStr">
        <is>
          <t>SRC_SKODA_NO_ELROQ_PRICELIST</t>
        </is>
      </c>
      <c r="H87" t="inlineStr">
        <is>
          <t>MEDIUM</t>
        </is>
      </c>
      <c r="I87" t="inlineStr">
        <is>
          <t>2026-07-06</t>
        </is>
      </c>
      <c r="J87" t="inlineStr">
        <is>
          <t>1.4</t>
        </is>
      </c>
    </row>
    <row r="88">
      <c r="A88" t="inlineStr">
        <is>
          <t>TECH_000081</t>
        </is>
      </c>
      <c r="C88" t="inlineStr">
        <is>
          <t>SKODA_ELROQ_ESSENCE_60</t>
        </is>
      </c>
      <c r="D88" t="inlineStr">
        <is>
          <t>WLTP consumption</t>
        </is>
      </c>
      <c r="E88" t="n">
        <v>15.1</v>
      </c>
      <c r="F88" t="inlineStr">
        <is>
          <t>KWH_100KM</t>
        </is>
      </c>
      <c r="G88" t="inlineStr">
        <is>
          <t>SRC_SKODA_NO_ELROQ_PRICELIST</t>
        </is>
      </c>
      <c r="H88" t="inlineStr">
        <is>
          <t>MEDIUM</t>
        </is>
      </c>
      <c r="I88" t="inlineStr">
        <is>
          <t>2026-07-06</t>
        </is>
      </c>
      <c r="J88" t="inlineStr">
        <is>
          <t>1.4</t>
        </is>
      </c>
    </row>
    <row r="89">
      <c r="A89" t="inlineStr">
        <is>
          <t>TECH_000082</t>
        </is>
      </c>
      <c r="C89" t="inlineStr">
        <is>
          <t>SKODA_ELROQ_ESSENCE_60</t>
        </is>
      </c>
      <c r="D89" t="inlineStr">
        <is>
          <t>DC max charging</t>
        </is>
      </c>
      <c r="E89" t="n">
        <v>105</v>
      </c>
      <c r="F89" t="inlineStr">
        <is>
          <t>KW</t>
        </is>
      </c>
      <c r="G89" t="inlineStr">
        <is>
          <t>SRC_SKODA_NO_ELROQ_PRICELIST</t>
        </is>
      </c>
      <c r="H89" t="inlineStr">
        <is>
          <t>MEDIUM</t>
        </is>
      </c>
      <c r="I89" t="inlineStr">
        <is>
          <t>2026-07-06</t>
        </is>
      </c>
      <c r="J89" t="inlineStr">
        <is>
          <t>1.4</t>
        </is>
      </c>
    </row>
    <row r="90">
      <c r="A90" t="inlineStr">
        <is>
          <t>TECH_000083</t>
        </is>
      </c>
      <c r="C90" t="inlineStr">
        <is>
          <t>SKODA_ELROQ_ESSENCE_60</t>
        </is>
      </c>
      <c r="D90" t="inlineStr">
        <is>
          <t>Motor power</t>
        </is>
      </c>
      <c r="E90" t="n">
        <v>140</v>
      </c>
      <c r="F90" t="inlineStr">
        <is>
          <t>KW</t>
        </is>
      </c>
      <c r="G90" t="inlineStr">
        <is>
          <t>SRC_SKODA_NO_ELROQ_PRICELIST</t>
        </is>
      </c>
      <c r="H90" t="inlineStr">
        <is>
          <t>MEDIUM</t>
        </is>
      </c>
      <c r="I90" t="inlineStr">
        <is>
          <t>2026-07-06</t>
        </is>
      </c>
      <c r="J90" t="inlineStr">
        <is>
          <t>1.4</t>
        </is>
      </c>
    </row>
    <row r="91">
      <c r="A91" t="inlineStr">
        <is>
          <t>TECH_000084</t>
        </is>
      </c>
      <c r="C91" t="inlineStr">
        <is>
          <t>SKODA_ELROQ_ESSENCE_60</t>
        </is>
      </c>
      <c r="D91" t="inlineStr">
        <is>
          <t>Battery net</t>
        </is>
      </c>
      <c r="E91" t="n">
        <v>58</v>
      </c>
      <c r="F91" t="inlineStr">
        <is>
          <t>KWH</t>
        </is>
      </c>
      <c r="G91" t="inlineStr">
        <is>
          <t>SRC_SKODA_NO_ELROQ_PRICELIST</t>
        </is>
      </c>
      <c r="H91" t="inlineStr">
        <is>
          <t>MEDIUM</t>
        </is>
      </c>
      <c r="I91" t="inlineStr">
        <is>
          <t>2026-07-06</t>
        </is>
      </c>
      <c r="J91" t="inlineStr">
        <is>
          <t>1.4</t>
        </is>
      </c>
    </row>
    <row r="92">
      <c r="A92" t="inlineStr">
        <is>
          <t>TECH_000085</t>
        </is>
      </c>
      <c r="C92" t="inlineStr">
        <is>
          <t>SKODA_ELROQ_ESSENCE_60</t>
        </is>
      </c>
      <c r="D92" t="inlineStr">
        <is>
          <t>Height</t>
        </is>
      </c>
      <c r="E92" t="n">
        <v>1625</v>
      </c>
      <c r="F92" t="inlineStr">
        <is>
          <t>MM</t>
        </is>
      </c>
      <c r="G92" t="inlineStr">
        <is>
          <t>SRC_SKODA_GLOBAL_TECHDATA</t>
        </is>
      </c>
      <c r="H92" t="inlineStr">
        <is>
          <t>MEDIUM</t>
        </is>
      </c>
      <c r="I92" t="inlineStr">
        <is>
          <t>2026-07-06</t>
        </is>
      </c>
      <c r="J92" t="inlineStr">
        <is>
          <t>1.4</t>
        </is>
      </c>
    </row>
    <row r="93">
      <c r="A93" t="inlineStr">
        <is>
          <t>TECH_000086</t>
        </is>
      </c>
      <c r="C93" t="inlineStr">
        <is>
          <t>SKODA_ELROQ_ESSENCE_60</t>
        </is>
      </c>
      <c r="D93" t="inlineStr">
        <is>
          <t>Ground clearance</t>
        </is>
      </c>
      <c r="E93" t="n">
        <v>186</v>
      </c>
      <c r="F93" t="inlineStr">
        <is>
          <t>MM</t>
        </is>
      </c>
      <c r="G93" t="inlineStr">
        <is>
          <t>SRC_SKODA_GLOBAL_TECHDATA</t>
        </is>
      </c>
      <c r="H93" t="inlineStr">
        <is>
          <t>MEDIUM</t>
        </is>
      </c>
      <c r="I93" t="inlineStr">
        <is>
          <t>2026-07-06</t>
        </is>
      </c>
      <c r="J93" t="inlineStr">
        <is>
          <t>1.4</t>
        </is>
      </c>
    </row>
    <row r="94">
      <c r="A94" t="inlineStr">
        <is>
          <t>TECH_000087</t>
        </is>
      </c>
      <c r="C94" t="inlineStr">
        <is>
          <t>SKODA_ELROQ_SELECTION_60</t>
        </is>
      </c>
      <c r="D94" t="inlineStr">
        <is>
          <t>WLTP range</t>
        </is>
      </c>
      <c r="E94" t="n">
        <v>448</v>
      </c>
      <c r="F94" t="inlineStr">
        <is>
          <t>KM</t>
        </is>
      </c>
      <c r="G94" t="inlineStr">
        <is>
          <t>SRC_SKODA_NO_ELROQ_PRICELIST</t>
        </is>
      </c>
      <c r="H94" t="inlineStr">
        <is>
          <t>MEDIUM</t>
        </is>
      </c>
      <c r="I94" t="inlineStr">
        <is>
          <t>2026-07-06</t>
        </is>
      </c>
      <c r="J94" t="inlineStr">
        <is>
          <t>1.4</t>
        </is>
      </c>
    </row>
    <row r="95">
      <c r="A95" t="inlineStr">
        <is>
          <t>TECH_000088</t>
        </is>
      </c>
      <c r="C95" t="inlineStr">
        <is>
          <t>SKODA_ELROQ_SELECTION_60</t>
        </is>
      </c>
      <c r="D95" t="inlineStr">
        <is>
          <t>WLTP consumption</t>
        </is>
      </c>
      <c r="E95" t="n">
        <v>15.3</v>
      </c>
      <c r="F95" t="inlineStr">
        <is>
          <t>KWH_100KM</t>
        </is>
      </c>
      <c r="G95" t="inlineStr">
        <is>
          <t>SRC_SKODA_NO_ELROQ_PRICELIST</t>
        </is>
      </c>
      <c r="H95" t="inlineStr">
        <is>
          <t>MEDIUM</t>
        </is>
      </c>
      <c r="I95" t="inlineStr">
        <is>
          <t>2026-07-06</t>
        </is>
      </c>
      <c r="J95" t="inlineStr">
        <is>
          <t>1.4</t>
        </is>
      </c>
    </row>
    <row r="96">
      <c r="A96" t="inlineStr">
        <is>
          <t>TECH_000089</t>
        </is>
      </c>
      <c r="C96" t="inlineStr">
        <is>
          <t>SKODA_ELROQ_SELECTION_60</t>
        </is>
      </c>
      <c r="D96" t="inlineStr">
        <is>
          <t>DC max charging</t>
        </is>
      </c>
      <c r="E96" t="n">
        <v>105</v>
      </c>
      <c r="F96" t="inlineStr">
        <is>
          <t>KW</t>
        </is>
      </c>
      <c r="G96" t="inlineStr">
        <is>
          <t>SRC_SKODA_NO_ELROQ_PRICELIST</t>
        </is>
      </c>
      <c r="H96" t="inlineStr">
        <is>
          <t>MEDIUM</t>
        </is>
      </c>
      <c r="I96" t="inlineStr">
        <is>
          <t>2026-07-06</t>
        </is>
      </c>
      <c r="J96" t="inlineStr">
        <is>
          <t>1.4</t>
        </is>
      </c>
    </row>
    <row r="97">
      <c r="A97" t="inlineStr">
        <is>
          <t>TECH_000090</t>
        </is>
      </c>
      <c r="C97" t="inlineStr">
        <is>
          <t>SKODA_ELROQ_SELECTION_60</t>
        </is>
      </c>
      <c r="D97" t="inlineStr">
        <is>
          <t>Motor power</t>
        </is>
      </c>
      <c r="E97" t="n">
        <v>140</v>
      </c>
      <c r="F97" t="inlineStr">
        <is>
          <t>KW</t>
        </is>
      </c>
      <c r="G97" t="inlineStr">
        <is>
          <t>SRC_SKODA_NO_ELROQ_PRICELIST</t>
        </is>
      </c>
      <c r="H97" t="inlineStr">
        <is>
          <t>MEDIUM</t>
        </is>
      </c>
      <c r="I97" t="inlineStr">
        <is>
          <t>2026-07-06</t>
        </is>
      </c>
      <c r="J97" t="inlineStr">
        <is>
          <t>1.4</t>
        </is>
      </c>
    </row>
    <row r="98">
      <c r="A98" t="inlineStr">
        <is>
          <t>TECH_000091</t>
        </is>
      </c>
      <c r="C98" t="inlineStr">
        <is>
          <t>SKODA_ELROQ_SELECTION_60</t>
        </is>
      </c>
      <c r="D98" t="inlineStr">
        <is>
          <t>Battery net</t>
        </is>
      </c>
      <c r="E98" t="n">
        <v>58</v>
      </c>
      <c r="F98" t="inlineStr">
        <is>
          <t>KWH</t>
        </is>
      </c>
      <c r="G98" t="inlineStr">
        <is>
          <t>SRC_SKODA_NO_ELROQ_PRICELIST</t>
        </is>
      </c>
      <c r="H98" t="inlineStr">
        <is>
          <t>MEDIUM</t>
        </is>
      </c>
      <c r="I98" t="inlineStr">
        <is>
          <t>2026-07-06</t>
        </is>
      </c>
      <c r="J98" t="inlineStr">
        <is>
          <t>1.4</t>
        </is>
      </c>
    </row>
    <row r="99">
      <c r="A99" t="inlineStr">
        <is>
          <t>TECH_000092</t>
        </is>
      </c>
      <c r="C99" t="inlineStr">
        <is>
          <t>SKODA_ELROQ_SELECTION_60</t>
        </is>
      </c>
      <c r="D99" t="inlineStr">
        <is>
          <t>Height</t>
        </is>
      </c>
      <c r="E99" t="n">
        <v>1625</v>
      </c>
      <c r="F99" t="inlineStr">
        <is>
          <t>MM</t>
        </is>
      </c>
      <c r="G99" t="inlineStr">
        <is>
          <t>SRC_SKODA_GLOBAL_TECHDATA</t>
        </is>
      </c>
      <c r="H99" t="inlineStr">
        <is>
          <t>MEDIUM</t>
        </is>
      </c>
      <c r="I99" t="inlineStr">
        <is>
          <t>2026-07-06</t>
        </is>
      </c>
      <c r="J99" t="inlineStr">
        <is>
          <t>1.4</t>
        </is>
      </c>
    </row>
    <row r="100">
      <c r="A100" t="inlineStr">
        <is>
          <t>TECH_000093</t>
        </is>
      </c>
      <c r="C100" t="inlineStr">
        <is>
          <t>SKODA_ELROQ_SELECTION_60</t>
        </is>
      </c>
      <c r="D100" t="inlineStr">
        <is>
          <t>Ground clearance</t>
        </is>
      </c>
      <c r="E100" t="n">
        <v>186</v>
      </c>
      <c r="F100" t="inlineStr">
        <is>
          <t>MM</t>
        </is>
      </c>
      <c r="G100" t="inlineStr">
        <is>
          <t>SRC_SKODA_GLOBAL_TECHDATA</t>
        </is>
      </c>
      <c r="H100" t="inlineStr">
        <is>
          <t>MEDIUM</t>
        </is>
      </c>
      <c r="I100" t="inlineStr">
        <is>
          <t>2026-07-06</t>
        </is>
      </c>
      <c r="J100" t="inlineStr">
        <is>
          <t>1.4</t>
        </is>
      </c>
    </row>
    <row r="101">
      <c r="A101" t="inlineStr">
        <is>
          <t>TECH_000094</t>
        </is>
      </c>
      <c r="C101" t="inlineStr">
        <is>
          <t>SKODA_ELROQ_SELECTION_85X</t>
        </is>
      </c>
      <c r="D101" t="inlineStr">
        <is>
          <t>WLTP range</t>
        </is>
      </c>
      <c r="E101" t="n">
        <v>571</v>
      </c>
      <c r="F101" t="inlineStr">
        <is>
          <t>KM</t>
        </is>
      </c>
      <c r="G101" t="inlineStr">
        <is>
          <t>SRC_SKODA_NO_ELROQ_PRICELIST</t>
        </is>
      </c>
      <c r="H101" t="inlineStr">
        <is>
          <t>MEDIUM</t>
        </is>
      </c>
      <c r="I101" t="inlineStr">
        <is>
          <t>2026-07-06</t>
        </is>
      </c>
      <c r="J101" t="inlineStr">
        <is>
          <t>1.4</t>
        </is>
      </c>
    </row>
    <row r="102">
      <c r="A102" t="inlineStr">
        <is>
          <t>TECH_000095</t>
        </is>
      </c>
      <c r="C102" t="inlineStr">
        <is>
          <t>SKODA_ELROQ_SELECTION_85X</t>
        </is>
      </c>
      <c r="D102" t="inlineStr">
        <is>
          <t>WLTP consumption</t>
        </is>
      </c>
      <c r="E102" t="n">
        <v>15.6</v>
      </c>
      <c r="F102" t="inlineStr">
        <is>
          <t>KWH_100KM</t>
        </is>
      </c>
      <c r="G102" t="inlineStr">
        <is>
          <t>SRC_SKODA_NO_ELROQ_PRICELIST</t>
        </is>
      </c>
      <c r="H102" t="inlineStr">
        <is>
          <t>MEDIUM</t>
        </is>
      </c>
      <c r="I102" t="inlineStr">
        <is>
          <t>2026-07-06</t>
        </is>
      </c>
      <c r="J102" t="inlineStr">
        <is>
          <t>1.4</t>
        </is>
      </c>
    </row>
    <row r="103">
      <c r="A103" t="inlineStr">
        <is>
          <t>TECH_000096</t>
        </is>
      </c>
      <c r="C103" t="inlineStr">
        <is>
          <t>SKODA_ELROQ_SELECTION_85X</t>
        </is>
      </c>
      <c r="D103" t="inlineStr">
        <is>
          <t>DC max charging</t>
        </is>
      </c>
      <c r="E103" t="n">
        <v>165</v>
      </c>
      <c r="F103" t="inlineStr">
        <is>
          <t>KW</t>
        </is>
      </c>
      <c r="G103" t="inlineStr">
        <is>
          <t>SRC_SKODA_NO_ELROQ_PRICELIST</t>
        </is>
      </c>
      <c r="H103" t="inlineStr">
        <is>
          <t>MEDIUM</t>
        </is>
      </c>
      <c r="I103" t="inlineStr">
        <is>
          <t>2026-07-06</t>
        </is>
      </c>
      <c r="J103" t="inlineStr">
        <is>
          <t>1.4</t>
        </is>
      </c>
    </row>
    <row r="104">
      <c r="A104" t="inlineStr">
        <is>
          <t>TECH_000097</t>
        </is>
      </c>
      <c r="C104" t="inlineStr">
        <is>
          <t>SKODA_ELROQ_SELECTION_85X</t>
        </is>
      </c>
      <c r="D104" t="inlineStr">
        <is>
          <t>Motor power</t>
        </is>
      </c>
      <c r="E104" t="n">
        <v>220</v>
      </c>
      <c r="F104" t="inlineStr">
        <is>
          <t>KW</t>
        </is>
      </c>
      <c r="G104" t="inlineStr">
        <is>
          <t>SRC_SKODA_NO_ELROQ_PRICELIST</t>
        </is>
      </c>
      <c r="H104" t="inlineStr">
        <is>
          <t>MEDIUM</t>
        </is>
      </c>
      <c r="I104" t="inlineStr">
        <is>
          <t>2026-07-06</t>
        </is>
      </c>
      <c r="J104" t="inlineStr">
        <is>
          <t>1.4</t>
        </is>
      </c>
    </row>
    <row r="105">
      <c r="A105" t="inlineStr">
        <is>
          <t>TECH_000098</t>
        </is>
      </c>
      <c r="C105" t="inlineStr">
        <is>
          <t>SKODA_ELROQ_SELECTION_85X</t>
        </is>
      </c>
      <c r="D105" t="inlineStr">
        <is>
          <t>Battery net</t>
        </is>
      </c>
      <c r="E105" t="n">
        <v>77</v>
      </c>
      <c r="F105" t="inlineStr">
        <is>
          <t>KWH</t>
        </is>
      </c>
      <c r="G105" t="inlineStr">
        <is>
          <t>SRC_SKODA_NO_ELROQ_PRICELIST</t>
        </is>
      </c>
      <c r="H105" t="inlineStr">
        <is>
          <t>MEDIUM</t>
        </is>
      </c>
      <c r="I105" t="inlineStr">
        <is>
          <t>2026-07-06</t>
        </is>
      </c>
      <c r="J105" t="inlineStr">
        <is>
          <t>1.4</t>
        </is>
      </c>
    </row>
    <row r="106">
      <c r="A106" t="inlineStr">
        <is>
          <t>TECH_000099</t>
        </is>
      </c>
      <c r="C106" t="inlineStr">
        <is>
          <t>SKODA_ELROQ_SELECTION_85X</t>
        </is>
      </c>
      <c r="D106" t="inlineStr">
        <is>
          <t>Height</t>
        </is>
      </c>
      <c r="E106" t="n">
        <v>1608</v>
      </c>
      <c r="F106" t="inlineStr">
        <is>
          <t>MM</t>
        </is>
      </c>
      <c r="G106" t="inlineStr">
        <is>
          <t>SRC_SKODA_GLOBAL_TECHDATA</t>
        </is>
      </c>
      <c r="H106" t="inlineStr">
        <is>
          <t>MEDIUM</t>
        </is>
      </c>
      <c r="I106" t="inlineStr">
        <is>
          <t>2026-07-06</t>
        </is>
      </c>
      <c r="J106" t="inlineStr">
        <is>
          <t>1.4</t>
        </is>
      </c>
    </row>
    <row r="107">
      <c r="A107" t="inlineStr">
        <is>
          <t>TECH_000100</t>
        </is>
      </c>
      <c r="C107" t="inlineStr">
        <is>
          <t>SKODA_ELROQ_SELECTION_85X</t>
        </is>
      </c>
      <c r="D107" t="inlineStr">
        <is>
          <t>Ground clearance</t>
        </is>
      </c>
      <c r="E107" t="n">
        <v>170</v>
      </c>
      <c r="F107" t="inlineStr">
        <is>
          <t>MM</t>
        </is>
      </c>
      <c r="G107" t="inlineStr">
        <is>
          <t>SRC_SKODA_GLOBAL_TECHDATA</t>
        </is>
      </c>
      <c r="H107" t="inlineStr">
        <is>
          <t>MEDIUM</t>
        </is>
      </c>
      <c r="I107" t="inlineStr">
        <is>
          <t>2026-07-06</t>
        </is>
      </c>
      <c r="J107" t="inlineStr">
        <is>
          <t>1.4</t>
        </is>
      </c>
    </row>
    <row r="108">
      <c r="A108" t="inlineStr">
        <is>
          <t>TECH_000101</t>
        </is>
      </c>
      <c r="C108" t="inlineStr">
        <is>
          <t>SKODA_ELROQ_RS</t>
        </is>
      </c>
      <c r="D108" t="inlineStr">
        <is>
          <t>WLTP range</t>
        </is>
      </c>
      <c r="E108" t="n">
        <v>559</v>
      </c>
      <c r="F108" t="inlineStr">
        <is>
          <t>KM</t>
        </is>
      </c>
      <c r="G108" t="inlineStr">
        <is>
          <t>SRC_SKODA_NO_ELROQ_PRICELIST</t>
        </is>
      </c>
      <c r="H108" t="inlineStr">
        <is>
          <t>MEDIUM</t>
        </is>
      </c>
      <c r="I108" t="inlineStr">
        <is>
          <t>2026-07-06</t>
        </is>
      </c>
      <c r="J108" t="inlineStr">
        <is>
          <t>1.4</t>
        </is>
      </c>
    </row>
    <row r="109">
      <c r="A109" t="inlineStr">
        <is>
          <t>TECH_000102</t>
        </is>
      </c>
      <c r="C109" t="inlineStr">
        <is>
          <t>SKODA_ELROQ_RS</t>
        </is>
      </c>
      <c r="D109" t="inlineStr">
        <is>
          <t>WLTP consumption</t>
        </is>
      </c>
      <c r="E109" t="n">
        <v>16.1</v>
      </c>
      <c r="F109" t="inlineStr">
        <is>
          <t>KWH_100KM</t>
        </is>
      </c>
      <c r="G109" t="inlineStr">
        <is>
          <t>SRC_SKODA_NO_ELROQ_PRICELIST</t>
        </is>
      </c>
      <c r="H109" t="inlineStr">
        <is>
          <t>MEDIUM</t>
        </is>
      </c>
      <c r="I109" t="inlineStr">
        <is>
          <t>2026-07-06</t>
        </is>
      </c>
      <c r="J109" t="inlineStr">
        <is>
          <t>1.4</t>
        </is>
      </c>
    </row>
    <row r="110">
      <c r="A110" t="inlineStr">
        <is>
          <t>TECH_000103</t>
        </is>
      </c>
      <c r="C110" t="inlineStr">
        <is>
          <t>SKODA_ELROQ_RS</t>
        </is>
      </c>
      <c r="D110" t="inlineStr">
        <is>
          <t>DC max charging</t>
        </is>
      </c>
      <c r="E110" t="n">
        <v>165</v>
      </c>
      <c r="F110" t="inlineStr">
        <is>
          <t>KW</t>
        </is>
      </c>
      <c r="G110" t="inlineStr">
        <is>
          <t>SRC_SKODA_NO_ELROQ_PRICELIST</t>
        </is>
      </c>
      <c r="H110" t="inlineStr">
        <is>
          <t>MEDIUM</t>
        </is>
      </c>
      <c r="I110" t="inlineStr">
        <is>
          <t>2026-07-06</t>
        </is>
      </c>
      <c r="J110" t="inlineStr">
        <is>
          <t>1.4</t>
        </is>
      </c>
    </row>
    <row r="111">
      <c r="A111" t="inlineStr">
        <is>
          <t>TECH_000104</t>
        </is>
      </c>
      <c r="C111" t="inlineStr">
        <is>
          <t>SKODA_ELROQ_RS</t>
        </is>
      </c>
      <c r="D111" t="inlineStr">
        <is>
          <t>Motor power</t>
        </is>
      </c>
      <c r="E111" t="n">
        <v>250</v>
      </c>
      <c r="F111" t="inlineStr">
        <is>
          <t>KW</t>
        </is>
      </c>
      <c r="G111" t="inlineStr">
        <is>
          <t>SRC_SKODA_NO_ELROQ_PRICELIST</t>
        </is>
      </c>
      <c r="H111" t="inlineStr">
        <is>
          <t>MEDIUM</t>
        </is>
      </c>
      <c r="I111" t="inlineStr">
        <is>
          <t>2026-07-06</t>
        </is>
      </c>
      <c r="J111" t="inlineStr">
        <is>
          <t>1.4</t>
        </is>
      </c>
    </row>
    <row r="112">
      <c r="A112" t="inlineStr">
        <is>
          <t>TECH_000105</t>
        </is>
      </c>
      <c r="C112" t="inlineStr">
        <is>
          <t>SKODA_ELROQ_RS</t>
        </is>
      </c>
      <c r="D112" t="inlineStr">
        <is>
          <t>Battery net</t>
        </is>
      </c>
      <c r="E112" t="n">
        <v>77</v>
      </c>
      <c r="F112" t="inlineStr">
        <is>
          <t>KWH</t>
        </is>
      </c>
      <c r="G112" t="inlineStr">
        <is>
          <t>SRC_SKODA_NO_ELROQ_PRICELIST</t>
        </is>
      </c>
      <c r="H112" t="inlineStr">
        <is>
          <t>MEDIUM</t>
        </is>
      </c>
      <c r="I112" t="inlineStr">
        <is>
          <t>2026-07-06</t>
        </is>
      </c>
      <c r="J112" t="inlineStr">
        <is>
          <t>1.4</t>
        </is>
      </c>
    </row>
    <row r="113">
      <c r="A113" t="inlineStr">
        <is>
          <t>TECH_000106</t>
        </is>
      </c>
      <c r="C113" t="inlineStr">
        <is>
          <t>SKODA_ELROQ_RS</t>
        </is>
      </c>
      <c r="D113" t="inlineStr">
        <is>
          <t>Height</t>
        </is>
      </c>
      <c r="E113" t="n">
        <v>1608</v>
      </c>
      <c r="F113" t="inlineStr">
        <is>
          <t>MM</t>
        </is>
      </c>
      <c r="G113" t="inlineStr">
        <is>
          <t>SRC_SKODA_GLOBAL_TECHDATA</t>
        </is>
      </c>
      <c r="H113" t="inlineStr">
        <is>
          <t>MEDIUM</t>
        </is>
      </c>
      <c r="I113" t="inlineStr">
        <is>
          <t>2026-07-06</t>
        </is>
      </c>
      <c r="J113" t="inlineStr">
        <is>
          <t>1.4</t>
        </is>
      </c>
    </row>
    <row r="114">
      <c r="A114" t="inlineStr">
        <is>
          <t>TECH_000107</t>
        </is>
      </c>
      <c r="C114" t="inlineStr">
        <is>
          <t>SKODA_ELROQ_RS</t>
        </is>
      </c>
      <c r="D114" t="inlineStr">
        <is>
          <t>Ground clearance</t>
        </is>
      </c>
      <c r="E114" t="n">
        <v>170</v>
      </c>
      <c r="F114" t="inlineStr">
        <is>
          <t>MM</t>
        </is>
      </c>
      <c r="G114" t="inlineStr">
        <is>
          <t>SRC_SKODA_GLOBAL_TECHDATA</t>
        </is>
      </c>
      <c r="H114" t="inlineStr">
        <is>
          <t>MEDIUM</t>
        </is>
      </c>
      <c r="I114" t="inlineStr">
        <is>
          <t>2026-07-06</t>
        </is>
      </c>
      <c r="J114" t="inlineStr">
        <is>
          <t>1.4</t>
        </is>
      </c>
    </row>
    <row r="115">
      <c r="A115" t="inlineStr">
        <is>
          <t>TECH_000108</t>
        </is>
      </c>
      <c r="B115" t="inlineStr">
        <is>
          <t>VOLVO_EX30</t>
        </is>
      </c>
      <c r="D115" t="inlineStr">
        <is>
          <t>Length</t>
        </is>
      </c>
      <c r="E115" t="n">
        <v>4233</v>
      </c>
      <c r="F115" t="inlineStr">
        <is>
          <t>MM</t>
        </is>
      </c>
      <c r="G115" t="inlineStr">
        <is>
          <t>SRC_VOLVO_NO_EX30_SPECS</t>
        </is>
      </c>
      <c r="H115" t="inlineStr">
        <is>
          <t>MEDIUM</t>
        </is>
      </c>
      <c r="I115" t="inlineStr">
        <is>
          <t>2026-07-06</t>
        </is>
      </c>
      <c r="J115" t="inlineStr">
        <is>
          <t>1.4</t>
        </is>
      </c>
    </row>
    <row r="116">
      <c r="A116" t="inlineStr">
        <is>
          <t>TECH_000109</t>
        </is>
      </c>
      <c r="B116" t="inlineStr">
        <is>
          <t>VOLVO_EX30</t>
        </is>
      </c>
      <c r="D116" t="inlineStr">
        <is>
          <t>Width</t>
        </is>
      </c>
      <c r="E116" t="n">
        <v>1838</v>
      </c>
      <c r="F116" t="inlineStr">
        <is>
          <t>MM</t>
        </is>
      </c>
      <c r="G116" t="inlineStr">
        <is>
          <t>SRC_VOLVO_NO_EX30_SPECS</t>
        </is>
      </c>
      <c r="H116" t="inlineStr">
        <is>
          <t>MEDIUM</t>
        </is>
      </c>
      <c r="I116" t="inlineStr">
        <is>
          <t>2026-07-06</t>
        </is>
      </c>
      <c r="J116" t="inlineStr">
        <is>
          <t>1.4</t>
        </is>
      </c>
    </row>
    <row r="117">
      <c r="A117" t="inlineStr">
        <is>
          <t>TECH_000110</t>
        </is>
      </c>
      <c r="B117" t="inlineStr">
        <is>
          <t>VOLVO_EX30</t>
        </is>
      </c>
      <c r="D117" t="inlineStr">
        <is>
          <t>Height</t>
        </is>
      </c>
      <c r="E117" t="n">
        <v>1550</v>
      </c>
      <c r="F117" t="inlineStr">
        <is>
          <t>MM</t>
        </is>
      </c>
      <c r="G117" t="inlineStr">
        <is>
          <t>SRC_VOLVO_NO_EX30_SPECS</t>
        </is>
      </c>
      <c r="H117" t="inlineStr">
        <is>
          <t>MEDIUM</t>
        </is>
      </c>
      <c r="I117" t="inlineStr">
        <is>
          <t>2026-07-06</t>
        </is>
      </c>
      <c r="J117" t="inlineStr">
        <is>
          <t>1.4</t>
        </is>
      </c>
    </row>
    <row r="118">
      <c r="A118" t="inlineStr">
        <is>
          <t>TECH_000111</t>
        </is>
      </c>
      <c r="C118" t="inlineStr">
        <is>
          <t>VOLVO_EX30_P5</t>
        </is>
      </c>
      <c r="D118" t="inlineStr">
        <is>
          <t>WLTP range</t>
        </is>
      </c>
      <c r="E118" t="n">
        <v>337</v>
      </c>
      <c r="F118" t="inlineStr">
        <is>
          <t>KM</t>
        </is>
      </c>
      <c r="G118" t="inlineStr">
        <is>
          <t>SRC_VOLVO_NO_EX30_SPECS</t>
        </is>
      </c>
      <c r="H118" t="inlineStr">
        <is>
          <t>MEDIUM</t>
        </is>
      </c>
      <c r="I118" t="inlineStr">
        <is>
          <t>2026-07-06</t>
        </is>
      </c>
      <c r="J118" t="inlineStr">
        <is>
          <t>1.4</t>
        </is>
      </c>
    </row>
    <row r="119">
      <c r="A119" t="inlineStr">
        <is>
          <t>TECH_000112</t>
        </is>
      </c>
      <c r="C119" t="inlineStr">
        <is>
          <t>VOLVO_EX30_P5</t>
        </is>
      </c>
      <c r="D119" t="inlineStr">
        <is>
          <t>WLTP consumption</t>
        </is>
      </c>
      <c r="E119" t="n">
        <v>17.1</v>
      </c>
      <c r="F119" t="inlineStr">
        <is>
          <t>KWH_100KM</t>
        </is>
      </c>
      <c r="G119" t="inlineStr">
        <is>
          <t>SRC_VOLVO_NO_EX30_SPECS</t>
        </is>
      </c>
      <c r="H119" t="inlineStr">
        <is>
          <t>MEDIUM</t>
        </is>
      </c>
      <c r="I119" t="inlineStr">
        <is>
          <t>2026-07-06</t>
        </is>
      </c>
      <c r="J119" t="inlineStr">
        <is>
          <t>1.4</t>
        </is>
      </c>
    </row>
    <row r="120">
      <c r="A120" t="inlineStr">
        <is>
          <t>TECH_000113</t>
        </is>
      </c>
      <c r="C120" t="inlineStr">
        <is>
          <t>VOLVO_EX30_P5</t>
        </is>
      </c>
      <c r="D120" t="inlineStr">
        <is>
          <t>DC max charging</t>
        </is>
      </c>
      <c r="E120" t="n">
        <v>150</v>
      </c>
      <c r="F120" t="inlineStr">
        <is>
          <t>KW</t>
        </is>
      </c>
      <c r="G120" t="inlineStr">
        <is>
          <t>SRC_VOLVO_NO_EX30_SPECS</t>
        </is>
      </c>
      <c r="H120" t="inlineStr">
        <is>
          <t>MEDIUM</t>
        </is>
      </c>
      <c r="I120" t="inlineStr">
        <is>
          <t>2026-07-06</t>
        </is>
      </c>
      <c r="J120" t="inlineStr">
        <is>
          <t>1.4</t>
        </is>
      </c>
    </row>
    <row r="121">
      <c r="A121" t="inlineStr">
        <is>
          <t>TECH_000114</t>
        </is>
      </c>
      <c r="C121" t="inlineStr">
        <is>
          <t>VOLVO_EX30_P5</t>
        </is>
      </c>
      <c r="D121" t="inlineStr">
        <is>
          <t>Motor power</t>
        </is>
      </c>
      <c r="E121" t="n">
        <v>200</v>
      </c>
      <c r="F121" t="inlineStr">
        <is>
          <t>KW</t>
        </is>
      </c>
      <c r="G121" t="inlineStr">
        <is>
          <t>SRC_VOLVO_NO_EX30_SPECS</t>
        </is>
      </c>
      <c r="H121" t="inlineStr">
        <is>
          <t>MEDIUM</t>
        </is>
      </c>
      <c r="I121" t="inlineStr">
        <is>
          <t>2026-07-06</t>
        </is>
      </c>
      <c r="J121" t="inlineStr">
        <is>
          <t>1.4</t>
        </is>
      </c>
    </row>
    <row r="122">
      <c r="A122" t="inlineStr">
        <is>
          <t>TECH_000115</t>
        </is>
      </c>
      <c r="C122" t="inlineStr">
        <is>
          <t>VOLVO_EX30_P5</t>
        </is>
      </c>
      <c r="D122" t="inlineStr">
        <is>
          <t>Torque</t>
        </is>
      </c>
      <c r="E122" t="n">
        <v>343</v>
      </c>
      <c r="F122" t="inlineStr">
        <is>
          <t>NM</t>
        </is>
      </c>
      <c r="G122" t="inlineStr">
        <is>
          <t>SRC_VOLVO_NO_EX30_SPECS</t>
        </is>
      </c>
      <c r="H122" t="inlineStr">
        <is>
          <t>MEDIUM</t>
        </is>
      </c>
      <c r="I122" t="inlineStr">
        <is>
          <t>2026-07-06</t>
        </is>
      </c>
      <c r="J122" t="inlineStr">
        <is>
          <t>1.4</t>
        </is>
      </c>
    </row>
    <row r="123">
      <c r="A123" t="inlineStr">
        <is>
          <t>TECH_000116</t>
        </is>
      </c>
      <c r="C123" t="inlineStr">
        <is>
          <t>VOLVO_EX30_P5</t>
        </is>
      </c>
      <c r="D123" t="inlineStr">
        <is>
          <t>Battery net</t>
        </is>
      </c>
      <c r="E123" t="n">
        <v>51</v>
      </c>
      <c r="F123" t="inlineStr">
        <is>
          <t>KWH</t>
        </is>
      </c>
      <c r="G123" t="inlineStr">
        <is>
          <t>SRC_VOLVO_NO_EX30_SPECS</t>
        </is>
      </c>
      <c r="H123" t="inlineStr">
        <is>
          <t>MEDIUM</t>
        </is>
      </c>
      <c r="I123" t="inlineStr">
        <is>
          <t>2026-07-06</t>
        </is>
      </c>
      <c r="J123" t="inlineStr">
        <is>
          <t>1.4</t>
        </is>
      </c>
    </row>
    <row r="124">
      <c r="A124" t="inlineStr">
        <is>
          <t>TECH_000117</t>
        </is>
      </c>
      <c r="C124" t="inlineStr">
        <is>
          <t>VOLVO_EX30_P5</t>
        </is>
      </c>
      <c r="D124" t="inlineStr">
        <is>
          <t>Kerb weight</t>
        </is>
      </c>
      <c r="E124" t="n">
        <v>1840</v>
      </c>
      <c r="F124" t="inlineStr">
        <is>
          <t>KG</t>
        </is>
      </c>
      <c r="G124" t="inlineStr">
        <is>
          <t>SRC_VOLVO_NO_EX30_SPECS</t>
        </is>
      </c>
      <c r="H124" t="inlineStr">
        <is>
          <t>MEDIUM</t>
        </is>
      </c>
      <c r="I124" t="inlineStr">
        <is>
          <t>2026-07-06</t>
        </is>
      </c>
      <c r="J124" t="inlineStr">
        <is>
          <t>1.4</t>
        </is>
      </c>
    </row>
    <row r="125">
      <c r="A125" t="inlineStr">
        <is>
          <t>TECH_000118</t>
        </is>
      </c>
      <c r="C125" t="inlineStr">
        <is>
          <t>VOLVO_EX30_P5</t>
        </is>
      </c>
      <c r="D125" t="inlineStr">
        <is>
          <t>Top speed</t>
        </is>
      </c>
      <c r="E125" t="n">
        <v>180</v>
      </c>
      <c r="F125" t="inlineStr">
        <is>
          <t>KMH</t>
        </is>
      </c>
      <c r="G125" t="inlineStr">
        <is>
          <t>SRC_VOLVO_NO_EX30_SPECS</t>
        </is>
      </c>
      <c r="H125" t="inlineStr">
        <is>
          <t>MEDIUM</t>
        </is>
      </c>
      <c r="I125" t="inlineStr">
        <is>
          <t>2026-07-06</t>
        </is>
      </c>
      <c r="J125" t="inlineStr">
        <is>
          <t>1.4</t>
        </is>
      </c>
    </row>
    <row r="126">
      <c r="A126" t="inlineStr">
        <is>
          <t>TECH_000119</t>
        </is>
      </c>
      <c r="C126" t="inlineStr">
        <is>
          <t>VOLVO_EX30_P5_LONG_RANGE</t>
        </is>
      </c>
      <c r="D126" t="inlineStr">
        <is>
          <t>WLTP range</t>
        </is>
      </c>
      <c r="E126" t="n">
        <v>475</v>
      </c>
      <c r="F126" t="inlineStr">
        <is>
          <t>KM</t>
        </is>
      </c>
      <c r="G126" t="inlineStr">
        <is>
          <t>SRC_VOLVO_NO_EX30_SPECS</t>
        </is>
      </c>
      <c r="H126" t="inlineStr">
        <is>
          <t>MEDIUM</t>
        </is>
      </c>
      <c r="I126" t="inlineStr">
        <is>
          <t>2026-07-06</t>
        </is>
      </c>
      <c r="J126" t="inlineStr">
        <is>
          <t>1.4</t>
        </is>
      </c>
    </row>
    <row r="127">
      <c r="A127" t="inlineStr">
        <is>
          <t>TECH_000120</t>
        </is>
      </c>
      <c r="C127" t="inlineStr">
        <is>
          <t>VOLVO_EX30_P5_LONG_RANGE</t>
        </is>
      </c>
      <c r="D127" t="inlineStr">
        <is>
          <t>WLTP consumption</t>
        </is>
      </c>
      <c r="E127" t="n">
        <v>17</v>
      </c>
      <c r="F127" t="inlineStr">
        <is>
          <t>KWH_100KM</t>
        </is>
      </c>
      <c r="G127" t="inlineStr">
        <is>
          <t>SRC_VOLVO_NO_EX30_SPECS</t>
        </is>
      </c>
      <c r="H127" t="inlineStr">
        <is>
          <t>MEDIUM</t>
        </is>
      </c>
      <c r="I127" t="inlineStr">
        <is>
          <t>2026-07-06</t>
        </is>
      </c>
      <c r="J127" t="inlineStr">
        <is>
          <t>1.4</t>
        </is>
      </c>
    </row>
    <row r="128">
      <c r="A128" t="inlineStr">
        <is>
          <t>TECH_000121</t>
        </is>
      </c>
      <c r="C128" t="inlineStr">
        <is>
          <t>VOLVO_EX30_P5_LONG_RANGE</t>
        </is>
      </c>
      <c r="D128" t="inlineStr">
        <is>
          <t>DC max charging</t>
        </is>
      </c>
      <c r="E128" t="n">
        <v>175</v>
      </c>
      <c r="F128" t="inlineStr">
        <is>
          <t>KW</t>
        </is>
      </c>
      <c r="G128" t="inlineStr">
        <is>
          <t>SRC_VOLVO_NO_EX30_SPECS</t>
        </is>
      </c>
      <c r="H128" t="inlineStr">
        <is>
          <t>MEDIUM</t>
        </is>
      </c>
      <c r="I128" t="inlineStr">
        <is>
          <t>2026-07-06</t>
        </is>
      </c>
      <c r="J128" t="inlineStr">
        <is>
          <t>1.4</t>
        </is>
      </c>
    </row>
    <row r="129">
      <c r="A129" t="inlineStr">
        <is>
          <t>TECH_000122</t>
        </is>
      </c>
      <c r="C129" t="inlineStr">
        <is>
          <t>VOLVO_EX30_P5_LONG_RANGE</t>
        </is>
      </c>
      <c r="D129" t="inlineStr">
        <is>
          <t>Motor power</t>
        </is>
      </c>
      <c r="E129" t="n">
        <v>200</v>
      </c>
      <c r="F129" t="inlineStr">
        <is>
          <t>KW</t>
        </is>
      </c>
      <c r="G129" t="inlineStr">
        <is>
          <t>SRC_VOLVO_NO_EX30_SPECS</t>
        </is>
      </c>
      <c r="H129" t="inlineStr">
        <is>
          <t>MEDIUM</t>
        </is>
      </c>
      <c r="I129" t="inlineStr">
        <is>
          <t>2026-07-06</t>
        </is>
      </c>
      <c r="J129" t="inlineStr">
        <is>
          <t>1.4</t>
        </is>
      </c>
    </row>
    <row r="130">
      <c r="A130" t="inlineStr">
        <is>
          <t>TECH_000123</t>
        </is>
      </c>
      <c r="C130" t="inlineStr">
        <is>
          <t>VOLVO_EX30_P5_LONG_RANGE</t>
        </is>
      </c>
      <c r="D130" t="inlineStr">
        <is>
          <t>Torque</t>
        </is>
      </c>
      <c r="E130" t="n">
        <v>343</v>
      </c>
      <c r="F130" t="inlineStr">
        <is>
          <t>NM</t>
        </is>
      </c>
      <c r="G130" t="inlineStr">
        <is>
          <t>SRC_VOLVO_NO_EX30_SPECS</t>
        </is>
      </c>
      <c r="H130" t="inlineStr">
        <is>
          <t>MEDIUM</t>
        </is>
      </c>
      <c r="I130" t="inlineStr">
        <is>
          <t>2026-07-06</t>
        </is>
      </c>
      <c r="J130" t="inlineStr">
        <is>
          <t>1.4</t>
        </is>
      </c>
    </row>
    <row r="131">
      <c r="A131" t="inlineStr">
        <is>
          <t>TECH_000124</t>
        </is>
      </c>
      <c r="C131" t="inlineStr">
        <is>
          <t>VOLVO_EX30_P5_LONG_RANGE</t>
        </is>
      </c>
      <c r="D131" t="inlineStr">
        <is>
          <t>Battery net</t>
        </is>
      </c>
      <c r="E131" t="n">
        <v>69</v>
      </c>
      <c r="F131" t="inlineStr">
        <is>
          <t>KWH</t>
        </is>
      </c>
      <c r="G131" t="inlineStr">
        <is>
          <t>SRC_VOLVO_NO_EX30_SPECS</t>
        </is>
      </c>
      <c r="H131" t="inlineStr">
        <is>
          <t>MEDIUM</t>
        </is>
      </c>
      <c r="I131" t="inlineStr">
        <is>
          <t>2026-07-06</t>
        </is>
      </c>
      <c r="J131" t="inlineStr">
        <is>
          <t>1.4</t>
        </is>
      </c>
    </row>
    <row r="132">
      <c r="A132" t="inlineStr">
        <is>
          <t>TECH_000125</t>
        </is>
      </c>
      <c r="C132" t="inlineStr">
        <is>
          <t>VOLVO_EX30_P5_LONG_RANGE</t>
        </is>
      </c>
      <c r="D132" t="inlineStr">
        <is>
          <t>Kerb weight</t>
        </is>
      </c>
      <c r="E132" t="n">
        <v>1850</v>
      </c>
      <c r="F132" t="inlineStr">
        <is>
          <t>KG</t>
        </is>
      </c>
      <c r="G132" t="inlineStr">
        <is>
          <t>SRC_VOLVO_NO_EX30_SPECS</t>
        </is>
      </c>
      <c r="H132" t="inlineStr">
        <is>
          <t>MEDIUM</t>
        </is>
      </c>
      <c r="I132" t="inlineStr">
        <is>
          <t>2026-07-06</t>
        </is>
      </c>
      <c r="J132" t="inlineStr">
        <is>
          <t>1.4</t>
        </is>
      </c>
    </row>
    <row r="133">
      <c r="A133" t="inlineStr">
        <is>
          <t>TECH_000126</t>
        </is>
      </c>
      <c r="C133" t="inlineStr">
        <is>
          <t>VOLVO_EX30_P5_LONG_RANGE</t>
        </is>
      </c>
      <c r="D133" t="inlineStr">
        <is>
          <t>Top speed</t>
        </is>
      </c>
      <c r="E133" t="n">
        <v>180</v>
      </c>
      <c r="F133" t="inlineStr">
        <is>
          <t>KMH</t>
        </is>
      </c>
      <c r="G133" t="inlineStr">
        <is>
          <t>SRC_VOLVO_NO_EX30_SPECS</t>
        </is>
      </c>
      <c r="H133" t="inlineStr">
        <is>
          <t>MEDIUM</t>
        </is>
      </c>
      <c r="I133" t="inlineStr">
        <is>
          <t>2026-07-06</t>
        </is>
      </c>
      <c r="J133" t="inlineStr">
        <is>
          <t>1.4</t>
        </is>
      </c>
    </row>
    <row r="134">
      <c r="A134" t="inlineStr">
        <is>
          <t>TECH_000127</t>
        </is>
      </c>
      <c r="C134" t="inlineStr">
        <is>
          <t>VOLVO_EX30_P8_AWD</t>
        </is>
      </c>
      <c r="D134" t="inlineStr">
        <is>
          <t>WLTP range</t>
        </is>
      </c>
      <c r="E134" t="n">
        <v>450</v>
      </c>
      <c r="F134" t="inlineStr">
        <is>
          <t>KM</t>
        </is>
      </c>
      <c r="G134" t="inlineStr">
        <is>
          <t>SRC_VOLVO_NO_EX30_SPECS</t>
        </is>
      </c>
      <c r="H134" t="inlineStr">
        <is>
          <t>MEDIUM</t>
        </is>
      </c>
      <c r="I134" t="inlineStr">
        <is>
          <t>2026-07-06</t>
        </is>
      </c>
      <c r="J134" t="inlineStr">
        <is>
          <t>1.4</t>
        </is>
      </c>
    </row>
    <row r="135">
      <c r="A135" t="inlineStr">
        <is>
          <t>TECH_000128</t>
        </is>
      </c>
      <c r="C135" t="inlineStr">
        <is>
          <t>VOLVO_EX30_P8_AWD</t>
        </is>
      </c>
      <c r="D135" t="inlineStr">
        <is>
          <t>WLTP consumption</t>
        </is>
      </c>
      <c r="E135" t="n">
        <v>17.5</v>
      </c>
      <c r="F135" t="inlineStr">
        <is>
          <t>KWH_100KM</t>
        </is>
      </c>
      <c r="G135" t="inlineStr">
        <is>
          <t>SRC_VOLVO_NO_EX30_SPECS</t>
        </is>
      </c>
      <c r="H135" t="inlineStr">
        <is>
          <t>MEDIUM</t>
        </is>
      </c>
      <c r="I135" t="inlineStr">
        <is>
          <t>2026-07-06</t>
        </is>
      </c>
      <c r="J135" t="inlineStr">
        <is>
          <t>1.4</t>
        </is>
      </c>
    </row>
    <row r="136">
      <c r="A136" t="inlineStr">
        <is>
          <t>TECH_000129</t>
        </is>
      </c>
      <c r="C136" t="inlineStr">
        <is>
          <t>VOLVO_EX30_P8_AWD</t>
        </is>
      </c>
      <c r="D136" t="inlineStr">
        <is>
          <t>DC max charging</t>
        </is>
      </c>
      <c r="E136" t="n">
        <v>175</v>
      </c>
      <c r="F136" t="inlineStr">
        <is>
          <t>KW</t>
        </is>
      </c>
      <c r="G136" t="inlineStr">
        <is>
          <t>SRC_VOLVO_NO_EX30_SPECS</t>
        </is>
      </c>
      <c r="H136" t="inlineStr">
        <is>
          <t>MEDIUM</t>
        </is>
      </c>
      <c r="I136" t="inlineStr">
        <is>
          <t>2026-07-06</t>
        </is>
      </c>
      <c r="J136" t="inlineStr">
        <is>
          <t>1.4</t>
        </is>
      </c>
    </row>
    <row r="137">
      <c r="A137" t="inlineStr">
        <is>
          <t>TECH_000130</t>
        </is>
      </c>
      <c r="C137" t="inlineStr">
        <is>
          <t>VOLVO_EX30_P8_AWD</t>
        </is>
      </c>
      <c r="D137" t="inlineStr">
        <is>
          <t>Motor power</t>
        </is>
      </c>
      <c r="E137" t="n">
        <v>315</v>
      </c>
      <c r="F137" t="inlineStr">
        <is>
          <t>KW</t>
        </is>
      </c>
      <c r="G137" t="inlineStr">
        <is>
          <t>SRC_VOLVO_NO_EX30_SPECS</t>
        </is>
      </c>
      <c r="H137" t="inlineStr">
        <is>
          <t>MEDIUM</t>
        </is>
      </c>
      <c r="I137" t="inlineStr">
        <is>
          <t>2026-07-06</t>
        </is>
      </c>
      <c r="J137" t="inlineStr">
        <is>
          <t>1.4</t>
        </is>
      </c>
    </row>
    <row r="138">
      <c r="A138" t="inlineStr">
        <is>
          <t>TECH_000131</t>
        </is>
      </c>
      <c r="C138" t="inlineStr">
        <is>
          <t>VOLVO_EX30_P8_AWD</t>
        </is>
      </c>
      <c r="D138" t="inlineStr">
        <is>
          <t>Torque</t>
        </is>
      </c>
      <c r="E138" t="n">
        <v>543</v>
      </c>
      <c r="F138" t="inlineStr">
        <is>
          <t>NM</t>
        </is>
      </c>
      <c r="G138" t="inlineStr">
        <is>
          <t>SRC_VOLVO_NO_EX30_SPECS</t>
        </is>
      </c>
      <c r="H138" t="inlineStr">
        <is>
          <t>MEDIUM</t>
        </is>
      </c>
      <c r="I138" t="inlineStr">
        <is>
          <t>2026-07-06</t>
        </is>
      </c>
      <c r="J138" t="inlineStr">
        <is>
          <t>1.4</t>
        </is>
      </c>
    </row>
    <row r="139">
      <c r="A139" t="inlineStr">
        <is>
          <t>TECH_000132</t>
        </is>
      </c>
      <c r="C139" t="inlineStr">
        <is>
          <t>VOLVO_EX30_P8_AWD</t>
        </is>
      </c>
      <c r="D139" t="inlineStr">
        <is>
          <t>Battery net</t>
        </is>
      </c>
      <c r="E139" t="n">
        <v>69</v>
      </c>
      <c r="F139" t="inlineStr">
        <is>
          <t>KWH</t>
        </is>
      </c>
      <c r="G139" t="inlineStr">
        <is>
          <t>SRC_VOLVO_NO_EX30_SPECS</t>
        </is>
      </c>
      <c r="H139" t="inlineStr">
        <is>
          <t>MEDIUM</t>
        </is>
      </c>
      <c r="I139" t="inlineStr">
        <is>
          <t>2026-07-06</t>
        </is>
      </c>
      <c r="J139" t="inlineStr">
        <is>
          <t>1.4</t>
        </is>
      </c>
    </row>
    <row r="140">
      <c r="A140" t="inlineStr">
        <is>
          <t>TECH_000133</t>
        </is>
      </c>
      <c r="C140" t="inlineStr">
        <is>
          <t>VOLVO_EX30_P8_AWD</t>
        </is>
      </c>
      <c r="D140" t="inlineStr">
        <is>
          <t>Kerb weight</t>
        </is>
      </c>
      <c r="E140" t="n">
        <v>1960</v>
      </c>
      <c r="F140" t="inlineStr">
        <is>
          <t>KG</t>
        </is>
      </c>
      <c r="G140" t="inlineStr">
        <is>
          <t>SRC_VOLVO_NO_EX30_SPECS</t>
        </is>
      </c>
      <c r="H140" t="inlineStr">
        <is>
          <t>MEDIUM</t>
        </is>
      </c>
      <c r="I140" t="inlineStr">
        <is>
          <t>2026-07-06</t>
        </is>
      </c>
      <c r="J140" t="inlineStr">
        <is>
          <t>1.4</t>
        </is>
      </c>
    </row>
    <row r="141">
      <c r="A141" t="inlineStr">
        <is>
          <t>TECH_000134</t>
        </is>
      </c>
      <c r="C141" t="inlineStr">
        <is>
          <t>VOLVO_EX30_P8_AWD</t>
        </is>
      </c>
      <c r="D141" t="inlineStr">
        <is>
          <t>Top speed</t>
        </is>
      </c>
      <c r="E141" t="n">
        <v>180</v>
      </c>
      <c r="F141" t="inlineStr">
        <is>
          <t>KMH</t>
        </is>
      </c>
      <c r="G141" t="inlineStr">
        <is>
          <t>SRC_VOLVO_NO_EX30_SPECS</t>
        </is>
      </c>
      <c r="H141" t="inlineStr">
        <is>
          <t>MEDIUM</t>
        </is>
      </c>
      <c r="I141" t="inlineStr">
        <is>
          <t>2026-07-06</t>
        </is>
      </c>
      <c r="J141" t="inlineStr">
        <is>
          <t>1.4</t>
        </is>
      </c>
    </row>
    <row r="142">
      <c r="A142" t="inlineStr">
        <is>
          <t>TECH_000135</t>
        </is>
      </c>
      <c r="C142" t="inlineStr">
        <is>
          <t>KIA_EV2_FWD_LONG_RANGE_GT_LINE</t>
        </is>
      </c>
      <c r="D142" t="inlineStr">
        <is>
          <t>WLTP range</t>
        </is>
      </c>
      <c r="E142" t="n">
        <v>453</v>
      </c>
      <c r="F142" t="inlineStr">
        <is>
          <t>KM</t>
        </is>
      </c>
      <c r="G142" t="inlineStr">
        <is>
          <t>SRC_KIA_NETTBUTIKK_EV2</t>
        </is>
      </c>
      <c r="H142" t="inlineStr">
        <is>
          <t>MEDIUM</t>
        </is>
      </c>
      <c r="I142" t="inlineStr">
        <is>
          <t>2026-07-06</t>
        </is>
      </c>
      <c r="J142" t="inlineStr">
        <is>
          <t>1.4</t>
        </is>
      </c>
    </row>
    <row r="143">
      <c r="A143" t="inlineStr">
        <is>
          <t>TECH_000136</t>
        </is>
      </c>
      <c r="C143" t="inlineStr">
        <is>
          <t>KIA_EV2_FWD_LONG_RANGE_GT_LINE</t>
        </is>
      </c>
      <c r="D143" t="inlineStr">
        <is>
          <t>WLTP consumption</t>
        </is>
      </c>
      <c r="E143" t="n">
        <v>15.2</v>
      </c>
      <c r="F143" t="inlineStr">
        <is>
          <t>KWH_100KM</t>
        </is>
      </c>
      <c r="G143" t="inlineStr">
        <is>
          <t>SRC_KIA_NETTBUTIKK_EV2</t>
        </is>
      </c>
      <c r="H143" t="inlineStr">
        <is>
          <t>MEDIUM</t>
        </is>
      </c>
      <c r="I143" t="inlineStr">
        <is>
          <t>2026-07-06</t>
        </is>
      </c>
      <c r="J143" t="inlineStr">
        <is>
          <t>1.4</t>
        </is>
      </c>
    </row>
    <row r="144">
      <c r="A144" t="inlineStr">
        <is>
          <t>TECH_000137</t>
        </is>
      </c>
      <c r="C144" t="inlineStr">
        <is>
          <t>KIA_EV2_FWD_LONG_RANGE_GT_LINE</t>
        </is>
      </c>
      <c r="D144" t="inlineStr">
        <is>
          <t>AC max charging</t>
        </is>
      </c>
      <c r="E144" t="n">
        <v>11</v>
      </c>
      <c r="F144" t="inlineStr">
        <is>
          <t>KW</t>
        </is>
      </c>
      <c r="G144" t="inlineStr">
        <is>
          <t>SRC_KIA_NETTBUTIKK_EV2</t>
        </is>
      </c>
      <c r="H144" t="inlineStr">
        <is>
          <t>MEDIUM</t>
        </is>
      </c>
      <c r="I144" t="inlineStr">
        <is>
          <t>2026-07-06</t>
        </is>
      </c>
      <c r="J144" t="inlineStr">
        <is>
          <t>1.4</t>
        </is>
      </c>
    </row>
    <row r="145">
      <c r="A145" t="inlineStr">
        <is>
          <t>TECH_000138</t>
        </is>
      </c>
      <c r="C145" t="inlineStr">
        <is>
          <t>KIA_EV2_FWD_LONG_RANGE_GT_LINE</t>
        </is>
      </c>
      <c r="D145" t="inlineStr">
        <is>
          <t>Battery net</t>
        </is>
      </c>
      <c r="E145" t="n">
        <v>62</v>
      </c>
      <c r="F145" t="inlineStr">
        <is>
          <t>KWH</t>
        </is>
      </c>
      <c r="G145" t="inlineStr">
        <is>
          <t>SRC_KIA_NETTBUTIKK_EV2</t>
        </is>
      </c>
      <c r="H145" t="inlineStr">
        <is>
          <t>MEDIUM</t>
        </is>
      </c>
      <c r="I145" t="inlineStr">
        <is>
          <t>2026-07-06</t>
        </is>
      </c>
      <c r="J145" t="inlineStr">
        <is>
          <t>1.4</t>
        </is>
      </c>
    </row>
    <row r="146">
      <c r="A146" t="inlineStr">
        <is>
          <t>TECH_000139</t>
        </is>
      </c>
      <c r="C146" t="inlineStr">
        <is>
          <t>KIA_EV2_FWD_LONG_RANGE_GT_LINE</t>
        </is>
      </c>
      <c r="D146" t="inlineStr">
        <is>
          <t>Max trailer weight</t>
        </is>
      </c>
      <c r="E146" t="n">
        <v>750</v>
      </c>
      <c r="F146" t="inlineStr">
        <is>
          <t>KG</t>
        </is>
      </c>
      <c r="G146" t="inlineStr">
        <is>
          <t>SRC_KIA_NETTBUTIKK_EV2</t>
        </is>
      </c>
      <c r="H146" t="inlineStr">
        <is>
          <t>MEDIUM</t>
        </is>
      </c>
      <c r="I146" t="inlineStr">
        <is>
          <t>2026-07-06</t>
        </is>
      </c>
      <c r="J146" t="inlineStr">
        <is>
          <t>1.4</t>
        </is>
      </c>
    </row>
    <row r="147">
      <c r="A147" t="inlineStr">
        <is>
          <t>TECH_000140</t>
        </is>
      </c>
      <c r="C147" t="inlineStr">
        <is>
          <t>KIA_EV2_FWD_LONG_RANGE_GT_LINE</t>
        </is>
      </c>
      <c r="D147" t="inlineStr">
        <is>
          <t>Boot volume</t>
        </is>
      </c>
      <c r="E147" t="n">
        <v>362</v>
      </c>
      <c r="F147" t="inlineStr">
        <is>
          <t>L</t>
        </is>
      </c>
      <c r="G147" t="inlineStr">
        <is>
          <t>SRC_KIA_NETTBUTIKK_EV2</t>
        </is>
      </c>
      <c r="H147" t="inlineStr">
        <is>
          <t>LOW</t>
        </is>
      </c>
      <c r="I147" t="inlineStr">
        <is>
          <t>2026-07-06</t>
        </is>
      </c>
      <c r="J147" t="inlineStr">
        <is>
          <t>1.4</t>
        </is>
      </c>
    </row>
    <row r="148">
      <c r="A148" t="inlineStr">
        <is>
          <t>TECH_000141</t>
        </is>
      </c>
      <c r="C148" t="inlineStr">
        <is>
          <t>KIA_EV2_FWD_LONG_RANGE_GT_LINE</t>
        </is>
      </c>
      <c r="D148" t="inlineStr">
        <is>
          <t>Frunk volume</t>
        </is>
      </c>
      <c r="E148" t="n">
        <v>15</v>
      </c>
      <c r="F148" t="inlineStr">
        <is>
          <t>L</t>
        </is>
      </c>
      <c r="G148" t="inlineStr">
        <is>
          <t>SRC_KIA_NETTBUTIKK_EV2</t>
        </is>
      </c>
      <c r="H148" t="inlineStr">
        <is>
          <t>LOW</t>
        </is>
      </c>
      <c r="I148" t="inlineStr">
        <is>
          <t>2026-07-06</t>
        </is>
      </c>
      <c r="J148" t="inlineStr">
        <is>
          <t>1.4</t>
        </is>
      </c>
    </row>
    <row r="149">
      <c r="A149" t="inlineStr">
        <is>
          <t>TECH_000142</t>
        </is>
      </c>
      <c r="C149" t="inlineStr">
        <is>
          <t>VOLVO_EX30_P8_AWD</t>
        </is>
      </c>
      <c r="D149" t="inlineStr">
        <is>
          <t>Winter highway range estimate</t>
        </is>
      </c>
      <c r="E149" t="n">
        <v>338</v>
      </c>
      <c r="F149" t="inlineStr">
        <is>
          <t>KM</t>
        </is>
      </c>
      <c r="G149" t="inlineStr">
        <is>
          <t>SRC_ELBIL_VOLVO_EX30_WINTER</t>
        </is>
      </c>
      <c r="H149" t="inlineStr">
        <is>
          <t>MEDIUM</t>
        </is>
      </c>
      <c r="I149" t="inlineStr">
        <is>
          <t>2026-07-06</t>
        </is>
      </c>
      <c r="J149" t="inlineStr">
        <is>
          <t>1.4</t>
        </is>
      </c>
    </row>
    <row r="150">
      <c r="A150" t="inlineStr">
        <is>
          <t>TECH_000143</t>
        </is>
      </c>
      <c r="C150" t="inlineStr">
        <is>
          <t>RENAULT_4_TECHNO</t>
        </is>
      </c>
      <c r="D150" t="inlineStr">
        <is>
          <t>Winter highway range estimate</t>
        </is>
      </c>
      <c r="E150" t="n">
        <v>287</v>
      </c>
      <c r="F150" t="inlineStr">
        <is>
          <t>KM</t>
        </is>
      </c>
      <c r="G150" t="inlineStr">
        <is>
          <t>SRC_ELBIL_RENAULT4_TEST</t>
        </is>
      </c>
      <c r="H150" t="inlineStr">
        <is>
          <t>LOW</t>
        </is>
      </c>
      <c r="I150" t="inlineStr">
        <is>
          <t>2026-07-06</t>
        </is>
      </c>
      <c r="J150" t="inlineStr">
        <is>
          <t>1.4</t>
        </is>
      </c>
    </row>
  </sheetData>
  <autoFilter ref="A1:J7"/>
  <dataValidations count="2">
    <dataValidation sqref="F2:F1048576" showDropDown="0" showInputMessage="0" showErrorMessage="1" allowBlank="1" type="list">
      <formula1>Enum_Unit</formula1>
    </dataValidation>
    <dataValidation sqref="H2:H1048576" showDropDown="0" showInputMessage="0" showErrorMessage="1" allowBlank="1" type="list">
      <formula1>Enum_Confidence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53"/>
  <sheetViews>
    <sheetView showGridLines="1" workbookViewId="0">
      <pane ySplit="1" topLeftCell="A2" activePane="bottomLeft" state="frozen"/>
      <selection pane="bottomLeft" activeCell="A2" sqref="A2"/>
    </sheetView>
  </sheetViews>
  <sheetFormatPr baseColWidth="8" defaultRowHeight="15"/>
  <cols>
    <col width="20" customWidth="1" min="1" max="1"/>
    <col width="24" customWidth="1" min="2" max="2"/>
    <col width="28" customWidth="1" min="3" max="3"/>
    <col width="18" customWidth="1" min="4" max="4"/>
    <col width="20" customWidth="1" min="5" max="5"/>
    <col width="16" customWidth="1" min="6" max="6"/>
  </cols>
  <sheetData>
    <row r="1" ht="22" customHeight="1">
      <c r="A1" s="1" t="inlineStr">
        <is>
          <t>EquipmentID</t>
        </is>
      </c>
      <c r="B1" s="1" t="inlineStr">
        <is>
          <t>ConfigurationID</t>
        </is>
      </c>
      <c r="C1" s="1" t="inlineStr">
        <is>
          <t>EquipmentDefinitionID</t>
        </is>
      </c>
      <c r="D1" s="1" t="inlineStr">
        <is>
          <t>Availability</t>
        </is>
      </c>
      <c r="E1" s="1" t="inlineStr">
        <is>
          <t>SourceID</t>
        </is>
      </c>
      <c r="F1" s="1" t="inlineStr">
        <is>
          <t>Confidence</t>
        </is>
      </c>
    </row>
    <row r="2">
      <c r="A2" t="inlineStr">
        <is>
          <t>EQ_000001</t>
        </is>
      </c>
      <c r="B2" t="inlineStr">
        <is>
          <t>RENAULT_4_EVOLUTION_URBAN</t>
        </is>
      </c>
      <c r="C2" t="inlineStr">
        <is>
          <t>EQ_ACC</t>
        </is>
      </c>
      <c r="D2" t="inlineStr">
        <is>
          <t>UNAVAILABLE</t>
        </is>
      </c>
      <c r="E2" t="inlineStr">
        <is>
          <t>SRC_RENAULT_NO_R4_PRICELIST</t>
        </is>
      </c>
      <c r="F2" t="inlineStr">
        <is>
          <t>MEDIUM</t>
        </is>
      </c>
    </row>
    <row r="3">
      <c r="A3" t="inlineStr">
        <is>
          <t>EQ_000002</t>
        </is>
      </c>
      <c r="B3" t="inlineStr">
        <is>
          <t>RENAULT_4_EVOLUTION_COMFORT</t>
        </is>
      </c>
      <c r="C3" t="inlineStr">
        <is>
          <t>EQ_ACC</t>
        </is>
      </c>
      <c r="D3" t="inlineStr">
        <is>
          <t>UNAVAILABLE</t>
        </is>
      </c>
      <c r="E3" t="inlineStr">
        <is>
          <t>SRC_RENAULT_NO_R4_PRICELIST</t>
        </is>
      </c>
      <c r="F3" t="inlineStr">
        <is>
          <t>MEDIUM</t>
        </is>
      </c>
    </row>
    <row r="4">
      <c r="A4" t="inlineStr">
        <is>
          <t>EQ_000003</t>
        </is>
      </c>
      <c r="B4" t="inlineStr">
        <is>
          <t>RENAULT_4_TECHNO</t>
        </is>
      </c>
      <c r="C4" t="inlineStr">
        <is>
          <t>EQ_ACC</t>
        </is>
      </c>
      <c r="D4" t="inlineStr">
        <is>
          <t>STANDARD</t>
        </is>
      </c>
      <c r="E4" t="inlineStr">
        <is>
          <t>SRC_RENAULT_NO_R4_PRICELIST</t>
        </is>
      </c>
      <c r="F4" t="inlineStr">
        <is>
          <t>MEDIUM</t>
        </is>
      </c>
    </row>
    <row r="5">
      <c r="A5" t="inlineStr">
        <is>
          <t>EQ_000004</t>
        </is>
      </c>
      <c r="B5" t="inlineStr">
        <is>
          <t>RENAULT_4_TECHNO_PLEIN_SUD</t>
        </is>
      </c>
      <c r="C5" t="inlineStr">
        <is>
          <t>EQ_ACC</t>
        </is>
      </c>
      <c r="D5" t="inlineStr">
        <is>
          <t>STANDARD</t>
        </is>
      </c>
      <c r="E5" t="inlineStr">
        <is>
          <t>SRC_RENAULT_NO_R4_PRICELIST</t>
        </is>
      </c>
      <c r="F5" t="inlineStr">
        <is>
          <t>MEDIUM</t>
        </is>
      </c>
    </row>
    <row r="6">
      <c r="A6" t="inlineStr">
        <is>
          <t>EQ_000005</t>
        </is>
      </c>
      <c r="B6" t="inlineStr">
        <is>
          <t>RENAULT_4_ICONIC</t>
        </is>
      </c>
      <c r="C6" t="inlineStr">
        <is>
          <t>EQ_ACC</t>
        </is>
      </c>
      <c r="D6" t="inlineStr">
        <is>
          <t>STANDARD</t>
        </is>
      </c>
      <c r="E6" t="inlineStr">
        <is>
          <t>SRC_RENAULT_NO_R4_PRICELIST</t>
        </is>
      </c>
      <c r="F6" t="inlineStr">
        <is>
          <t>MEDIUM</t>
        </is>
      </c>
    </row>
    <row r="7">
      <c r="A7" t="inlineStr">
        <is>
          <t>EQ_000006</t>
        </is>
      </c>
      <c r="B7" t="inlineStr">
        <is>
          <t>RENAULT_4_ICONIC_PLEIN_SUD</t>
        </is>
      </c>
      <c r="C7" t="inlineStr">
        <is>
          <t>EQ_ACC</t>
        </is>
      </c>
      <c r="D7" t="inlineStr">
        <is>
          <t>STANDARD</t>
        </is>
      </c>
      <c r="E7" t="inlineStr">
        <is>
          <t>SRC_RENAULT_NO_R4_PRICELIST</t>
        </is>
      </c>
      <c r="F7" t="inlineStr">
        <is>
          <t>MEDIUM</t>
        </is>
      </c>
    </row>
    <row r="8">
      <c r="A8" t="inlineStr">
        <is>
          <t>EQ_000007</t>
        </is>
      </c>
      <c r="B8" t="inlineStr">
        <is>
          <t>SKODA_ELROQ_ESSENCE_60</t>
        </is>
      </c>
      <c r="C8" t="inlineStr">
        <is>
          <t>EQ_ACC</t>
        </is>
      </c>
      <c r="D8" t="inlineStr">
        <is>
          <t>STANDARD</t>
        </is>
      </c>
      <c r="E8" t="inlineStr">
        <is>
          <t>SRC_SKODA_NO_ELROQ_PRICELIST</t>
        </is>
      </c>
      <c r="F8" t="inlineStr">
        <is>
          <t>MEDIUM</t>
        </is>
      </c>
    </row>
    <row r="9">
      <c r="A9" t="inlineStr">
        <is>
          <t>EQ_000008</t>
        </is>
      </c>
      <c r="B9" t="inlineStr">
        <is>
          <t>SKODA_ELROQ_SELECTION_60</t>
        </is>
      </c>
      <c r="C9" t="inlineStr">
        <is>
          <t>EQ_ACC</t>
        </is>
      </c>
      <c r="D9" t="inlineStr">
        <is>
          <t>STANDARD</t>
        </is>
      </c>
      <c r="E9" t="inlineStr">
        <is>
          <t>SRC_SKODA_NO_ELROQ_PRICELIST</t>
        </is>
      </c>
      <c r="F9" t="inlineStr">
        <is>
          <t>MEDIUM</t>
        </is>
      </c>
    </row>
    <row r="10">
      <c r="A10" t="inlineStr">
        <is>
          <t>EQ_000009</t>
        </is>
      </c>
      <c r="B10" t="inlineStr">
        <is>
          <t>SKODA_ELROQ_SELECTION_85X</t>
        </is>
      </c>
      <c r="C10" t="inlineStr">
        <is>
          <t>EQ_ACC</t>
        </is>
      </c>
      <c r="D10" t="inlineStr">
        <is>
          <t>STANDARD</t>
        </is>
      </c>
      <c r="E10" t="inlineStr">
        <is>
          <t>SRC_SKODA_NO_ELROQ_PRICELIST</t>
        </is>
      </c>
      <c r="F10" t="inlineStr">
        <is>
          <t>MEDIUM</t>
        </is>
      </c>
    </row>
    <row r="11">
      <c r="A11" t="inlineStr">
        <is>
          <t>EQ_000010</t>
        </is>
      </c>
      <c r="B11" t="inlineStr">
        <is>
          <t>SKODA_ELROQ_RS</t>
        </is>
      </c>
      <c r="C11" t="inlineStr">
        <is>
          <t>EQ_ACC</t>
        </is>
      </c>
      <c r="D11" t="inlineStr">
        <is>
          <t>STANDARD</t>
        </is>
      </c>
      <c r="E11" t="inlineStr">
        <is>
          <t>SRC_SKODA_NO_ELROQ_PRICELIST</t>
        </is>
      </c>
      <c r="F11" t="inlineStr">
        <is>
          <t>MEDIUM</t>
        </is>
      </c>
    </row>
    <row r="12">
      <c r="A12" t="inlineStr">
        <is>
          <t>EQ_000011</t>
        </is>
      </c>
      <c r="B12" t="inlineStr">
        <is>
          <t>VOLVO_EX30_P8_AWD</t>
        </is>
      </c>
      <c r="C12" t="inlineStr">
        <is>
          <t>EQ_ACC</t>
        </is>
      </c>
      <c r="D12" t="inlineStr">
        <is>
          <t>STANDARD</t>
        </is>
      </c>
      <c r="E12" t="inlineStr">
        <is>
          <t>SRC_MOTORNO_EX30_2024</t>
        </is>
      </c>
      <c r="F12" t="inlineStr">
        <is>
          <t>MEDIUM</t>
        </is>
      </c>
    </row>
    <row r="13">
      <c r="A13" t="inlineStr">
        <is>
          <t>EQ_000012</t>
        </is>
      </c>
      <c r="B13" t="inlineStr">
        <is>
          <t>RENAULT_4_EVOLUTION_URBAN</t>
        </is>
      </c>
      <c r="C13" t="inlineStr">
        <is>
          <t>EQ_REAR_CAMERA</t>
        </is>
      </c>
      <c r="D13" t="inlineStr">
        <is>
          <t>STANDARD</t>
        </is>
      </c>
      <c r="E13" t="inlineStr">
        <is>
          <t>SRC_RENAULT_NO_R4_PRICELIST</t>
        </is>
      </c>
      <c r="F13" t="inlineStr">
        <is>
          <t>MEDIUM</t>
        </is>
      </c>
    </row>
    <row r="14">
      <c r="A14" t="inlineStr">
        <is>
          <t>EQ_000013</t>
        </is>
      </c>
      <c r="B14" t="inlineStr">
        <is>
          <t>RENAULT_4_EVOLUTION_COMFORT</t>
        </is>
      </c>
      <c r="C14" t="inlineStr">
        <is>
          <t>EQ_REAR_CAMERA</t>
        </is>
      </c>
      <c r="D14" t="inlineStr">
        <is>
          <t>STANDARD</t>
        </is>
      </c>
      <c r="E14" t="inlineStr">
        <is>
          <t>SRC_RENAULT_NO_R4_PRICELIST</t>
        </is>
      </c>
      <c r="F14" t="inlineStr">
        <is>
          <t>MEDIUM</t>
        </is>
      </c>
    </row>
    <row r="15">
      <c r="A15" t="inlineStr">
        <is>
          <t>EQ_000014</t>
        </is>
      </c>
      <c r="B15" t="inlineStr">
        <is>
          <t>RENAULT_4_TECHNO</t>
        </is>
      </c>
      <c r="C15" t="inlineStr">
        <is>
          <t>EQ_REAR_CAMERA</t>
        </is>
      </c>
      <c r="D15" t="inlineStr">
        <is>
          <t>STANDARD</t>
        </is>
      </c>
      <c r="E15" t="inlineStr">
        <is>
          <t>SRC_RENAULT_NO_R4_PRICELIST</t>
        </is>
      </c>
      <c r="F15" t="inlineStr">
        <is>
          <t>MEDIUM</t>
        </is>
      </c>
    </row>
    <row r="16">
      <c r="A16" t="inlineStr">
        <is>
          <t>EQ_000015</t>
        </is>
      </c>
      <c r="B16" t="inlineStr">
        <is>
          <t>RENAULT_4_TECHNO_PLEIN_SUD</t>
        </is>
      </c>
      <c r="C16" t="inlineStr">
        <is>
          <t>EQ_REAR_CAMERA</t>
        </is>
      </c>
      <c r="D16" t="inlineStr">
        <is>
          <t>STANDARD</t>
        </is>
      </c>
      <c r="E16" t="inlineStr">
        <is>
          <t>SRC_RENAULT_NO_R4_PRICELIST</t>
        </is>
      </c>
      <c r="F16" t="inlineStr">
        <is>
          <t>MEDIUM</t>
        </is>
      </c>
    </row>
    <row r="17">
      <c r="A17" t="inlineStr">
        <is>
          <t>EQ_000016</t>
        </is>
      </c>
      <c r="B17" t="inlineStr">
        <is>
          <t>RENAULT_4_ICONIC</t>
        </is>
      </c>
      <c r="C17" t="inlineStr">
        <is>
          <t>EQ_REAR_CAMERA</t>
        </is>
      </c>
      <c r="D17" t="inlineStr">
        <is>
          <t>STANDARD</t>
        </is>
      </c>
      <c r="E17" t="inlineStr">
        <is>
          <t>SRC_RENAULT_NO_R4_PRICELIST</t>
        </is>
      </c>
      <c r="F17" t="inlineStr">
        <is>
          <t>MEDIUM</t>
        </is>
      </c>
    </row>
    <row r="18">
      <c r="A18" t="inlineStr">
        <is>
          <t>EQ_000017</t>
        </is>
      </c>
      <c r="B18" t="inlineStr">
        <is>
          <t>RENAULT_4_ICONIC_PLEIN_SUD</t>
        </is>
      </c>
      <c r="C18" t="inlineStr">
        <is>
          <t>EQ_REAR_CAMERA</t>
        </is>
      </c>
      <c r="D18" t="inlineStr">
        <is>
          <t>STANDARD</t>
        </is>
      </c>
      <c r="E18" t="inlineStr">
        <is>
          <t>SRC_RENAULT_NO_R4_PRICELIST</t>
        </is>
      </c>
      <c r="F18" t="inlineStr">
        <is>
          <t>MEDIUM</t>
        </is>
      </c>
    </row>
    <row r="19">
      <c r="A19" t="inlineStr">
        <is>
          <t>EQ_000018</t>
        </is>
      </c>
      <c r="B19" t="inlineStr">
        <is>
          <t>SKODA_ELROQ_ESSENCE_60</t>
        </is>
      </c>
      <c r="C19" t="inlineStr">
        <is>
          <t>EQ_REAR_CAMERA</t>
        </is>
      </c>
      <c r="D19" t="inlineStr">
        <is>
          <t>STANDARD</t>
        </is>
      </c>
      <c r="E19" t="inlineStr">
        <is>
          <t>SRC_SKODA_NO_ELROQ_PRICELIST</t>
        </is>
      </c>
      <c r="F19" t="inlineStr">
        <is>
          <t>MEDIUM</t>
        </is>
      </c>
    </row>
    <row r="20">
      <c r="A20" t="inlineStr">
        <is>
          <t>EQ_000019</t>
        </is>
      </c>
      <c r="B20" t="inlineStr">
        <is>
          <t>SKODA_ELROQ_SELECTION_60</t>
        </is>
      </c>
      <c r="C20" t="inlineStr">
        <is>
          <t>EQ_REAR_CAMERA</t>
        </is>
      </c>
      <c r="D20" t="inlineStr">
        <is>
          <t>STANDARD</t>
        </is>
      </c>
      <c r="E20" t="inlineStr">
        <is>
          <t>SRC_SKODA_NO_ELROQ_PRICELIST</t>
        </is>
      </c>
      <c r="F20" t="inlineStr">
        <is>
          <t>MEDIUM</t>
        </is>
      </c>
    </row>
    <row r="21">
      <c r="A21" t="inlineStr">
        <is>
          <t>EQ_000020</t>
        </is>
      </c>
      <c r="B21" t="inlineStr">
        <is>
          <t>SKODA_ELROQ_SELECTION_85X</t>
        </is>
      </c>
      <c r="C21" t="inlineStr">
        <is>
          <t>EQ_REAR_CAMERA</t>
        </is>
      </c>
      <c r="D21" t="inlineStr">
        <is>
          <t>STANDARD</t>
        </is>
      </c>
      <c r="E21" t="inlineStr">
        <is>
          <t>SRC_SKODA_NO_ELROQ_PRICELIST</t>
        </is>
      </c>
      <c r="F21" t="inlineStr">
        <is>
          <t>MEDIUM</t>
        </is>
      </c>
    </row>
    <row r="22">
      <c r="A22" t="inlineStr">
        <is>
          <t>EQ_000021</t>
        </is>
      </c>
      <c r="B22" t="inlineStr">
        <is>
          <t>SKODA_ELROQ_RS</t>
        </is>
      </c>
      <c r="C22" t="inlineStr">
        <is>
          <t>EQ_REAR_CAMERA</t>
        </is>
      </c>
      <c r="D22" t="inlineStr">
        <is>
          <t>STANDARD</t>
        </is>
      </c>
      <c r="E22" t="inlineStr">
        <is>
          <t>SRC_SKODA_NO_ELROQ_PRICELIST</t>
        </is>
      </c>
      <c r="F22" t="inlineStr">
        <is>
          <t>MEDIUM</t>
        </is>
      </c>
    </row>
    <row r="23">
      <c r="A23" t="inlineStr">
        <is>
          <t>EQ_000022</t>
        </is>
      </c>
      <c r="B23" t="inlineStr">
        <is>
          <t>TESLA_MODEL_3_RWD</t>
        </is>
      </c>
      <c r="C23" t="inlineStr">
        <is>
          <t>EQ_CARPLAY</t>
        </is>
      </c>
      <c r="D23" t="inlineStr">
        <is>
          <t>UNAVAILABLE</t>
        </is>
      </c>
      <c r="E23" t="inlineStr">
        <is>
          <t>SRC_MACRUMORS_CARPLAY_2025</t>
        </is>
      </c>
      <c r="F23" t="inlineStr">
        <is>
          <t>MEDIUM</t>
        </is>
      </c>
    </row>
    <row r="24">
      <c r="A24" t="inlineStr">
        <is>
          <t>EQ_000023</t>
        </is>
      </c>
      <c r="B24" t="inlineStr">
        <is>
          <t>TESLA_MODEL_3_LONG_RANGE_AWD</t>
        </is>
      </c>
      <c r="C24" t="inlineStr">
        <is>
          <t>EQ_CARPLAY</t>
        </is>
      </c>
      <c r="D24" t="inlineStr">
        <is>
          <t>UNAVAILABLE</t>
        </is>
      </c>
      <c r="E24" t="inlineStr">
        <is>
          <t>SRC_MACRUMORS_CARPLAY_2025</t>
        </is>
      </c>
      <c r="F24" t="inlineStr">
        <is>
          <t>MEDIUM</t>
        </is>
      </c>
    </row>
    <row r="25">
      <c r="A25" t="inlineStr">
        <is>
          <t>EQ_000024</t>
        </is>
      </c>
      <c r="B25" t="inlineStr">
        <is>
          <t>TESLA_MODEL_3_LONG_RANGE_RWD</t>
        </is>
      </c>
      <c r="C25" t="inlineStr">
        <is>
          <t>EQ_CARPLAY</t>
        </is>
      </c>
      <c r="D25" t="inlineStr">
        <is>
          <t>UNAVAILABLE</t>
        </is>
      </c>
      <c r="E25" t="inlineStr">
        <is>
          <t>SRC_MACRUMORS_CARPLAY_2025</t>
        </is>
      </c>
      <c r="F25" t="inlineStr">
        <is>
          <t>MEDIUM</t>
        </is>
      </c>
    </row>
    <row r="26">
      <c r="A26" t="inlineStr">
        <is>
          <t>EQ_000025</t>
        </is>
      </c>
      <c r="B26" t="inlineStr">
        <is>
          <t>TESLA_MODEL_3_PERFORMANCE</t>
        </is>
      </c>
      <c r="C26" t="inlineStr">
        <is>
          <t>EQ_CARPLAY</t>
        </is>
      </c>
      <c r="D26" t="inlineStr">
        <is>
          <t>UNAVAILABLE</t>
        </is>
      </c>
      <c r="E26" t="inlineStr">
        <is>
          <t>SRC_MACRUMORS_CARPLAY_2025</t>
        </is>
      </c>
      <c r="F26" t="inlineStr">
        <is>
          <t>MEDIUM</t>
        </is>
      </c>
    </row>
    <row r="27">
      <c r="A27" t="inlineStr">
        <is>
          <t>EQ_000026</t>
        </is>
      </c>
      <c r="B27" t="inlineStr">
        <is>
          <t>RENAULT_4_EVOLUTION_URBAN</t>
        </is>
      </c>
      <c r="C27" t="inlineStr">
        <is>
          <t>EQ_CARPLAY</t>
        </is>
      </c>
      <c r="D27" t="inlineStr">
        <is>
          <t>STANDARD</t>
        </is>
      </c>
      <c r="E27" t="inlineStr">
        <is>
          <t>SRC_RENAULT_NO_R4_PRICELIST</t>
        </is>
      </c>
      <c r="F27" t="inlineStr">
        <is>
          <t>MEDIUM</t>
        </is>
      </c>
    </row>
    <row r="28">
      <c r="A28" t="inlineStr">
        <is>
          <t>EQ_000027</t>
        </is>
      </c>
      <c r="B28" t="inlineStr">
        <is>
          <t>RENAULT_4_EVOLUTION_COMFORT</t>
        </is>
      </c>
      <c r="C28" t="inlineStr">
        <is>
          <t>EQ_CARPLAY</t>
        </is>
      </c>
      <c r="D28" t="inlineStr">
        <is>
          <t>STANDARD</t>
        </is>
      </c>
      <c r="E28" t="inlineStr">
        <is>
          <t>SRC_RENAULT_NO_R4_PRICELIST</t>
        </is>
      </c>
      <c r="F28" t="inlineStr">
        <is>
          <t>MEDIUM</t>
        </is>
      </c>
    </row>
    <row r="29">
      <c r="A29" t="inlineStr">
        <is>
          <t>EQ_000028</t>
        </is>
      </c>
      <c r="B29" t="inlineStr">
        <is>
          <t>RENAULT_4_TECHNO</t>
        </is>
      </c>
      <c r="C29" t="inlineStr">
        <is>
          <t>EQ_CARPLAY</t>
        </is>
      </c>
      <c r="D29" t="inlineStr">
        <is>
          <t>STANDARD</t>
        </is>
      </c>
      <c r="E29" t="inlineStr">
        <is>
          <t>SRC_RENAULT_NO_R4_PRICELIST</t>
        </is>
      </c>
      <c r="F29" t="inlineStr">
        <is>
          <t>MEDIUM</t>
        </is>
      </c>
    </row>
    <row r="30">
      <c r="A30" t="inlineStr">
        <is>
          <t>EQ_000029</t>
        </is>
      </c>
      <c r="B30" t="inlineStr">
        <is>
          <t>RENAULT_4_TECHNO_PLEIN_SUD</t>
        </is>
      </c>
      <c r="C30" t="inlineStr">
        <is>
          <t>EQ_CARPLAY</t>
        </is>
      </c>
      <c r="D30" t="inlineStr">
        <is>
          <t>STANDARD</t>
        </is>
      </c>
      <c r="E30" t="inlineStr">
        <is>
          <t>SRC_RENAULT_NO_R4_PRICELIST</t>
        </is>
      </c>
      <c r="F30" t="inlineStr">
        <is>
          <t>MEDIUM</t>
        </is>
      </c>
    </row>
    <row r="31">
      <c r="A31" t="inlineStr">
        <is>
          <t>EQ_000030</t>
        </is>
      </c>
      <c r="B31" t="inlineStr">
        <is>
          <t>RENAULT_4_ICONIC</t>
        </is>
      </c>
      <c r="C31" t="inlineStr">
        <is>
          <t>EQ_CARPLAY</t>
        </is>
      </c>
      <c r="D31" t="inlineStr">
        <is>
          <t>STANDARD</t>
        </is>
      </c>
      <c r="E31" t="inlineStr">
        <is>
          <t>SRC_RENAULT_NO_R4_PRICELIST</t>
        </is>
      </c>
      <c r="F31" t="inlineStr">
        <is>
          <t>MEDIUM</t>
        </is>
      </c>
    </row>
    <row r="32">
      <c r="A32" t="inlineStr">
        <is>
          <t>EQ_000031</t>
        </is>
      </c>
      <c r="B32" t="inlineStr">
        <is>
          <t>RENAULT_4_ICONIC_PLEIN_SUD</t>
        </is>
      </c>
      <c r="C32" t="inlineStr">
        <is>
          <t>EQ_CARPLAY</t>
        </is>
      </c>
      <c r="D32" t="inlineStr">
        <is>
          <t>STANDARD</t>
        </is>
      </c>
      <c r="E32" t="inlineStr">
        <is>
          <t>SRC_RENAULT_NO_R4_PRICELIST</t>
        </is>
      </c>
      <c r="F32" t="inlineStr">
        <is>
          <t>MEDIUM</t>
        </is>
      </c>
    </row>
    <row r="33">
      <c r="A33" t="inlineStr">
        <is>
          <t>EQ_000032</t>
        </is>
      </c>
      <c r="B33" t="inlineStr">
        <is>
          <t>SKODA_ELROQ_ESSENCE_60</t>
        </is>
      </c>
      <c r="C33" t="inlineStr">
        <is>
          <t>EQ_CARPLAY</t>
        </is>
      </c>
      <c r="D33" t="inlineStr">
        <is>
          <t>STANDARD</t>
        </is>
      </c>
      <c r="E33" t="inlineStr">
        <is>
          <t>SRC_SKODA_NO_ELROQ_PRICELIST</t>
        </is>
      </c>
      <c r="F33" t="inlineStr">
        <is>
          <t>MEDIUM</t>
        </is>
      </c>
    </row>
    <row r="34">
      <c r="A34" t="inlineStr">
        <is>
          <t>EQ_000033</t>
        </is>
      </c>
      <c r="B34" t="inlineStr">
        <is>
          <t>SKODA_ELROQ_SELECTION_60</t>
        </is>
      </c>
      <c r="C34" t="inlineStr">
        <is>
          <t>EQ_CARPLAY</t>
        </is>
      </c>
      <c r="D34" t="inlineStr">
        <is>
          <t>STANDARD</t>
        </is>
      </c>
      <c r="E34" t="inlineStr">
        <is>
          <t>SRC_SKODA_NO_ELROQ_PRICELIST</t>
        </is>
      </c>
      <c r="F34" t="inlineStr">
        <is>
          <t>MEDIUM</t>
        </is>
      </c>
    </row>
    <row r="35">
      <c r="A35" t="inlineStr">
        <is>
          <t>EQ_000034</t>
        </is>
      </c>
      <c r="B35" t="inlineStr">
        <is>
          <t>SKODA_ELROQ_SELECTION_85X</t>
        </is>
      </c>
      <c r="C35" t="inlineStr">
        <is>
          <t>EQ_CARPLAY</t>
        </is>
      </c>
      <c r="D35" t="inlineStr">
        <is>
          <t>STANDARD</t>
        </is>
      </c>
      <c r="E35" t="inlineStr">
        <is>
          <t>SRC_SKODA_NO_ELROQ_PRICELIST</t>
        </is>
      </c>
      <c r="F35" t="inlineStr">
        <is>
          <t>MEDIUM</t>
        </is>
      </c>
    </row>
    <row r="36">
      <c r="A36" t="inlineStr">
        <is>
          <t>EQ_000035</t>
        </is>
      </c>
      <c r="B36" t="inlineStr">
        <is>
          <t>SKODA_ELROQ_RS</t>
        </is>
      </c>
      <c r="C36" t="inlineStr">
        <is>
          <t>EQ_CARPLAY</t>
        </is>
      </c>
      <c r="D36" t="inlineStr">
        <is>
          <t>STANDARD</t>
        </is>
      </c>
      <c r="E36" t="inlineStr">
        <is>
          <t>SRC_SKODA_NO_ELROQ_PRICELIST</t>
        </is>
      </c>
      <c r="F36" t="inlineStr">
        <is>
          <t>MEDIUM</t>
        </is>
      </c>
    </row>
    <row r="37">
      <c r="A37" t="inlineStr">
        <is>
          <t>EQ_000036</t>
        </is>
      </c>
      <c r="B37" t="inlineStr">
        <is>
          <t>VOLVO_EX30_P5</t>
        </is>
      </c>
      <c r="C37" t="inlineStr">
        <is>
          <t>EQ_CARPLAY</t>
        </is>
      </c>
      <c r="D37" t="inlineStr">
        <is>
          <t>STANDARD</t>
        </is>
      </c>
      <c r="E37" t="inlineStr">
        <is>
          <t>SRC_WHATCAR_EX30_2026</t>
        </is>
      </c>
      <c r="F37" t="inlineStr">
        <is>
          <t>MEDIUM</t>
        </is>
      </c>
    </row>
    <row r="38">
      <c r="A38" t="inlineStr">
        <is>
          <t>EQ_000037</t>
        </is>
      </c>
      <c r="B38" t="inlineStr">
        <is>
          <t>VOLVO_EX30_P5_LONG_RANGE</t>
        </is>
      </c>
      <c r="C38" t="inlineStr">
        <is>
          <t>EQ_CARPLAY</t>
        </is>
      </c>
      <c r="D38" t="inlineStr">
        <is>
          <t>STANDARD</t>
        </is>
      </c>
      <c r="E38" t="inlineStr">
        <is>
          <t>SRC_WHATCAR_EX30_2026</t>
        </is>
      </c>
      <c r="F38" t="inlineStr">
        <is>
          <t>MEDIUM</t>
        </is>
      </c>
    </row>
    <row r="39">
      <c r="A39" t="inlineStr">
        <is>
          <t>EQ_000038</t>
        </is>
      </c>
      <c r="B39" t="inlineStr">
        <is>
          <t>VOLVO_EX30_P8_AWD</t>
        </is>
      </c>
      <c r="C39" t="inlineStr">
        <is>
          <t>EQ_CARPLAY</t>
        </is>
      </c>
      <c r="D39" t="inlineStr">
        <is>
          <t>STANDARD</t>
        </is>
      </c>
      <c r="E39" t="inlineStr">
        <is>
          <t>SRC_WHATCAR_EX30_2026</t>
        </is>
      </c>
      <c r="F39" t="inlineStr">
        <is>
          <t>HIGH</t>
        </is>
      </c>
    </row>
    <row r="40">
      <c r="A40" t="inlineStr">
        <is>
          <t>EQ_000039</t>
        </is>
      </c>
      <c r="B40" t="inlineStr">
        <is>
          <t>KIA_EV2_FWD_LONG_RANGE_GT_LINE</t>
        </is>
      </c>
      <c r="C40" t="inlineStr">
        <is>
          <t>EQ_CARPLAY</t>
        </is>
      </c>
      <c r="D40" t="inlineStr">
        <is>
          <t>STANDARD</t>
        </is>
      </c>
      <c r="E40" t="inlineStr">
        <is>
          <t>SRC_BOS_KIA_EV2_QUOTE</t>
        </is>
      </c>
      <c r="F40" t="inlineStr">
        <is>
          <t>MEDIUM</t>
        </is>
      </c>
    </row>
    <row r="41">
      <c r="A41" t="inlineStr">
        <is>
          <t>EQ_000040</t>
        </is>
      </c>
      <c r="B41" t="inlineStr">
        <is>
          <t>KIA_EV2_FWD_LONG_RANGE_GT_LINE</t>
        </is>
      </c>
      <c r="C41" t="inlineStr">
        <is>
          <t>EQ_360</t>
        </is>
      </c>
      <c r="D41" t="inlineStr">
        <is>
          <t>STANDARD</t>
        </is>
      </c>
      <c r="E41" t="inlineStr">
        <is>
          <t>SRC_BOS_KIA_EV2_QUOTE</t>
        </is>
      </c>
      <c r="F41" t="inlineStr">
        <is>
          <t>MEDIUM</t>
        </is>
      </c>
    </row>
    <row r="42">
      <c r="A42" t="inlineStr">
        <is>
          <t>EQ_000041</t>
        </is>
      </c>
      <c r="B42" t="inlineStr">
        <is>
          <t>KIA_EV2_FWD_LONG_RANGE_GT_LINE</t>
        </is>
      </c>
      <c r="C42" t="inlineStr">
        <is>
          <t>EQ_REAR_CAMERA</t>
        </is>
      </c>
      <c r="D42" t="inlineStr">
        <is>
          <t>STANDARD</t>
        </is>
      </c>
      <c r="E42" t="inlineStr">
        <is>
          <t>SRC_BOS_KIA_EV2_QUOTE</t>
        </is>
      </c>
      <c r="F42" t="inlineStr">
        <is>
          <t>MEDIUM</t>
        </is>
      </c>
    </row>
    <row r="43">
      <c r="A43" t="inlineStr">
        <is>
          <t>EQ_000042</t>
        </is>
      </c>
      <c r="B43" t="inlineStr">
        <is>
          <t>KIA_EV2_FWD_LONG_RANGE_GT_LINE</t>
        </is>
      </c>
      <c r="C43" t="inlineStr">
        <is>
          <t>EQ_OTA</t>
        </is>
      </c>
      <c r="D43" t="inlineStr">
        <is>
          <t>STANDARD</t>
        </is>
      </c>
      <c r="E43" t="inlineStr">
        <is>
          <t>SRC_BOS_KIA_EV2_QUOTE</t>
        </is>
      </c>
      <c r="F43" t="inlineStr">
        <is>
          <t>MEDIUM</t>
        </is>
      </c>
    </row>
    <row r="44">
      <c r="A44" t="inlineStr">
        <is>
          <t>EQ_000043</t>
        </is>
      </c>
      <c r="B44" t="inlineStr">
        <is>
          <t>KIA_EV2_FWD_LONG_RANGE_GT_LINE</t>
        </is>
      </c>
      <c r="C44" t="inlineStr">
        <is>
          <t>EQ_ACC</t>
        </is>
      </c>
      <c r="D44" t="inlineStr">
        <is>
          <t>STANDARD</t>
        </is>
      </c>
      <c r="E44" t="inlineStr">
        <is>
          <t>SRC_BOS_KIA_EV2_QUOTE</t>
        </is>
      </c>
      <c r="F44" t="inlineStr">
        <is>
          <t>MEDIUM</t>
        </is>
      </c>
    </row>
    <row r="45">
      <c r="A45" t="inlineStr">
        <is>
          <t>EQ_000044</t>
        </is>
      </c>
      <c r="B45" t="inlineStr">
        <is>
          <t>KIA_EV2_FWD_LONG_RANGE_GT_LINE</t>
        </is>
      </c>
      <c r="C45" t="inlineStr">
        <is>
          <t>EQ_LANE_CENTER</t>
        </is>
      </c>
      <c r="D45" t="inlineStr">
        <is>
          <t>STANDARD</t>
        </is>
      </c>
      <c r="E45" t="inlineStr">
        <is>
          <t>SRC_BOS_KIA_EV2_QUOTE</t>
        </is>
      </c>
      <c r="F45" t="inlineStr">
        <is>
          <t>MEDIUM</t>
        </is>
      </c>
    </row>
    <row r="46">
      <c r="A46" t="inlineStr">
        <is>
          <t>EQ_000045</t>
        </is>
      </c>
      <c r="B46" t="inlineStr">
        <is>
          <t>KIA_EV2_FWD_LONG_RANGE_GT_LINE</t>
        </is>
      </c>
      <c r="C46" t="inlineStr">
        <is>
          <t>EQ_DIGITAL_KEY</t>
        </is>
      </c>
      <c r="D46" t="inlineStr">
        <is>
          <t>STANDARD</t>
        </is>
      </c>
      <c r="E46" t="inlineStr">
        <is>
          <t>SRC_BOS_KIA_EV2_QUOTE</t>
        </is>
      </c>
      <c r="F46" t="inlineStr">
        <is>
          <t>MEDIUM</t>
        </is>
      </c>
    </row>
    <row r="47">
      <c r="A47" t="inlineStr">
        <is>
          <t>EQ_000046</t>
        </is>
      </c>
      <c r="B47" t="inlineStr">
        <is>
          <t>KIA_EV2_FWD_LONG_RANGE_GT_LINE</t>
        </is>
      </c>
      <c r="C47" t="inlineStr">
        <is>
          <t>EQ_HEATPUMP</t>
        </is>
      </c>
      <c r="D47" t="inlineStr">
        <is>
          <t>STANDARD</t>
        </is>
      </c>
      <c r="E47" t="inlineStr">
        <is>
          <t>SRC_BOS_KIA_EV2_QUOTE</t>
        </is>
      </c>
      <c r="F47" t="inlineStr">
        <is>
          <t>MEDIUM</t>
        </is>
      </c>
    </row>
    <row r="48">
      <c r="A48" t="inlineStr">
        <is>
          <t>EQ_000047</t>
        </is>
      </c>
      <c r="B48" t="inlineStr">
        <is>
          <t>KIA_EV2_FWD_LONG_RANGE_GT_LINE</t>
        </is>
      </c>
      <c r="C48" t="inlineStr">
        <is>
          <t>EQ_WIRELESS_CHARGE</t>
        </is>
      </c>
      <c r="D48" t="inlineStr">
        <is>
          <t>STANDARD</t>
        </is>
      </c>
      <c r="E48" t="inlineStr">
        <is>
          <t>SRC_BOS_KIA_EV2_QUOTE</t>
        </is>
      </c>
      <c r="F48" t="inlineStr">
        <is>
          <t>MEDIUM</t>
        </is>
      </c>
    </row>
    <row r="49">
      <c r="A49" t="inlineStr">
        <is>
          <t>EQ_000048</t>
        </is>
      </c>
      <c r="B49" t="inlineStr">
        <is>
          <t>KIA_EV2_FWD_LONG_RANGE_GT_LINE</t>
        </is>
      </c>
      <c r="C49" t="inlineStr">
        <is>
          <t>EQ_AUDIO</t>
        </is>
      </c>
      <c r="D49" t="inlineStr">
        <is>
          <t>STANDARD</t>
        </is>
      </c>
      <c r="E49" t="inlineStr">
        <is>
          <t>SRC_BOS_KIA_EV2_QUOTE</t>
        </is>
      </c>
      <c r="F49" t="inlineStr">
        <is>
          <t>MEDIUM</t>
        </is>
      </c>
    </row>
    <row r="50">
      <c r="A50" t="inlineStr">
        <is>
          <t>EQ_000049</t>
        </is>
      </c>
      <c r="B50" t="inlineStr">
        <is>
          <t>KIA_EV2_FWD_LONG_RANGE_GT_LINE</t>
        </is>
      </c>
      <c r="C50" t="inlineStr">
        <is>
          <t>EQ_V2L</t>
        </is>
      </c>
      <c r="D50" t="inlineStr">
        <is>
          <t>STANDARD</t>
        </is>
      </c>
      <c r="E50" t="inlineStr">
        <is>
          <t>SRC_BOS_KIA_EV2_QUOTE</t>
        </is>
      </c>
      <c r="F50" t="inlineStr">
        <is>
          <t>MEDIUM</t>
        </is>
      </c>
    </row>
    <row r="51">
      <c r="A51" t="inlineStr">
        <is>
          <t>EQ_000050</t>
        </is>
      </c>
      <c r="B51" t="inlineStr">
        <is>
          <t>KIA_EV2_FWD_LONG_RANGE_GT_LINE</t>
        </is>
      </c>
      <c r="C51" t="inlineStr">
        <is>
          <t>EQ_VENT_SEATS</t>
        </is>
      </c>
      <c r="D51" t="inlineStr">
        <is>
          <t>STANDARD</t>
        </is>
      </c>
      <c r="E51" t="inlineStr">
        <is>
          <t>SRC_BOS_KIA_EV2_QUOTE</t>
        </is>
      </c>
      <c r="F51" t="inlineStr">
        <is>
          <t>MEDIUM</t>
        </is>
      </c>
    </row>
    <row r="52">
      <c r="A52" t="inlineStr">
        <is>
          <t>EQ_000051</t>
        </is>
      </c>
      <c r="B52" t="inlineStr">
        <is>
          <t>KIA_EV2_FWD_LONG_RANGE_GT_LINE</t>
        </is>
      </c>
      <c r="C52" t="inlineStr">
        <is>
          <t>EQ_AMBIENT</t>
        </is>
      </c>
      <c r="D52" t="inlineStr">
        <is>
          <t>STANDARD</t>
        </is>
      </c>
      <c r="E52" t="inlineStr">
        <is>
          <t>SRC_BOS_KIA_EV2_QUOTE</t>
        </is>
      </c>
      <c r="F52" t="inlineStr">
        <is>
          <t>MEDIUM</t>
        </is>
      </c>
    </row>
    <row r="53">
      <c r="A53" t="inlineStr">
        <is>
          <t>EQ_000052</t>
        </is>
      </c>
      <c r="B53" t="inlineStr">
        <is>
          <t>KIA_EV2_FWD_LONG_RANGE_GT_LINE</t>
        </is>
      </c>
      <c r="C53" t="inlineStr">
        <is>
          <t>EQ_APP</t>
        </is>
      </c>
      <c r="D53" t="inlineStr">
        <is>
          <t>STANDARD</t>
        </is>
      </c>
      <c r="E53" t="inlineStr">
        <is>
          <t>SRC_BOS_KIA_EV2_QUOTE</t>
        </is>
      </c>
      <c r="F53" t="inlineStr">
        <is>
          <t>MEDIUM</t>
        </is>
      </c>
    </row>
  </sheetData>
  <autoFilter ref="A1:F1"/>
  <dataValidations count="2">
    <dataValidation sqref="D2:D1048576" showDropDown="0" showInputMessage="0" showErrorMessage="1" allowBlank="1" type="list">
      <formula1>Enum_Availability</formula1>
    </dataValidation>
    <dataValidation sqref="F2:F1048576" showDropDown="0" showInputMessage="0" showErrorMessage="1" allowBlank="1" type="list">
      <formula1>Enum_Confidence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1"/>
  <sheetViews>
    <sheetView showGridLines="1" workbookViewId="0">
      <pane ySplit="1" topLeftCell="A2" activePane="bottomLeft" state="frozen"/>
      <selection pane="bottomLeft" activeCell="A2" sqref="A2"/>
    </sheetView>
  </sheetViews>
  <sheetFormatPr baseColWidth="8" defaultRowHeight="15"/>
  <cols>
    <col width="28" customWidth="1" min="1" max="1"/>
    <col width="24" customWidth="1" min="2" max="2"/>
    <col width="32" customWidth="1" min="3" max="3"/>
    <col width="60" customWidth="1" min="4" max="4"/>
    <col width="14" customWidth="1" min="5" max="5"/>
    <col width="60" customWidth="1" min="6" max="6"/>
  </cols>
  <sheetData>
    <row r="1" ht="22" customHeight="1">
      <c r="A1" s="1" t="inlineStr">
        <is>
          <t>EquipmentDefinitionID</t>
        </is>
      </c>
      <c r="B1" s="1" t="inlineStr">
        <is>
          <t>Category</t>
        </is>
      </c>
      <c r="C1" s="1" t="inlineStr">
        <is>
          <t>Name</t>
        </is>
      </c>
      <c r="D1" s="1" t="inlineStr">
        <is>
          <t>Description</t>
        </is>
      </c>
      <c r="E1" s="1" t="inlineStr">
        <is>
          <t>Weighted</t>
        </is>
      </c>
      <c r="F1" s="1" t="inlineStr">
        <is>
          <t>Notes</t>
        </is>
      </c>
    </row>
    <row r="2">
      <c r="A2" t="inlineStr">
        <is>
          <t>EQ_ACC</t>
        </is>
      </c>
      <c r="B2" t="inlineStr">
        <is>
          <t>Core tech</t>
        </is>
      </c>
      <c r="C2" t="inlineStr">
        <is>
          <t>Adaptive cruise control</t>
        </is>
      </c>
      <c r="E2" t="inlineStr">
        <is>
          <t>TRUE</t>
        </is>
      </c>
      <c r="F2" t="inlineStr">
        <is>
          <t>Må-krav, men kvalitet scores separat.</t>
        </is>
      </c>
    </row>
    <row r="3">
      <c r="A3" t="inlineStr">
        <is>
          <t>EQ_REAR_CAMERA</t>
        </is>
      </c>
      <c r="B3" t="inlineStr">
        <is>
          <t>Core tech</t>
        </is>
      </c>
      <c r="C3" t="inlineStr">
        <is>
          <t>Ryggekamera</t>
        </is>
      </c>
      <c r="E3" t="inlineStr">
        <is>
          <t>TRUE</t>
        </is>
      </c>
      <c r="F3" t="inlineStr">
        <is>
          <t>Minimumskrav for parkering.</t>
        </is>
      </c>
    </row>
    <row r="4">
      <c r="A4" t="inlineStr">
        <is>
          <t>EQ_360</t>
        </is>
      </c>
      <c r="B4" t="inlineStr">
        <is>
          <t>Core tech</t>
        </is>
      </c>
      <c r="C4" t="inlineStr">
        <is>
          <t>360-kamera</t>
        </is>
      </c>
      <c r="E4" t="inlineStr">
        <is>
          <t>TRUE</t>
        </is>
      </c>
      <c r="F4" t="inlineStr">
        <is>
          <t>Høy praktisk verdi i garasje/parkering.</t>
        </is>
      </c>
    </row>
    <row r="5">
      <c r="A5" t="inlineStr">
        <is>
          <t>EQ_CARPLAY</t>
        </is>
      </c>
      <c r="B5" t="inlineStr">
        <is>
          <t>Core tech</t>
        </is>
      </c>
      <c r="C5" t="inlineStr">
        <is>
          <t>Apple CarPlay</t>
        </is>
      </c>
      <c r="E5" t="inlineStr">
        <is>
          <t>TRUE</t>
        </is>
      </c>
      <c r="F5" t="inlineStr">
        <is>
          <t>Viktig mobilintegrasjon.</t>
        </is>
      </c>
    </row>
    <row r="6">
      <c r="A6" t="inlineStr">
        <is>
          <t>EQ_OTA</t>
        </is>
      </c>
      <c r="B6" t="inlineStr">
        <is>
          <t>Core tech</t>
        </is>
      </c>
      <c r="C6" t="inlineStr">
        <is>
          <t>OTA-oppdateringer</t>
        </is>
      </c>
      <c r="E6" t="inlineStr">
        <is>
          <t>TRUE</t>
        </is>
      </c>
      <c r="F6" t="inlineStr">
        <is>
          <t>Viktig for teknologisk aldring.</t>
        </is>
      </c>
    </row>
    <row r="7">
      <c r="A7" t="inlineStr">
        <is>
          <t>EQ_NAV_CHARGE</t>
        </is>
      </c>
      <c r="B7" t="inlineStr">
        <is>
          <t>Core tech</t>
        </is>
      </c>
      <c r="C7" t="inlineStr">
        <is>
          <t>Ladeplanlegging i navigasjon</t>
        </is>
      </c>
      <c r="E7" t="inlineStr">
        <is>
          <t>TRUE</t>
        </is>
      </c>
      <c r="F7" t="inlineStr">
        <is>
          <t>Vurder kvalitet og integrasjon.</t>
        </is>
      </c>
    </row>
    <row r="8">
      <c r="A8" t="inlineStr">
        <is>
          <t>EQ_MATRIX</t>
        </is>
      </c>
      <c r="B8" t="inlineStr">
        <is>
          <t>Safety/comfort</t>
        </is>
      </c>
      <c r="C8" t="inlineStr">
        <is>
          <t>Matrix/adaptive LED</t>
        </is>
      </c>
      <c r="E8" t="inlineStr">
        <is>
          <t>TRUE</t>
        </is>
      </c>
      <c r="F8" t="inlineStr">
        <is>
          <t>Kan gi livskvalitet, særlig vinter/mørke.</t>
        </is>
      </c>
    </row>
    <row r="9">
      <c r="A9" t="inlineStr">
        <is>
          <t>EQ_HEATPUMP</t>
        </is>
      </c>
      <c r="B9" t="inlineStr">
        <is>
          <t>Efficiency</t>
        </is>
      </c>
      <c r="C9" t="inlineStr">
        <is>
          <t>Varmepumpe</t>
        </is>
      </c>
      <c r="E9" t="inlineStr">
        <is>
          <t>TRUE</t>
        </is>
      </c>
      <c r="F9" t="inlineStr">
        <is>
          <t>Viktig i nordisk klima.</t>
        </is>
      </c>
    </row>
    <row r="10">
      <c r="A10" t="inlineStr">
        <is>
          <t>EQ_LANE_CENTER</t>
        </is>
      </c>
      <c r="B10" t="inlineStr">
        <is>
          <t>Driver assist</t>
        </is>
      </c>
      <c r="C10" t="inlineStr">
        <is>
          <t>Lane centering</t>
        </is>
      </c>
      <c r="E10" t="inlineStr">
        <is>
          <t>TRUE</t>
        </is>
      </c>
      <c r="F10" t="inlineStr">
        <is>
          <t>Kvalitet viktigere enn navn.</t>
        </is>
      </c>
    </row>
    <row r="11">
      <c r="A11" t="inlineStr">
        <is>
          <t>EQ_APP</t>
        </is>
      </c>
      <c r="B11" t="inlineStr">
        <is>
          <t>Core tech</t>
        </is>
      </c>
      <c r="C11" t="inlineStr">
        <is>
          <t>Bil-app</t>
        </is>
      </c>
      <c r="E11" t="inlineStr">
        <is>
          <t>TRUE</t>
        </is>
      </c>
      <c r="F11" t="inlineStr">
        <is>
          <t>Forvarming, lading, status.</t>
        </is>
      </c>
    </row>
    <row r="12">
      <c r="A12" t="inlineStr">
        <is>
          <t>EQ_DIGITAL_KEY</t>
        </is>
      </c>
      <c r="B12" t="inlineStr">
        <is>
          <t>Convenience</t>
        </is>
      </c>
      <c r="C12" t="inlineStr">
        <is>
          <t>Digital nøkkel</t>
        </is>
      </c>
      <c r="E12" t="inlineStr">
        <is>
          <t>FALSE</t>
        </is>
      </c>
      <c r="F12" t="inlineStr">
        <is>
          <t>Registreres, lav vekt.</t>
        </is>
      </c>
    </row>
    <row r="13">
      <c r="A13" t="inlineStr">
        <is>
          <t>EQ_HUD</t>
        </is>
      </c>
      <c r="B13" t="inlineStr">
        <is>
          <t>Convenience</t>
        </is>
      </c>
      <c r="C13" t="inlineStr">
        <is>
          <t>Head-up display</t>
        </is>
      </c>
      <c r="E13" t="inlineStr">
        <is>
          <t>FALSE</t>
        </is>
      </c>
      <c r="F13" t="inlineStr">
        <is>
          <t>Kan være positivt, men ikke sentralt.</t>
        </is>
      </c>
    </row>
    <row r="14">
      <c r="A14" t="inlineStr">
        <is>
          <t>EQ_AUDIO</t>
        </is>
      </c>
      <c r="B14" t="inlineStr">
        <is>
          <t>Comfort</t>
        </is>
      </c>
      <c r="C14" t="inlineStr">
        <is>
          <t>Premium lyd</t>
        </is>
      </c>
      <c r="E14" t="inlineStr">
        <is>
          <t>FALSE</t>
        </is>
      </c>
      <c r="F14" t="inlineStr">
        <is>
          <t>Hyggelig, men ikke tungt vektet.</t>
        </is>
      </c>
    </row>
    <row r="15">
      <c r="A15" t="inlineStr">
        <is>
          <t>EQ_AMBIENT</t>
        </is>
      </c>
      <c r="B15" t="inlineStr">
        <is>
          <t>Comfort</t>
        </is>
      </c>
      <c r="C15" t="inlineStr">
        <is>
          <t>Ambientebelysning</t>
        </is>
      </c>
      <c r="E15" t="inlineStr">
        <is>
          <t>FALSE</t>
        </is>
      </c>
      <c r="F15" t="inlineStr">
        <is>
          <t>Listes i utstyr, lav/ingen vekt.</t>
        </is>
      </c>
    </row>
    <row r="16">
      <c r="A16" t="inlineStr">
        <is>
          <t>EQ_POWER_TAILGATE</t>
        </is>
      </c>
      <c r="B16" t="inlineStr">
        <is>
          <t>Practical</t>
        </is>
      </c>
      <c r="C16" t="inlineStr">
        <is>
          <t>Elektrisk bakluke</t>
        </is>
      </c>
      <c r="E16" t="inlineStr">
        <is>
          <t>FALSE</t>
        </is>
      </c>
      <c r="F16" t="inlineStr">
        <is>
          <t>Livskvalitet, ikke kjernekrav.</t>
        </is>
      </c>
    </row>
    <row r="17">
      <c r="A17" t="inlineStr">
        <is>
          <t>EQ_VENT_SEATS</t>
        </is>
      </c>
      <c r="B17" t="inlineStr">
        <is>
          <t>Comfort</t>
        </is>
      </c>
      <c r="C17" t="inlineStr">
        <is>
          <t>Ventilerte seter</t>
        </is>
      </c>
      <c r="E17" t="inlineStr">
        <is>
          <t>FALSE</t>
        </is>
      </c>
      <c r="F17" t="inlineStr">
        <is>
          <t>Registreres.</t>
        </is>
      </c>
    </row>
    <row r="18">
      <c r="A18" t="inlineStr">
        <is>
          <t>EQ_PANO</t>
        </is>
      </c>
      <c r="B18" t="inlineStr">
        <is>
          <t>Comfort</t>
        </is>
      </c>
      <c r="C18" t="inlineStr">
        <is>
          <t>Panoramatak</t>
        </is>
      </c>
      <c r="E18" t="inlineStr">
        <is>
          <t>FALSE</t>
        </is>
      </c>
      <c r="F18" t="inlineStr">
        <is>
          <t>Registreres, lav vekt.</t>
        </is>
      </c>
    </row>
    <row r="19">
      <c r="A19" t="inlineStr">
        <is>
          <t>EQ_V2L</t>
        </is>
      </c>
      <c r="B19" t="inlineStr">
        <is>
          <t>Utility</t>
        </is>
      </c>
      <c r="C19" t="inlineStr">
        <is>
          <t>Vehicle-to-Load</t>
        </is>
      </c>
      <c r="E19" t="inlineStr">
        <is>
          <t>FALSE</t>
        </is>
      </c>
      <c r="F19" t="inlineStr">
        <is>
          <t>Nyttig, men ikke sentralt.</t>
        </is>
      </c>
    </row>
    <row r="20">
      <c r="A20" t="inlineStr">
        <is>
          <t>EQ_TOWBAR</t>
        </is>
      </c>
      <c r="B20" t="inlineStr">
        <is>
          <t>Practical</t>
        </is>
      </c>
      <c r="C20" t="inlineStr">
        <is>
          <t>Hengerfeste</t>
        </is>
      </c>
      <c r="E20" t="inlineStr">
        <is>
          <t>FALSE</t>
        </is>
      </c>
      <c r="F20" t="inlineStr">
        <is>
          <t>Ikke kritisk basert på tidligere vurdering.</t>
        </is>
      </c>
    </row>
    <row r="21">
      <c r="A21" t="inlineStr">
        <is>
          <t>EQ_WIRELESS_CHARGE</t>
        </is>
      </c>
      <c r="B21" t="inlineStr">
        <is>
          <t>Convenience</t>
        </is>
      </c>
      <c r="C21" t="inlineStr">
        <is>
          <t>Trådløs mobillading</t>
        </is>
      </c>
      <c r="E21" t="inlineStr">
        <is>
          <t>FALSE</t>
        </is>
      </c>
      <c r="F21" t="inlineStr">
        <is>
          <t>Avhenger av implementasjon.</t>
        </is>
      </c>
    </row>
  </sheetData>
  <autoFilter ref="A1:F21"/>
  <dataValidations count="1">
    <dataValidation sqref="E2:E1048576" showDropDown="0" showInputMessage="0" showErrorMessage="1" allowBlank="1" type="list">
      <formula1>Validation_Boolean</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41"/>
  <sheetViews>
    <sheetView showGridLines="1" workbookViewId="0">
      <pane ySplit="1" topLeftCell="A2" activePane="bottomLeft" state="frozen"/>
      <selection pane="bottomLeft" activeCell="A2" sqref="A2"/>
    </sheetView>
  </sheetViews>
  <sheetFormatPr baseColWidth="8" defaultRowHeight="15"/>
  <cols>
    <col width="20" customWidth="1" min="1" max="1"/>
    <col width="22" customWidth="1" min="2" max="2"/>
    <col width="24" customWidth="1" min="3" max="3"/>
    <col width="24" customWidth="1" min="4" max="4"/>
    <col width="12" customWidth="1" min="5" max="5"/>
    <col width="16" customWidth="1" min="6" max="6"/>
    <col width="72" customWidth="1" min="7" max="7"/>
    <col width="20" customWidth="1" min="8" max="8"/>
    <col width="20" customWidth="1" min="9" max="9"/>
  </cols>
  <sheetData>
    <row r="1" ht="22" customHeight="1">
      <c r="A1" s="1" t="inlineStr">
        <is>
          <t>ReviewID</t>
        </is>
      </c>
      <c r="B1" s="1" t="inlineStr">
        <is>
          <t>VehicleID</t>
        </is>
      </c>
      <c r="C1" s="1" t="inlineStr">
        <is>
          <t>ConfigurationID</t>
        </is>
      </c>
      <c r="D1" s="1" t="inlineStr">
        <is>
          <t>Category</t>
        </is>
      </c>
      <c r="E1" s="1" t="inlineStr">
        <is>
          <t>Score</t>
        </is>
      </c>
      <c r="F1" s="1" t="inlineStr">
        <is>
          <t>Confidence</t>
        </is>
      </c>
      <c r="G1" s="1" t="inlineStr">
        <is>
          <t>Summary</t>
        </is>
      </c>
      <c r="H1" s="1" t="inlineStr">
        <is>
          <t>EvidenceID</t>
        </is>
      </c>
      <c r="I1" s="1" t="inlineStr">
        <is>
          <t>FrameworkVersion</t>
        </is>
      </c>
    </row>
    <row r="2">
      <c r="A2" t="inlineStr">
        <is>
          <t>REV_000001</t>
        </is>
      </c>
      <c r="C2" t="inlineStr">
        <is>
          <t>TESLA_MODEL_3_LONG_RANGE_RWD</t>
        </is>
      </c>
      <c r="D2" t="inlineStr">
        <is>
          <t>Kjøreopplevelse</t>
        </is>
      </c>
      <c r="E2" t="n">
        <v>4</v>
      </c>
      <c r="F2" t="inlineStr">
        <is>
          <t>HIGH</t>
        </is>
      </c>
      <c r="G2" t="inlineStr">
        <is>
          <t>To uavhengige profesjonelle tester (Motor.no, Cars.com) bekrefter betydelig redusert kupestoy i den oppgraderte Model 3-plattformen sammenlignet med tidligere arsmodeller; dekkstoy fremheves som blant de beste i klassen. Testet pa Long Range AWD/Long Range, men deler karosseri og lydisolasjon med Long Range bakhjulsdrift. [Kriterium W001]</t>
        </is>
      </c>
      <c r="H2" t="inlineStr">
        <is>
          <t>EV_000001,EV_000002</t>
        </is>
      </c>
      <c r="I2" t="inlineStr">
        <is>
          <t>1.2</t>
        </is>
      </c>
    </row>
    <row r="3">
      <c r="A3" t="inlineStr">
        <is>
          <t>REV_000002</t>
        </is>
      </c>
      <c r="C3" t="inlineStr">
        <is>
          <t>TESLA_MODEL_3_LONG_RANGE_RWD</t>
        </is>
      </c>
      <c r="D3" t="inlineStr">
        <is>
          <t>Kjøreopplevelse</t>
        </is>
      </c>
      <c r="E3" t="n">
        <v>4</v>
      </c>
      <c r="F3" t="inlineStr">
        <is>
          <t>MEDIUM</t>
        </is>
      </c>
      <c r="G3" t="inlineStr">
        <is>
          <t>Motor.no gir 8/10 for komfort og beskriver fjaeringen som behagelig ved hoyere hastighet; Cars.com bekrefter at det ikke oppstar bra stot takket vaere frekvensavhengige dempere. Testet pa AWD/Long Range-varianter; RWD-spesifikk fjaeringskarakter er ikke uavhengig bekreftet. [Kriterium W002]</t>
        </is>
      </c>
      <c r="H3" t="inlineStr">
        <is>
          <t>EV_000003,EV_000004</t>
        </is>
      </c>
      <c r="I3" t="inlineStr">
        <is>
          <t>1.2</t>
        </is>
      </c>
    </row>
    <row r="4">
      <c r="A4" t="inlineStr">
        <is>
          <t>REV_000003</t>
        </is>
      </c>
      <c r="C4" t="inlineStr">
        <is>
          <t>TESLA_MODEL_3_LONG_RANGE_RWD</t>
        </is>
      </c>
      <c r="D4" t="inlineStr">
        <is>
          <t>Kjøreopplevelse</t>
        </is>
      </c>
      <c r="E4" t="n">
        <v>3</v>
      </c>
      <c r="F4" t="inlineStr">
        <is>
          <t>MEDIUM</t>
        </is>
      </c>
      <c r="G4" t="inlineStr">
        <is>
          <t>Motor.no rapporterer suveren sikt fremover, men darlig sikt bakover - sistnevnte er en reell praktisk ulempe ved manovrering. Kun en uavhengig kilde funnet. [Kriterium W003]</t>
        </is>
      </c>
      <c r="H4" t="inlineStr">
        <is>
          <t>EV_000006</t>
        </is>
      </c>
      <c r="I4" t="inlineStr">
        <is>
          <t>1.2</t>
        </is>
      </c>
    </row>
    <row r="5">
      <c r="A5" t="inlineStr">
        <is>
          <t>REV_000004</t>
        </is>
      </c>
      <c r="C5" t="inlineStr">
        <is>
          <t>TESLA_MODEL_3_LONG_RANGE_RWD</t>
        </is>
      </c>
      <c r="D5" t="inlineStr">
        <is>
          <t>Kjøreopplevelse</t>
        </is>
      </c>
      <c r="E5" t="n">
        <v>4</v>
      </c>
      <c r="F5" t="inlineStr">
        <is>
          <t>MEDIUM</t>
        </is>
      </c>
      <c r="G5" t="inlineStr">
        <is>
          <t>Motor.no beskriver direkte og relativt tung styrefolelse med umiddelbar respons, og gir 10/10 for kjoreegenskaper. Kun en uavhengig kilde funnet. [Kriterium W004]</t>
        </is>
      </c>
      <c r="H5" t="inlineStr">
        <is>
          <t>EV_000005</t>
        </is>
      </c>
      <c r="I5" t="inlineStr">
        <is>
          <t>1.2</t>
        </is>
      </c>
    </row>
    <row r="6">
      <c r="A6" t="inlineStr">
        <is>
          <t>REV_000005</t>
        </is>
      </c>
      <c r="C6" t="inlineStr">
        <is>
          <t>TESLA_MODEL_3_LONG_RANGE_RWD</t>
        </is>
      </c>
      <c r="D6" t="inlineStr">
        <is>
          <t>Teknologi</t>
        </is>
      </c>
      <c r="E6" t="n">
        <v>3</v>
      </c>
      <c r="F6" t="inlineStr">
        <is>
          <t>MEDIUM</t>
        </is>
      </c>
      <c r="G6" t="inlineStr">
        <is>
          <t>Cars.com dokumenterer konkrete brukssvakheter: bereringsbaserte blinklysknapper som til tider ikke reagerte, og at telefonnokkelen av og til ikke registrerte foreren. Skjermavhengig betjening omtales som et bevisst, men diskutabelt designvalg. Kun en uavhengig kilde funnet. [Kriterium W005]</t>
        </is>
      </c>
      <c r="H6" t="inlineStr">
        <is>
          <t>EV_000007</t>
        </is>
      </c>
      <c r="I6" t="inlineStr">
        <is>
          <t>1.2</t>
        </is>
      </c>
    </row>
    <row r="7">
      <c r="A7" t="inlineStr">
        <is>
          <t>REV_000006</t>
        </is>
      </c>
      <c r="C7" t="inlineStr">
        <is>
          <t>TESLA_MODEL_3_LONG_RANGE_RWD</t>
        </is>
      </c>
      <c r="D7" t="inlineStr">
        <is>
          <t>Teknologi</t>
        </is>
      </c>
      <c r="E7" t="n">
        <v>1</v>
      </c>
      <c r="F7" t="inlineStr">
        <is>
          <t>MEDIUM</t>
        </is>
      </c>
      <c r="G7" t="inlineStr">
        <is>
          <t>MacRumors bekrefter at Apple CarPlay per undersokelsestidspunkt (juli 2026) fortsatt ikke stottes pa noen Tesla-modell, inkludert Model 3. Tesla har varslet tradlos CarPlay "i lopet av kommende maneder" (kunngjort november 2025), men uten bekreftet lanseringsdato. [Kriterium W007]</t>
        </is>
      </c>
      <c r="H7" t="inlineStr">
        <is>
          <t>EV_000008</t>
        </is>
      </c>
      <c r="I7" t="inlineStr">
        <is>
          <t>1.2</t>
        </is>
      </c>
    </row>
    <row r="8">
      <c r="A8" t="inlineStr">
        <is>
          <t>REV_000007</t>
        </is>
      </c>
      <c r="C8" t="inlineStr">
        <is>
          <t>TESLA_MODEL_3_LONG_RANGE_RWD</t>
        </is>
      </c>
      <c r="D8" t="inlineStr">
        <is>
          <t>Rekkevidde/lading</t>
        </is>
      </c>
      <c r="E8" t="n">
        <v>4</v>
      </c>
      <c r="F8" t="inlineStr">
        <is>
          <t>MEDIUM</t>
        </is>
      </c>
      <c r="G8" t="inlineStr">
        <is>
          <t>Offisiell spesifikasjon viser 250 kW DC-hurtiglading (opptil 282 km pa 15 minutter) og 13,6 kWh/100km forbruk for denne konfigurasjonen - godt over minimumsbehovet gitt lav estimert arlig kjorelengde (~8000 km/ar), men ladehastighet er uansett lavt vektet i denne kriteriemodellen. [Kriterium W020]</t>
        </is>
      </c>
      <c r="H8" t="inlineStr">
        <is>
          <t>EV_000009,EV_000010</t>
        </is>
      </c>
      <c r="I8" t="inlineStr">
        <is>
          <t>1.2</t>
        </is>
      </c>
    </row>
    <row r="9">
      <c r="A9" t="inlineStr">
        <is>
          <t>REV_000008</t>
        </is>
      </c>
      <c r="C9" t="inlineStr">
        <is>
          <t>RENAULT_4_TECHNO</t>
        </is>
      </c>
      <c r="D9" t="inlineStr">
        <is>
          <t>Kjøreopplevelse</t>
        </is>
      </c>
      <c r="E9" t="n">
        <v>4</v>
      </c>
      <c r="F9" t="inlineStr">
        <is>
          <t>MEDIUM</t>
        </is>
      </c>
      <c r="G9" t="inlineStr">
        <is>
          <t>RAC Drive rapporterer at kupeen er "impressively quiet" med lite vind- og veistoy selv over lange avstander. Kun en uavhengig kilde funnet; Motor.no kommenterte ikke stoyniva eksplisitt. [Kriterium W001]</t>
        </is>
      </c>
      <c r="H9" t="inlineStr">
        <is>
          <t>EV_000011</t>
        </is>
      </c>
      <c r="I9" t="inlineStr">
        <is>
          <t>1.4</t>
        </is>
      </c>
    </row>
    <row r="10">
      <c r="A10" t="inlineStr">
        <is>
          <t>REV_000009</t>
        </is>
      </c>
      <c r="C10" t="inlineStr">
        <is>
          <t>RENAULT_4_TECHNO</t>
        </is>
      </c>
      <c r="D10" t="inlineStr">
        <is>
          <t>Kjøreopplevelse</t>
        </is>
      </c>
      <c r="E10" t="n">
        <v>3</v>
      </c>
      <c r="F10" t="inlineStr">
        <is>
          <t>LOW</t>
        </is>
      </c>
      <c r="G10" t="inlineStr">
        <is>
          <t>Motoriserende funn: Motor.no rapporterer at bilen "tramper urolig rundt pa ujevn vei" med ubehagelig humpete kjoring pa harde skjoter, mens RAC Drive pa samme drivlinje (150 Comfort Range) rapporterer at fjaeringen "smothers potholes and speed bumps quietly." De to profesjonelle kildene motsier hverandre direkte om komfort - dokumentert som uenighet, ikke lost ved a velge en foretrukket verdi (jf. rammeverkets prinsipp om a dokumentere uenighet mellom autoritative kilder). [Kriterium W002]</t>
        </is>
      </c>
      <c r="H10" t="inlineStr">
        <is>
          <t>EV_000012,EV_000013</t>
        </is>
      </c>
      <c r="I10" t="inlineStr">
        <is>
          <t>1.4</t>
        </is>
      </c>
    </row>
    <row r="11">
      <c r="A11" t="inlineStr">
        <is>
          <t>REV_000010</t>
        </is>
      </c>
      <c r="C11" t="inlineStr">
        <is>
          <t>RENAULT_4_TECHNO</t>
        </is>
      </c>
      <c r="D11" t="inlineStr">
        <is>
          <t>Kjøreopplevelse</t>
        </is>
      </c>
      <c r="E11" t="n">
        <v>3</v>
      </c>
      <c r="F11" t="inlineStr">
        <is>
          <t>MEDIUM</t>
        </is>
      </c>
      <c r="G11" t="inlineStr">
        <is>
          <t>Motor.no rapporterer at en 180cm passasjer sa vidt far plass bak en like hoy forer i baksetet, og at pedalplassering er trang - en reell praktisk ulempe. Samtidig gir hoyere sittestilling bedre oversikt over omgivelsene. Blandet funn fra en uavhengig kilde. [Kriterium W003]</t>
        </is>
      </c>
      <c r="H11" t="inlineStr">
        <is>
          <t>EV_000014</t>
        </is>
      </c>
      <c r="I11" t="inlineStr">
        <is>
          <t>1.4</t>
        </is>
      </c>
    </row>
    <row r="12">
      <c r="A12" t="inlineStr">
        <is>
          <t>REV_000011</t>
        </is>
      </c>
      <c r="C12" t="inlineStr">
        <is>
          <t>RENAULT_4_TECHNO</t>
        </is>
      </c>
      <c r="D12" t="inlineStr">
        <is>
          <t>Kjøreopplevelse</t>
        </is>
      </c>
      <c r="E12" t="n">
        <v>4</v>
      </c>
      <c r="F12" t="inlineStr">
        <is>
          <t>MEDIUM</t>
        </is>
      </c>
      <c r="G12" t="inlineStr">
        <is>
          <t>RAC Drive beskriver styringen som "accurate and well weighted, making it easy to place into a corner." Kun en uavhengig kilde funnet. [Kriterium W004]</t>
        </is>
      </c>
      <c r="H12" t="inlineStr">
        <is>
          <t>EV_000015</t>
        </is>
      </c>
      <c r="I12" t="inlineStr">
        <is>
          <t>1.4</t>
        </is>
      </c>
    </row>
    <row r="13">
      <c r="A13" t="inlineStr">
        <is>
          <t>REV_000012</t>
        </is>
      </c>
      <c r="C13" t="inlineStr">
        <is>
          <t>RENAULT_4_TECHNO</t>
        </is>
      </c>
      <c r="D13" t="inlineStr">
        <is>
          <t>Teknologi</t>
        </is>
      </c>
      <c r="E13" t="n">
        <v>4</v>
      </c>
      <c r="F13" t="inlineStr">
        <is>
          <t>MEDIUM</t>
        </is>
      </c>
      <c r="G13" t="inlineStr">
        <is>
          <t>Motor.no beskriver Google-baserte infotainmentsystemet som "blant de bedre," med stemmestyring og ruteplanlegging inkludert automatisk forvarming av batteriet som fungerer "stralende." Kun en uavhengig kilde funnet. [Kriterium W005]</t>
        </is>
      </c>
      <c r="H13" t="inlineStr">
        <is>
          <t>EV_000016</t>
        </is>
      </c>
      <c r="I13" t="inlineStr">
        <is>
          <t>1.4</t>
        </is>
      </c>
    </row>
    <row r="14">
      <c r="A14" t="inlineStr">
        <is>
          <t>REV_000013</t>
        </is>
      </c>
      <c r="C14" t="inlineStr">
        <is>
          <t>RENAULT_4_TECHNO</t>
        </is>
      </c>
      <c r="D14" t="inlineStr">
        <is>
          <t>Teknologi</t>
        </is>
      </c>
      <c r="E14" t="n">
        <v>5</v>
      </c>
      <c r="F14" t="inlineStr">
        <is>
          <t>HIGH</t>
        </is>
      </c>
      <c r="G14" t="inlineStr">
        <is>
          <t>Apple CarPlay er standard pa alle versjoner av Renault 4, bekreftet bade av offisiell Renault-spesifikasjon og uavhengig av RAC Drive ("comes on all models"). Motsatt funn av Tesla Model 3 Long Range RWD, som mangler CarPlay-stotte. [Kriterium W007]</t>
        </is>
      </c>
      <c r="H14" t="inlineStr">
        <is>
          <t>EV_000017</t>
        </is>
      </c>
      <c r="I14" t="inlineStr">
        <is>
          <t>1.4</t>
        </is>
      </c>
    </row>
    <row r="15">
      <c r="A15" t="inlineStr">
        <is>
          <t>REV_000014</t>
        </is>
      </c>
      <c r="C15" t="inlineStr">
        <is>
          <t>RENAULT_4_TECHNO</t>
        </is>
      </c>
      <c r="D15" t="inlineStr">
        <is>
          <t>Rekkevidde/lading</t>
        </is>
      </c>
      <c r="E15" t="n">
        <v>4</v>
      </c>
      <c r="F15" t="inlineStr">
        <is>
          <t>MEDIUM</t>
        </is>
      </c>
      <c r="G15" t="inlineStr">
        <is>
          <t>Offisiell prisliste viser 100 kW DC-hurtiglading (15-80% pa ca. 30 minutter) og 15,5 kWh/100km forbruk for Techno (52 kWh Comfort Range) - solid ladeeffekt for segmentet, godt over minimumsbehovet gitt lav estimert arlig kjorelengde. [Kriterium W020]</t>
        </is>
      </c>
      <c r="H15" t="inlineStr">
        <is>
          <t>EV_000018,EV_000019</t>
        </is>
      </c>
      <c r="I15" t="inlineStr">
        <is>
          <t>1.4</t>
        </is>
      </c>
    </row>
    <row r="16">
      <c r="A16" t="inlineStr">
        <is>
          <t>REV_000015</t>
        </is>
      </c>
      <c r="C16" t="inlineStr">
        <is>
          <t>SKODA_ELROQ_SELECTION_60</t>
        </is>
      </c>
      <c r="D16" t="inlineStr">
        <is>
          <t>Kjøreopplevelse</t>
        </is>
      </c>
      <c r="E16" t="n">
        <v>3</v>
      </c>
      <c r="F16" t="inlineStr">
        <is>
          <t>LOW</t>
        </is>
      </c>
      <c r="G16" t="inlineStr">
        <is>
          <t>Motor.no rapporterer at hjulstoy er "en familiesvakhet for bilene pa MEB-plattformen" og at Elroq hadde mest hjulstoy av fem sammenlignede biler. What Car? rapporterer motsatt at Elroq var "fractionally quieter" enn konkurrentene (EV3, S5, Scenic) ved 70mph. Direkte motstridende funn fra to profesjonelle kilder - dokumentert som uenighet. [Kriterium W001]</t>
        </is>
      </c>
      <c r="H16" t="inlineStr">
        <is>
          <t>EV_000020,EV_000021</t>
        </is>
      </c>
      <c r="I16" t="inlineStr">
        <is>
          <t>1.4</t>
        </is>
      </c>
    </row>
    <row r="17">
      <c r="A17" t="inlineStr">
        <is>
          <t>REV_000016</t>
        </is>
      </c>
      <c r="C17" t="inlineStr">
        <is>
          <t>SKODA_ELROQ_SELECTION_60</t>
        </is>
      </c>
      <c r="D17" t="inlineStr">
        <is>
          <t>Kjøreopplevelse</t>
        </is>
      </c>
      <c r="E17" t="n">
        <v>4</v>
      </c>
      <c r="F17" t="inlineStr">
        <is>
          <t>MEDIUM</t>
        </is>
      </c>
      <c r="G17" t="inlineStr">
        <is>
          <t>Motor.no beskriver fjaeringen som hastighetsavhengig (stiv i lav fart, fast og fin i hoy fart) - noytralt til svakt positivt funn. What Car? er klart positiv: fjaeringen "absorbs imperfections in the road surface extremely well and delivers a controlled ride at all speeds." [Kriterium W002]</t>
        </is>
      </c>
      <c r="H17" t="inlineStr">
        <is>
          <t>EV_000022,EV_000023</t>
        </is>
      </c>
      <c r="I17" t="inlineStr">
        <is>
          <t>1.4</t>
        </is>
      </c>
    </row>
    <row r="18">
      <c r="A18" t="inlineStr">
        <is>
          <t>REV_000017</t>
        </is>
      </c>
      <c r="C18" t="inlineStr">
        <is>
          <t>SKODA_ELROQ_SELECTION_60</t>
        </is>
      </c>
      <c r="D18" t="inlineStr">
        <is>
          <t>Kjøreopplevelse</t>
        </is>
      </c>
      <c r="E18" t="n">
        <v>4</v>
      </c>
      <c r="F18" t="inlineStr">
        <is>
          <t>MEDIUM</t>
        </is>
      </c>
      <c r="G18" t="inlineStr">
        <is>
          <t>RAC Drive rapporterer god sikt fremover, men at det lille bakvinduet begrenser sikten bakover noe - som hos mange konkurrenter. Kun en uavhengig kilde funnet. [Kriterium W003]</t>
        </is>
      </c>
      <c r="H18" t="inlineStr">
        <is>
          <t>EV_000024</t>
        </is>
      </c>
      <c r="I18" t="inlineStr">
        <is>
          <t>1.4</t>
        </is>
      </c>
    </row>
    <row r="19">
      <c r="A19" t="inlineStr">
        <is>
          <t>REV_000018</t>
        </is>
      </c>
      <c r="C19" t="inlineStr">
        <is>
          <t>SKODA_ELROQ_SELECTION_60</t>
        </is>
      </c>
      <c r="D19" t="inlineStr">
        <is>
          <t>Kjøreopplevelse</t>
        </is>
      </c>
      <c r="E19" t="n">
        <v>4</v>
      </c>
      <c r="F19" t="inlineStr">
        <is>
          <t>MEDIUM</t>
        </is>
      </c>
      <c r="G19" t="inlineStr">
        <is>
          <t>What Car? beskriver styringen som "well-weighted and precise" med en hjelpsom trang svingradius. Kun en uavhengig kilde funnet. [Kriterium W004]</t>
        </is>
      </c>
      <c r="H19" t="inlineStr">
        <is>
          <t>EV_000025</t>
        </is>
      </c>
      <c r="I19" t="inlineStr">
        <is>
          <t>1.4</t>
        </is>
      </c>
    </row>
    <row r="20">
      <c r="A20" t="inlineStr">
        <is>
          <t>REV_000019</t>
        </is>
      </c>
      <c r="C20" t="inlineStr">
        <is>
          <t>SKODA_ELROQ_SELECTION_60</t>
        </is>
      </c>
      <c r="D20" t="inlineStr">
        <is>
          <t>Teknologi</t>
        </is>
      </c>
      <c r="E20" t="n">
        <v>4</v>
      </c>
      <c r="F20" t="inlineStr">
        <is>
          <t>HIGH</t>
        </is>
      </c>
      <c r="G20" t="inlineStr">
        <is>
          <t>Motor.no fremhever betjeningen (spesielt rattbetjening) som "kanskje best av alle" med god miks av analoge og digitale funksjoner. What Car? bekrefter at systemet "responds quickly enough and is much easier to operate than" Mini Countryman Electric, men at EV3/Scenic er enda bedre. To uavhengige kilder er enige om at infotainment er solid. [Kriterium W005]</t>
        </is>
      </c>
      <c r="H20" t="inlineStr">
        <is>
          <t>EV_000026</t>
        </is>
      </c>
      <c r="I20" t="inlineStr">
        <is>
          <t>1.4</t>
        </is>
      </c>
    </row>
    <row r="21">
      <c r="A21" t="inlineStr">
        <is>
          <t>REV_000020</t>
        </is>
      </c>
      <c r="C21" t="inlineStr">
        <is>
          <t>SKODA_ELROQ_SELECTION_60</t>
        </is>
      </c>
      <c r="D21" t="inlineStr">
        <is>
          <t>Teknologi</t>
        </is>
      </c>
      <c r="E21" t="n">
        <v>5</v>
      </c>
      <c r="F21" t="inlineStr">
        <is>
          <t>HIGH</t>
        </is>
      </c>
      <c r="G21" t="inlineStr">
        <is>
          <t>Apple CarPlay er standard pa alle versjoner av Skoda Elroq, bekreftet bade av What Car? og offisiell Skoda-spesifikasjon (SmartLink). Samme positive funn som Renault 4; motsatt funn av Tesla Model 3 Long Range RWD. [Kriterium W007]</t>
        </is>
      </c>
      <c r="H21" t="inlineStr">
        <is>
          <t>EV_000027</t>
        </is>
      </c>
      <c r="I21" t="inlineStr">
        <is>
          <t>1.4</t>
        </is>
      </c>
    </row>
    <row r="22">
      <c r="A22" t="inlineStr">
        <is>
          <t>REV_000021</t>
        </is>
      </c>
      <c r="C22" t="inlineStr">
        <is>
          <t>SKODA_ELROQ_SELECTION_60</t>
        </is>
      </c>
      <c r="D22" t="inlineStr">
        <is>
          <t>Rekkevidde/lading</t>
        </is>
      </c>
      <c r="E22" t="n">
        <v>4</v>
      </c>
      <c r="F22" t="inlineStr">
        <is>
          <t>MEDIUM</t>
        </is>
      </c>
      <c r="G22" t="inlineStr">
        <is>
          <t>Offisiell prisliste viser 105 kW DC-hurtiglading (10-80% pa ca. 26 minutter) og 15,3 kWh/100km forbruk for Selection 60 - solid ladeeffekt for segmentet. [Kriterium W020]</t>
        </is>
      </c>
      <c r="H22" t="inlineStr">
        <is>
          <t>EV_000028,EV_000029</t>
        </is>
      </c>
      <c r="I22" t="inlineStr">
        <is>
          <t>1.4</t>
        </is>
      </c>
    </row>
    <row r="23">
      <c r="A23" t="inlineStr">
        <is>
          <t>REV_000022</t>
        </is>
      </c>
      <c r="C23" t="inlineStr">
        <is>
          <t>VOLVO_EX30_P8_AWD</t>
        </is>
      </c>
      <c r="D23" t="inlineStr">
        <is>
          <t>Kjøreopplevelse</t>
        </is>
      </c>
      <c r="E23" t="n">
        <v>4</v>
      </c>
      <c r="F23" t="inlineStr">
        <is>
          <t>HIGH</t>
        </is>
      </c>
      <c r="G23" t="inlineStr">
        <is>
          <t>Motor.no rapporterer lite hjulstoy pa piggfrie vinterdekk; What Car? beskriver bilen som "fairly hushed" ved hoy fart med kun litt vind-/veistoy. To uavhengige kilder er enige. [Kriterium W001]</t>
        </is>
      </c>
      <c r="H23" t="inlineStr">
        <is>
          <t>EV_000030,EV_000031</t>
        </is>
      </c>
      <c r="I23" t="inlineStr">
        <is>
          <t>1.4</t>
        </is>
      </c>
    </row>
    <row r="24">
      <c r="A24" t="inlineStr">
        <is>
          <t>REV_000023</t>
        </is>
      </c>
      <c r="C24" t="inlineStr">
        <is>
          <t>VOLVO_EX30_P8_AWD</t>
        </is>
      </c>
      <c r="D24" t="inlineStr">
        <is>
          <t>Kjøreopplevelse</t>
        </is>
      </c>
      <c r="E24" t="n">
        <v>4</v>
      </c>
      <c r="F24" t="inlineStr">
        <is>
          <t>MEDIUM</t>
        </is>
      </c>
      <c r="G24" t="inlineStr">
        <is>
          <t>Motor.no beskriver fjaeringen som svaert stiv over skarpe ujevnheter, men behagelig i fart. What Car? vurderer balansen mellom komfort og kjoreegenskaper som "almost spot-on." Begge kilder peker i samme retning (godt, med en viss stivhet over skarpe support). [Kriterium W002]</t>
        </is>
      </c>
      <c r="H24" t="inlineStr">
        <is>
          <t>EV_000032,EV_000033</t>
        </is>
      </c>
      <c r="I24" t="inlineStr">
        <is>
          <t>1.4</t>
        </is>
      </c>
    </row>
    <row r="25">
      <c r="A25" t="inlineStr">
        <is>
          <t>REV_000024</t>
        </is>
      </c>
      <c r="C25" t="inlineStr">
        <is>
          <t>VOLVO_EX30_P8_AWD</t>
        </is>
      </c>
      <c r="D25" t="inlineStr">
        <is>
          <t>Kjøreopplevelse</t>
        </is>
      </c>
      <c r="E25" t="n">
        <v>2</v>
      </c>
      <c r="F25" t="inlineStr">
        <is>
          <t>MEDIUM</t>
        </is>
      </c>
      <c r="G25" t="inlineStr">
        <is>
          <t>What Car? rapporterer at EX30 er vanskeligere a se ut av enn konkurrenter (Kona Electric, #1, #3), med rutestolper som blokkerer sikten i kryss og rundkjoringer. Kun en uavhengig kilde funnet, men et klart negativt funn. [Kriterium W003]</t>
        </is>
      </c>
      <c r="H25" t="inlineStr">
        <is>
          <t>EV_000034</t>
        </is>
      </c>
      <c r="I25" t="inlineStr">
        <is>
          <t>1.4</t>
        </is>
      </c>
    </row>
    <row r="26">
      <c r="A26" t="inlineStr">
        <is>
          <t>REV_000025</t>
        </is>
      </c>
      <c r="C26" t="inlineStr">
        <is>
          <t>VOLVO_EX30_P8_AWD</t>
        </is>
      </c>
      <c r="D26" t="inlineStr">
        <is>
          <t>Kjøreopplevelse</t>
        </is>
      </c>
      <c r="E26" t="n">
        <v>4</v>
      </c>
      <c r="F26" t="inlineStr">
        <is>
          <t>MEDIUM</t>
        </is>
      </c>
      <c r="G26" t="inlineStr">
        <is>
          <t>What Car? beskriver styringen som "reasonably accurate," gir trygg plassering av bilen, men noe lett selv i tyngste modus. Motor.no sin kritikk gjaldt fysisk rattbetjening/knapper, ikke styrefolelsen i seg selv - holdt atskilt fra denne vurderingen. [Kriterium W004]</t>
        </is>
      </c>
      <c r="H26" t="inlineStr">
        <is>
          <t>EV_000035</t>
        </is>
      </c>
      <c r="I26" t="inlineStr">
        <is>
          <t>1.4</t>
        </is>
      </c>
    </row>
    <row r="27">
      <c r="A27" t="inlineStr">
        <is>
          <t>REV_000026</t>
        </is>
      </c>
      <c r="C27" t="inlineStr">
        <is>
          <t>VOLVO_EX30_P8_AWD</t>
        </is>
      </c>
      <c r="D27" t="inlineStr">
        <is>
          <t>Teknologi</t>
        </is>
      </c>
      <c r="E27" t="n">
        <v>4</v>
      </c>
      <c r="F27" t="inlineStr">
        <is>
          <t>HIGH</t>
        </is>
      </c>
      <c r="G27" t="inlineStr">
        <is>
          <t>Motor.no: Google-baserte systemet "fungerer bra." What Car?: systemet er "fundamentally excellent" og responsivt. Begge kilder enige om solid infotainment, uavhengig av at forerassistenter (egen kriterium, ikke denne) ble kritisert som lunefulle om vinteren. [Kriterium W005]</t>
        </is>
      </c>
      <c r="H27" t="inlineStr">
        <is>
          <t>EV_000036</t>
        </is>
      </c>
      <c r="I27" t="inlineStr">
        <is>
          <t>1.4</t>
        </is>
      </c>
    </row>
    <row r="28">
      <c r="A28" t="inlineStr">
        <is>
          <t>REV_000027</t>
        </is>
      </c>
      <c r="C28" t="inlineStr">
        <is>
          <t>VOLVO_EX30_P8_AWD</t>
        </is>
      </c>
      <c r="D28" t="inlineStr">
        <is>
          <t>Teknologi</t>
        </is>
      </c>
      <c r="E28" t="n">
        <v>5</v>
      </c>
      <c r="F28" t="inlineStr">
        <is>
          <t>MEDIUM</t>
        </is>
      </c>
      <c r="G28" t="inlineStr">
        <is>
          <t>What Car? bekrefter at "Wireless Android Auto and Apple CarPlay are also included" pa Volvo EX30. Samme positive funn som Renault 4 og Skoda Elroq; motsatt funn av Tesla Model 3 Long Range RWD. [Kriterium W007]</t>
        </is>
      </c>
      <c r="H28" t="inlineStr">
        <is>
          <t>EV_000037</t>
        </is>
      </c>
      <c r="I28" t="inlineStr">
        <is>
          <t>1.4</t>
        </is>
      </c>
    </row>
    <row r="29">
      <c r="A29" t="inlineStr">
        <is>
          <t>REV_000028</t>
        </is>
      </c>
      <c r="C29" t="inlineStr">
        <is>
          <t>VOLVO_EX30_P8_AWD</t>
        </is>
      </c>
      <c r="D29" t="inlineStr">
        <is>
          <t>Rekkevidde/lading</t>
        </is>
      </c>
      <c r="E29" t="n">
        <v>4</v>
      </c>
      <c r="F29" t="inlineStr">
        <is>
          <t>MEDIUM</t>
        </is>
      </c>
      <c r="G29" t="inlineStr">
        <is>
          <t>Offisiell spesifikasjon viser 175 kW DC-hurtiglading (10-80% pa ca. 27 minutter) og 17,5 kWh/100km forbruk for P8 AWD.</t>
        </is>
      </c>
      <c r="H29" t="inlineStr">
        <is>
          <t>EV_000038,EV_000039</t>
        </is>
      </c>
      <c r="I29" t="inlineStr">
        <is>
          <t>1.4</t>
        </is>
      </c>
    </row>
    <row r="30">
      <c r="A30" t="inlineStr">
        <is>
          <t>REV_000029</t>
        </is>
      </c>
      <c r="C30" t="inlineStr">
        <is>
          <t>KIA_EV2_FWD_LONG_RANGE_GT_LINE</t>
        </is>
      </c>
      <c r="D30" t="inlineStr">
        <is>
          <t>Kjøreopplevelse</t>
        </is>
      </c>
      <c r="E30" t="n">
        <v>4</v>
      </c>
      <c r="F30" t="inlineStr">
        <is>
          <t>MEDIUM</t>
        </is>
      </c>
      <c r="G30" t="inlineStr">
        <is>
          <t>What Car? rapporterer lite motorstoy, lite dekkstoy pa motorvei og lite fjaeringsstoy i by. Kun en uavhengig kilde funnet. [Kriterium W001]</t>
        </is>
      </c>
      <c r="H30" t="inlineStr">
        <is>
          <t>EV_000040</t>
        </is>
      </c>
      <c r="I30" t="inlineStr">
        <is>
          <t>1.4</t>
        </is>
      </c>
    </row>
    <row r="31">
      <c r="A31" t="inlineStr">
        <is>
          <t>REV_000030</t>
        </is>
      </c>
      <c r="C31" t="inlineStr">
        <is>
          <t>KIA_EV2_FWD_LONG_RANGE_GT_LINE</t>
        </is>
      </c>
      <c r="D31" t="inlineStr">
        <is>
          <t>Kjøreopplevelse</t>
        </is>
      </c>
      <c r="E31" t="n">
        <v>3</v>
      </c>
      <c r="F31" t="inlineStr">
        <is>
          <t>LOW</t>
        </is>
      </c>
      <c r="G31" t="inlineStr">
        <is>
          <t>Motor.no rapporterer at bilen rister over brostein og oppleves spretten i hoyere hastighet pa Standard Range-varianten, med dempere beskrevet som stive og "ikke spesielt sofistikerte." What Car? rapporterer motsatt at fjaeringen er relativt myk og glatter ut humper, om enn med krengning i svinger. Direkte motstridende funn - dokumentert som uenighet, ikke lost. [Kriterium W002]</t>
        </is>
      </c>
      <c r="H31" t="inlineStr">
        <is>
          <t>EV_000041,EV_000042</t>
        </is>
      </c>
      <c r="I31" t="inlineStr">
        <is>
          <t>1.4</t>
        </is>
      </c>
    </row>
    <row r="32">
      <c r="A32" t="inlineStr">
        <is>
          <t>REV_000031</t>
        </is>
      </c>
      <c r="C32" t="inlineStr">
        <is>
          <t>KIA_EV2_FWD_LONG_RANGE_GT_LINE</t>
        </is>
      </c>
      <c r="D32" t="inlineStr">
        <is>
          <t>Kjøreopplevelse</t>
        </is>
      </c>
      <c r="E32" t="n">
        <v>4</v>
      </c>
      <c r="F32" t="inlineStr">
        <is>
          <t>HIGH</t>
        </is>
      </c>
      <c r="G32" t="inlineStr">
        <is>
          <t>Motor.no og What Car? er begge enige om god sikt: firkantet form med store glassflater og oppreiste stolper gir god oversikt i alle retninger. To uavhengige kilder enige. [Kriterium W003]</t>
        </is>
      </c>
      <c r="H32" t="inlineStr">
        <is>
          <t>EV_000043</t>
        </is>
      </c>
      <c r="I32" t="inlineStr">
        <is>
          <t>1.4</t>
        </is>
      </c>
    </row>
    <row r="33">
      <c r="A33" t="inlineStr">
        <is>
          <t>REV_000032</t>
        </is>
      </c>
      <c r="C33" t="inlineStr">
        <is>
          <t>KIA_EV2_FWD_LONG_RANGE_GT_LINE</t>
        </is>
      </c>
      <c r="D33" t="inlineStr">
        <is>
          <t>Kjøreopplevelse</t>
        </is>
      </c>
      <c r="E33" t="n">
        <v>2</v>
      </c>
      <c r="F33" t="inlineStr">
        <is>
          <t>MEDIUM</t>
        </is>
      </c>
      <c r="G33" t="inlineStr">
        <is>
          <t>What Car? beskriver styringen som "a bit vague," satt opp for enkelhet fremfor styrefolelse eller engasjement. Kun en uavhengig kilde funnet, men et klart negativt funn. [Kriterium W004]</t>
        </is>
      </c>
      <c r="H33" t="inlineStr">
        <is>
          <t>EV_000044</t>
        </is>
      </c>
      <c r="I33" t="inlineStr">
        <is>
          <t>1.4</t>
        </is>
      </c>
    </row>
    <row r="34">
      <c r="A34" t="inlineStr">
        <is>
          <t>REV_000033</t>
        </is>
      </c>
      <c r="C34" t="inlineStr">
        <is>
          <t>KIA_EV2_FWD_LONG_RANGE_GT_LINE</t>
        </is>
      </c>
      <c r="D34" t="inlineStr">
        <is>
          <t>Teknologi</t>
        </is>
      </c>
      <c r="E34" t="n">
        <v>4</v>
      </c>
      <c r="F34" t="inlineStr">
        <is>
          <t>MEDIUM</t>
        </is>
      </c>
      <c r="G34" t="inlineStr">
        <is>
          <t>RAC Drive: skjermen er "responsive... easy to understand... has all the latest features," men matcher ikke Renaults visuelle polish. Beholder fysiske knapper for temperatur/vifte/setevarme/volum. Kun en uavhengig kilde funnet. [Kriterium W005]</t>
        </is>
      </c>
      <c r="H34" t="inlineStr">
        <is>
          <t>EV_000045</t>
        </is>
      </c>
      <c r="I34" t="inlineStr">
        <is>
          <t>1.4</t>
        </is>
      </c>
    </row>
    <row r="35">
      <c r="A35" t="inlineStr">
        <is>
          <t>REV_000034</t>
        </is>
      </c>
      <c r="C35" t="inlineStr">
        <is>
          <t>KIA_EV2_FWD_LONG_RANGE_GT_LINE</t>
        </is>
      </c>
      <c r="D35" t="inlineStr">
        <is>
          <t>Teknologi</t>
        </is>
      </c>
      <c r="E35" t="n">
        <v>5</v>
      </c>
      <c r="F35" t="inlineStr">
        <is>
          <t>HIGH</t>
        </is>
      </c>
      <c r="G35" t="inlineStr">
        <is>
          <t>What Car? bekrefter at "Apple CarPlay and Android Auto are standard on all versions." Samme positive funn som Renault 4, Skoda Elroq og Volvo EX30; motsatt funn av Tesla Model 3 Long Range RWD. [Kriterium W007]</t>
        </is>
      </c>
      <c r="H35" t="inlineStr">
        <is>
          <t>EV_000046</t>
        </is>
      </c>
      <c r="I35" t="inlineStr">
        <is>
          <t>1.4</t>
        </is>
      </c>
    </row>
    <row r="36">
      <c r="A36" t="inlineStr">
        <is>
          <t>REV_000035</t>
        </is>
      </c>
      <c r="C36" t="inlineStr">
        <is>
          <t>KIA_EV2_FWD_LONG_RANGE_GT_LINE</t>
        </is>
      </c>
      <c r="D36" t="inlineStr">
        <is>
          <t>Rekkevidde/lading</t>
        </is>
      </c>
      <c r="E36" t="n">
        <v>3</v>
      </c>
      <c r="F36" t="inlineStr">
        <is>
          <t>LOW</t>
        </is>
      </c>
      <c r="G36" t="inlineStr">
        <is>
          <t>Offisiell konfigurator viser 11 kW AC-lading og 15,2 kWh/100km forbruk for denne konfigurasjonen. DC-hurtigladeeffekt var ikke oppgitt pa kildesiden, noe som begrenser vurderingen av reell ladeegenskap sammenlignet med de andre bilene. [Kriterium W020]</t>
        </is>
      </c>
      <c r="H36" t="inlineStr">
        <is>
          <t>EV_000047</t>
        </is>
      </c>
      <c r="I36" t="inlineStr">
        <is>
          <t>1.4</t>
        </is>
      </c>
    </row>
    <row r="37">
      <c r="A37" t="inlineStr">
        <is>
          <t>REV_000036</t>
        </is>
      </c>
      <c r="C37" t="inlineStr">
        <is>
          <t>TESLA_MODEL_3_LONG_RANGE_RWD</t>
        </is>
      </c>
      <c r="D37" t="inlineStr">
        <is>
          <t>Økonomi</t>
        </is>
      </c>
      <c r="E37" t="n">
        <v>5</v>
      </c>
      <c r="F37" t="inlineStr">
        <is>
          <t>MEDIUM</t>
        </is>
      </c>
      <c r="G37" t="inlineStr">
        <is>
          <t>Beste pris per kilometer rekkevidde av alle fem (ca. 534-580 kr/km avhengig av felgvalg, mot 837-1042 kr/km for de andre), kombinert med raskest DC-lading (250 kW) og lavest forbruk (13,6 kWh/100km). Merprisen sammenlignet med Renault forsvares tydelig av vesentlig bedre rekkevidde/lading/effektivitet. [Kriterium W017]</t>
        </is>
      </c>
      <c r="H37" t="inlineStr">
        <is>
          <t>EV_000048</t>
        </is>
      </c>
      <c r="I37" t="inlineStr">
        <is>
          <t>1.4</t>
        </is>
      </c>
    </row>
    <row r="38">
      <c r="A38" t="inlineStr">
        <is>
          <t>REV_000037</t>
        </is>
      </c>
      <c r="C38" t="inlineStr">
        <is>
          <t>RENAULT_4_TECHNO</t>
        </is>
      </c>
      <c r="D38" t="inlineStr">
        <is>
          <t>Økonomi</t>
        </is>
      </c>
      <c r="E38" t="n">
        <v>3</v>
      </c>
      <c r="F38" t="inlineStr">
        <is>
          <t>MEDIUM</t>
        </is>
      </c>
      <c r="G38" t="inlineStr">
        <is>
          <t>Lavest totalpris av de fem (364 900 kr), men ogsa kortest rekkevidde og tregest DC-lading utenom sammenligningen med Tesla. Grei, men ikke fremragende, verdi for pengene - billig inngangsbillett, men leverer ikke uforholdsmessig mye rekkevidde/lading for prisen sammenlignet med Skoda rett over. [Kriterium W017]</t>
        </is>
      </c>
      <c r="H38" t="inlineStr">
        <is>
          <t>EV_000049</t>
        </is>
      </c>
      <c r="I38" t="inlineStr">
        <is>
          <t>1.4</t>
        </is>
      </c>
    </row>
    <row r="39">
      <c r="A39" t="inlineStr">
        <is>
          <t>REV_000038</t>
        </is>
      </c>
      <c r="C39" t="inlineStr">
        <is>
          <t>SKODA_ELROQ_SELECTION_60</t>
        </is>
      </c>
      <c r="D39" t="inlineStr">
        <is>
          <t>Økonomi</t>
        </is>
      </c>
      <c r="E39" t="n">
        <v>4</v>
      </c>
      <c r="F39" t="inlineStr">
        <is>
          <t>MEDIUM</t>
        </is>
      </c>
      <c r="G39" t="inlineStr">
        <is>
          <t>Kun ca. 10 000 kr dyrere enn Renault 4 Techno, men gir 50 km mer rekkevidde og marginalt raskere lading - beste rekkevidde-per-krone av ikke-Tesla-alternativene. Merprisen forsvares tydelig av det den gir tilbake. [Kriterium W017]</t>
        </is>
      </c>
      <c r="H39" t="inlineStr">
        <is>
          <t>EV_000050</t>
        </is>
      </c>
      <c r="I39" t="inlineStr">
        <is>
          <t>1.4</t>
        </is>
      </c>
    </row>
    <row r="40">
      <c r="A40" t="inlineStr">
        <is>
          <t>REV_000039</t>
        </is>
      </c>
      <c r="C40" t="inlineStr">
        <is>
          <t>VOLVO_EX30_P8_AWD</t>
        </is>
      </c>
      <c r="D40" t="inlineStr">
        <is>
          <t>Økonomi</t>
        </is>
      </c>
      <c r="E40" t="n">
        <v>2</v>
      </c>
      <c r="F40" t="inlineStr">
        <is>
          <t>MEDIUM</t>
        </is>
      </c>
      <c r="G40" t="inlineStr">
        <is>
          <t>Dyrest av de fem (468 900 kr) og samtidig minst effektiv (17,5 kWh/100km, hoyest forbruk i utvalget) uten tilsvarende mer rekkevidde. Merprisen gar hovedsakelig til firehjulsdrift og ytelse (0-100 pa 3,6 sek), som rammeverket eksplisitt ekskluderer som en meningsfull faktor for langsiktig eierskap. Svakest verdi for pengene av de fem. [Kriterium W017]</t>
        </is>
      </c>
      <c r="H40" t="inlineStr">
        <is>
          <t>EV_000051</t>
        </is>
      </c>
      <c r="I40" t="inlineStr">
        <is>
          <t>1.4</t>
        </is>
      </c>
    </row>
    <row r="41">
      <c r="A41" t="inlineStr">
        <is>
          <t>REV_000040</t>
        </is>
      </c>
      <c r="C41" t="inlineStr">
        <is>
          <t>KIA_EV2_FWD_LONG_RANGE_GT_LINE</t>
        </is>
      </c>
      <c r="D41" t="inlineStr">
        <is>
          <t>Økonomi</t>
        </is>
      </c>
      <c r="E41" t="n">
        <v>4</v>
      </c>
      <c r="F41" t="inlineStr">
        <is>
          <t>MEDIUM</t>
        </is>
      </c>
      <c r="G41" t="inlineStr">
        <is>
          <t>Grunnprisen for selve GT Line-trimmen (346 417 kr) er faktisk lavest av alle fem, for nest-best rekkevidde (453 km) og det mest omfattende standardutstyret registrert i dette datasettet. Totalprisen i det spesifikke tilbudet (423 340 kr) reflekterer kjoperens egne tilvalg (4-seter, vinterhjul) og er ikke representativt for trimmens egen verdi. Vurdert pa grunnprisen: sterk verdi for pengene. [Kriterium W017]</t>
        </is>
      </c>
      <c r="H41" t="inlineStr">
        <is>
          <t>EV_000052</t>
        </is>
      </c>
      <c r="I41" t="inlineStr">
        <is>
          <t>1.4</t>
        </is>
      </c>
    </row>
  </sheetData>
  <autoFilter ref="A1:I1"/>
  <dataValidations count="1">
    <dataValidation sqref="F2:F1048576" showDropDown="0" showInputMessage="0" showErrorMessage="1" allowBlank="1" type="list">
      <formula1>Enum_Confidence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53"/>
  <sheetViews>
    <sheetView showGridLines="1" workbookViewId="0">
      <pane ySplit="1" topLeftCell="A2" activePane="bottomLeft" state="frozen"/>
      <selection pane="bottomLeft" activeCell="A2" sqref="A2"/>
    </sheetView>
  </sheetViews>
  <sheetFormatPr baseColWidth="8" defaultRowHeight="15"/>
  <cols>
    <col width="20" customWidth="1" min="1" max="1"/>
    <col width="24" customWidth="1" min="2" max="2"/>
    <col width="32" customWidth="1" min="3" max="3"/>
    <col width="90" customWidth="1" min="4" max="4"/>
    <col width="32" customWidth="1" min="5" max="5"/>
    <col width="16" customWidth="1" min="6" max="6"/>
  </cols>
  <sheetData>
    <row r="1" ht="22" customHeight="1">
      <c r="A1" s="1" t="inlineStr">
        <is>
          <t>EvidenceID</t>
        </is>
      </c>
      <c r="B1" s="1" t="inlineStr">
        <is>
          <t>VehicleID</t>
        </is>
      </c>
      <c r="C1" s="1" t="inlineStr">
        <is>
          <t>ConfigurationID</t>
        </is>
      </c>
      <c r="D1" s="1" t="inlineStr">
        <is>
          <t>Observation</t>
        </is>
      </c>
      <c r="E1" s="1" t="inlineStr">
        <is>
          <t>SourceID</t>
        </is>
      </c>
      <c r="F1" s="1" t="inlineStr">
        <is>
          <t>Confidence</t>
        </is>
      </c>
      <c r="G1" s="1" t="n"/>
      <c r="H1" s="1" t="n"/>
    </row>
    <row r="2">
      <c r="A2" t="inlineStr">
        <is>
          <t>EV_000001</t>
        </is>
      </c>
      <c r="B2" t="inlineStr">
        <is>
          <t>TESLA_MODEL_3</t>
        </is>
      </c>
      <c r="D2" t="inlineStr">
        <is>
          <t>Cabin/road noise (2024+ refresh): Motor.no: tire noise now among the best in class; noise level noticeably lower after the 2024 refresh (tested: Long Range AWD).</t>
        </is>
      </c>
      <c r="E2" t="inlineStr">
        <is>
          <t>SRC_MOTORNO_MODEL3_2024</t>
        </is>
      </c>
      <c r="F2" t="inlineStr">
        <is>
          <t>HIGH</t>
        </is>
      </c>
    </row>
    <row r="3">
      <c r="A3" t="inlineStr">
        <is>
          <t>EV_000002</t>
        </is>
      </c>
      <c r="B3" t="inlineStr">
        <is>
          <t>TESLA_MODEL_3</t>
        </is>
      </c>
      <c r="D3" t="inlineStr">
        <is>
          <t>Cabin/road noise (2024+ refresh): Cars.com: NVH reduced a claimed 20% vs. previous generation; thicker padding, insulation and new acoustic glass muffle the interior (tested: Long Range).</t>
        </is>
      </c>
      <c r="E3" t="inlineStr">
        <is>
          <t>SRC_CARSCOM_MODEL3_2024</t>
        </is>
      </c>
      <c r="F3" t="inlineStr">
        <is>
          <t>HIGH</t>
        </is>
      </c>
    </row>
    <row r="4">
      <c r="A4" t="inlineStr">
        <is>
          <t>EV_000003</t>
        </is>
      </c>
      <c r="B4" t="inlineStr">
        <is>
          <t>TESLA_MODEL_3</t>
        </is>
      </c>
      <c r="D4" t="inlineStr">
        <is>
          <t>Ride comfort/suspension: Motor.no: stiff at low speed, comfortable at higher speeds; scored 8/10 for comfort (tested: Long Range AWD).</t>
        </is>
      </c>
      <c r="E4" t="inlineStr">
        <is>
          <t>SRC_MOTORNO_MODEL3_2024</t>
        </is>
      </c>
      <c r="F4" t="inlineStr">
        <is>
          <t>MEDIUM</t>
        </is>
      </c>
    </row>
    <row r="5">
      <c r="A5" t="inlineStr">
        <is>
          <t>EV_000004</t>
        </is>
      </c>
      <c r="B5" t="inlineStr">
        <is>
          <t>TESLA_MODEL_3</t>
        </is>
      </c>
      <c r="D5" t="inlineStr">
        <is>
          <t>Ride comfort/suspension: Cars.com: frequency-dependent damper valves adapt to impacts; no jarring hits or unsettledness; tire impacts quieter and less intrusive (tested: Long Range).</t>
        </is>
      </c>
      <c r="E5" t="inlineStr">
        <is>
          <t>SRC_CARSCOM_MODEL3_2024</t>
        </is>
      </c>
      <c r="F5" t="inlineStr">
        <is>
          <t>MEDIUM</t>
        </is>
      </c>
    </row>
    <row r="6">
      <c r="A6" t="inlineStr">
        <is>
          <t>EV_000005</t>
        </is>
      </c>
      <c r="B6" t="inlineStr">
        <is>
          <t>TESLA_MODEL_3</t>
        </is>
      </c>
      <c r="D6" t="inlineStr">
        <is>
          <t>Steering precision: Motor.no: direct, somewhat heavy steering feel with immediate response to small inputs; awarded 10/10 for driving characteristics (tested: Long Range AWD).</t>
        </is>
      </c>
      <c r="E6" t="inlineStr">
        <is>
          <t>SRC_MOTORNO_MODEL3_2024</t>
        </is>
      </c>
      <c r="F6" t="inlineStr">
        <is>
          <t>MEDIUM</t>
        </is>
      </c>
    </row>
    <row r="7">
      <c r="A7" t="inlineStr">
        <is>
          <t>EV_000006</t>
        </is>
      </c>
      <c r="B7" t="inlineStr">
        <is>
          <t>TESLA_MODEL_3</t>
        </is>
      </c>
      <c r="D7" t="inlineStr">
        <is>
          <t>Forward/rear visibility: Motor.no: excellent forward visibility, poor rearward visibility (tested: Long Range AWD).</t>
        </is>
      </c>
      <c r="E7" t="inlineStr">
        <is>
          <t>SRC_MOTORNO_MODEL3_2024</t>
        </is>
      </c>
      <c r="F7" t="inlineStr">
        <is>
          <t>MEDIUM</t>
        </is>
      </c>
    </row>
    <row r="8">
      <c r="A8" t="inlineStr">
        <is>
          <t>EV_000007</t>
        </is>
      </c>
      <c r="B8" t="inlineStr">
        <is>
          <t>TESLA_MODEL_3</t>
        </is>
      </c>
      <c r="D8" t="inlineStr">
        <is>
          <t>Infotainment control scheme: Cars.com: touch-capacitive turn-signal controls "didn't engage at all" at times, reviewer "often hit the wrong turn direction"; phone key occasionally failed to recognize presence (tested: Long Range).</t>
        </is>
      </c>
      <c r="E8" t="inlineStr">
        <is>
          <t>SRC_CARSCOM_MODEL3_2024</t>
        </is>
      </c>
      <c r="F8" t="inlineStr">
        <is>
          <t>MEDIUM</t>
        </is>
      </c>
    </row>
    <row r="9">
      <c r="A9" t="inlineStr">
        <is>
          <t>EV_000008</t>
        </is>
      </c>
      <c r="B9" t="inlineStr">
        <is>
          <t>TESLA_MODEL_3</t>
        </is>
      </c>
      <c r="D9" t="inlineStr">
        <is>
          <t>Apple CarPlay availability: MacRumors (2025-11-16): CarPlay not currently supported on any Tesla model; Tesla plans standard wireless CarPlay 'in coming months' per Bloomberg's Mark Gurman, appearing as a window within Tesla's interface rather than replacing it.</t>
        </is>
      </c>
      <c r="E9" t="inlineStr">
        <is>
          <t>SRC_MACRUMORS_CARPLAY_2025</t>
        </is>
      </c>
      <c r="F9" t="inlineStr">
        <is>
          <t>MEDIUM</t>
        </is>
      </c>
    </row>
    <row r="10">
      <c r="A10" t="inlineStr">
        <is>
          <t>EV_000009</t>
        </is>
      </c>
      <c r="C10" t="inlineStr">
        <is>
          <t>TESLA_MODEL_3_LONG_RANGE_RWD</t>
        </is>
      </c>
      <c r="D10" t="inlineStr">
        <is>
          <t>DC fast-charging power: Official Tesla specification: Supercharging-Max rated at 250 kW, adding up to 282 km of range in 15 minutes for the Long Range bakhjulsdrift configuration.</t>
        </is>
      </c>
      <c r="E10" t="inlineStr">
        <is>
          <t>SRC_TESLA_NO_MODEL3_CONFIGURATOR</t>
        </is>
      </c>
      <c r="F10" t="inlineStr">
        <is>
          <t>MEDIUM</t>
        </is>
      </c>
    </row>
    <row r="11">
      <c r="A11" t="inlineStr">
        <is>
          <t>EV_000010</t>
        </is>
      </c>
      <c r="C11" t="inlineStr">
        <is>
          <t>TESLA_MODEL_3_LONG_RANGE_RWD</t>
        </is>
      </c>
      <c r="D11" t="inlineStr">
        <is>
          <t>Real-world energy consumption: Official Tesla specification: rated power consumption of 13.6 kWh/100km for Long Range bakhjulsdrift, CO2 efficiency class A.</t>
        </is>
      </c>
      <c r="E11" t="inlineStr">
        <is>
          <t>SRC_TESLA_NO_MODEL3_CONFIGURATOR</t>
        </is>
      </c>
      <c r="F11" t="inlineStr">
        <is>
          <t>MEDIUM</t>
        </is>
      </c>
    </row>
    <row r="12">
      <c r="A12" t="inlineStr">
        <is>
          <t>EV_000011</t>
        </is>
      </c>
      <c r="B12" t="inlineStr">
        <is>
          <t>RENAULT_4</t>
        </is>
      </c>
      <c r="D12" t="inlineStr">
        <is>
          <t>Cabin/road noise: RAC Drive: "impressively quiet... little wind or road noise", easy to travel long distances (tested: 150 Comfort Range).</t>
        </is>
      </c>
      <c r="E12" t="inlineStr">
        <is>
          <t>SRC_RAC_R4_2026</t>
        </is>
      </c>
      <c r="F12" t="inlineStr">
        <is>
          <t>MEDIUM</t>
        </is>
      </c>
    </row>
    <row r="13">
      <c r="A13" t="inlineStr">
        <is>
          <t>EV_000012</t>
        </is>
      </c>
      <c r="B13" t="inlineStr">
        <is>
          <t>RENAULT_4</t>
        </is>
      </c>
      <c r="D13" t="inlineStr">
        <is>
          <t>Ride comfort/suspension: Motor.no: "Bilen tramper urolig rundt pa ujevn vei, og harde skjoter gir ubehagelig humpete kjoring" - large 18" standard wheels place high demands on the suspension for a relaxed ride (tested: 150 Comfort Range).</t>
        </is>
      </c>
      <c r="E13" t="inlineStr">
        <is>
          <t>SRC_MOTORNO_R4_2025</t>
        </is>
      </c>
      <c r="F13" t="inlineStr">
        <is>
          <t>LOW</t>
        </is>
      </c>
    </row>
    <row r="14">
      <c r="A14" t="inlineStr">
        <is>
          <t>EV_000013</t>
        </is>
      </c>
      <c r="B14" t="inlineStr">
        <is>
          <t>RENAULT_4</t>
        </is>
      </c>
      <c r="D14" t="inlineStr">
        <is>
          <t>Ride comfort/suspension: RAC Drive: ride "smooths out with speed", suspension "smothers potholes and speed bumps quietly" - directly contradicts Motor.no's finding on the same 150 Comfort Range powertrain (tested: 150 Comfort Range).</t>
        </is>
      </c>
      <c r="E14" t="inlineStr">
        <is>
          <t>SRC_RAC_R4_2026</t>
        </is>
      </c>
      <c r="F14" t="inlineStr">
        <is>
          <t>LOW</t>
        </is>
      </c>
    </row>
    <row r="15">
      <c r="A15" t="inlineStr">
        <is>
          <t>EV_000014</t>
        </is>
      </c>
      <c r="B15" t="inlineStr">
        <is>
          <t>RENAULT_4</t>
        </is>
      </c>
      <c r="D15" t="inlineStr">
        <is>
          <t>Rear-seat space and visibility: Motor.no: a 180cm passenger only just fits behind an equally tall driver in the rear seats; higher seating position improves overview of surroundings, though pedal placement remains tight (tested: 150 Comfort Range).</t>
        </is>
      </c>
      <c r="E15" t="inlineStr">
        <is>
          <t>SRC_MOTORNO_R4_2025</t>
        </is>
      </c>
      <c r="F15" t="inlineStr">
        <is>
          <t>MEDIUM</t>
        </is>
      </c>
    </row>
    <row r="16">
      <c r="A16" t="inlineStr">
        <is>
          <t>EV_000015</t>
        </is>
      </c>
      <c r="B16" t="inlineStr">
        <is>
          <t>RENAULT_4</t>
        </is>
      </c>
      <c r="D16" t="inlineStr">
        <is>
          <t>Steering precision: RAC Drive: steering is "accurate and well weighted, making it easy to place into a corner" (tested: 150 Comfort Range).</t>
        </is>
      </c>
      <c r="E16" t="inlineStr">
        <is>
          <t>SRC_RAC_R4_2026</t>
        </is>
      </c>
      <c r="F16" t="inlineStr">
        <is>
          <t>MEDIUM</t>
        </is>
      </c>
    </row>
    <row r="17">
      <c r="A17" t="inlineStr">
        <is>
          <t>EV_000016</t>
        </is>
      </c>
      <c r="B17" t="inlineStr">
        <is>
          <t>RENAULT_4</t>
        </is>
      </c>
      <c r="D17" t="inlineStr">
        <is>
          <t>Infotainment/software quality: Motor.no: "Infotainmentsystemet fra Google er blant de bedre" - voice control and route planning with automatic battery preheating "fungerer stralende" (tested: 150 Comfort Range).</t>
        </is>
      </c>
      <c r="E17" t="inlineStr">
        <is>
          <t>SRC_MOTORNO_R4_2025</t>
        </is>
      </c>
      <c r="F17" t="inlineStr">
        <is>
          <t>MEDIUM</t>
        </is>
      </c>
    </row>
    <row r="18">
      <c r="A18" t="inlineStr">
        <is>
          <t>EV_000017</t>
        </is>
      </c>
      <c r="B18" t="inlineStr">
        <is>
          <t>RENAULT_4</t>
        </is>
      </c>
      <c r="D18" t="inlineStr">
        <is>
          <t>Apple CarPlay availability: Official Renault Norway specification lists wired/wireless smartphone mirroring with Android Auto and Apple CarPlay as standard; RAC Drive independently confirms "Android Auto and Apple CarPlay smartphone mirroring comes on all models."</t>
        </is>
      </c>
      <c r="E18" t="inlineStr">
        <is>
          <t>SRC_RENAULT_NO_R4_PAGE</t>
        </is>
      </c>
      <c r="F18" t="inlineStr">
        <is>
          <t>HIGH</t>
        </is>
      </c>
    </row>
    <row r="19">
      <c r="A19" t="inlineStr">
        <is>
          <t>EV_000018</t>
        </is>
      </c>
      <c r="C19" t="inlineStr">
        <is>
          <t>RENAULT_4_TECHNO</t>
        </is>
      </c>
      <c r="D19" t="inlineStr">
        <is>
          <t>DC fast-charging power: Official Renault Norway price list: DC fast charging up to 100 kW, 15-80% in approximately 30 minutes, for the 52 kWh Comfort Range battery fitted to Techno.</t>
        </is>
      </c>
      <c r="E19" t="inlineStr">
        <is>
          <t>SRC_RENAULT_NO_R4_PRICELIST</t>
        </is>
      </c>
      <c r="F19" t="inlineStr">
        <is>
          <t>MEDIUM</t>
        </is>
      </c>
    </row>
    <row r="20">
      <c r="A20" t="inlineStr">
        <is>
          <t>EV_000019</t>
        </is>
      </c>
      <c r="C20" t="inlineStr">
        <is>
          <t>RENAULT_4_TECHNO</t>
        </is>
      </c>
      <c r="D20" t="inlineStr">
        <is>
          <t>Real-world energy consumption: Official Renault Norway price list: rated consumption of 155 Wh/km (15.5 kWh/100km) for Techno (52 kWh Comfort Range).</t>
        </is>
      </c>
      <c r="E20" t="inlineStr">
        <is>
          <t>SRC_RENAULT_NO_R4_PRICELIST</t>
        </is>
      </c>
      <c r="F20" t="inlineStr">
        <is>
          <t>MEDIUM</t>
        </is>
      </c>
    </row>
    <row r="21">
      <c r="A21" t="inlineStr">
        <is>
          <t>EV_000020</t>
        </is>
      </c>
      <c r="B21" t="inlineStr">
        <is>
          <t>SKODA_ELROQ</t>
        </is>
      </c>
      <c r="D21" t="inlineStr">
        <is>
          <t>Cabin/road noise: Motor.no: "hjulstoyen - en familiesvakhet for bilene pa MEB-plattformen - som odelegger her"; Elroq had the most wheel noise of five compared cars (tested: Elroq 60 with Motor-pakke).</t>
        </is>
      </c>
      <c r="E21" t="inlineStr">
        <is>
          <t>SRC_MOTORNO_ELROQ_2025</t>
        </is>
      </c>
      <c r="F21" t="inlineStr">
        <is>
          <t>MEDIUM</t>
        </is>
      </c>
    </row>
    <row r="22">
      <c r="A22" t="inlineStr">
        <is>
          <t>EV_000021</t>
        </is>
      </c>
      <c r="B22" t="inlineStr">
        <is>
          <t>SKODA_ELROQ</t>
        </is>
      </c>
      <c r="D22" t="inlineStr">
        <is>
          <t>Cabin/road noise: What Car?: "fractionally quieter at 70mph than the EV3, S5 and Scenic. Road noise is minimal" - directly contradicts Motor.no's finding on wheel/road noise.</t>
        </is>
      </c>
      <c r="E22" t="inlineStr">
        <is>
          <t>SRC_WHATCAR_ELROQ_2026</t>
        </is>
      </c>
      <c r="F22" t="inlineStr">
        <is>
          <t>MEDIUM</t>
        </is>
      </c>
    </row>
    <row r="23">
      <c r="A23" t="inlineStr">
        <is>
          <t>EV_000022</t>
        </is>
      </c>
      <c r="B23" t="inlineStr">
        <is>
          <t>SKODA_ELROQ</t>
        </is>
      </c>
      <c r="D23" t="inlineStr">
        <is>
          <t>Ride comfort/suspension: Motor.no: "Fjaeringen er stiv i lavere fart, fast og fin i hoyere fart" (tested: Elroq 60 with Motor-pakke).</t>
        </is>
      </c>
      <c r="E23" t="inlineStr">
        <is>
          <t>SRC_MOTORNO_ELROQ_2025</t>
        </is>
      </c>
      <c r="F23" t="inlineStr">
        <is>
          <t>MEDIUM</t>
        </is>
      </c>
    </row>
    <row r="24">
      <c r="A24" t="inlineStr">
        <is>
          <t>EV_000023</t>
        </is>
      </c>
      <c r="B24" t="inlineStr">
        <is>
          <t>SKODA_ELROQ</t>
        </is>
      </c>
      <c r="D24" t="inlineStr">
        <is>
          <t>Ride comfort/suspension: What Car?: "standard suspension absorbs imperfections in the road surface extremely well and delivers a controlled ride at all speeds."</t>
        </is>
      </c>
      <c r="E24" t="inlineStr">
        <is>
          <t>SRC_WHATCAR_ELROQ_2026</t>
        </is>
      </c>
      <c r="F24" t="inlineStr">
        <is>
          <t>MEDIUM</t>
        </is>
      </c>
    </row>
    <row r="25">
      <c r="A25" t="inlineStr">
        <is>
          <t>EV_000024</t>
        </is>
      </c>
      <c r="B25" t="inlineStr">
        <is>
          <t>SKODA_ELROQ</t>
        </is>
      </c>
      <c r="D25" t="inlineStr">
        <is>
          <t>Outward visibility: RAC Drive: good forward visibility overall; "like many rivals the small rear window restricts your rear view a bit."</t>
        </is>
      </c>
      <c r="E25" t="inlineStr">
        <is>
          <t>SRC_RAC_ELROQ_2026</t>
        </is>
      </c>
      <c r="F25" t="inlineStr">
        <is>
          <t>MEDIUM</t>
        </is>
      </c>
    </row>
    <row r="26">
      <c r="A26" t="inlineStr">
        <is>
          <t>EV_000025</t>
        </is>
      </c>
      <c r="B26" t="inlineStr">
        <is>
          <t>SKODA_ELROQ</t>
        </is>
      </c>
      <c r="D26" t="inlineStr">
        <is>
          <t>Steering precision: What Car?: "steering is well-weighted and precise" with a "helpful tight turning circle."</t>
        </is>
      </c>
      <c r="E26" t="inlineStr">
        <is>
          <t>SRC_WHATCAR_ELROQ_2026</t>
        </is>
      </c>
      <c r="F26" t="inlineStr">
        <is>
          <t>MEDIUM</t>
        </is>
      </c>
    </row>
    <row r="27">
      <c r="A27" t="inlineStr">
        <is>
          <t>EV_000026</t>
        </is>
      </c>
      <c r="B27" t="inlineStr">
        <is>
          <t>SKODA_ELROQ</t>
        </is>
      </c>
      <c r="D27" t="inlineStr">
        <is>
          <t>Infotainment/software quality: Motor.no: "Betjeningen - ikke minst den pa rattet - er kanskje best av alle," praising a "fin miks av analoge og digitale funksjoner." What Car?: "responds quickly enough and is much easier to operate than... Mini Countryman Electric," though "EV3 and Scenic are even better."</t>
        </is>
      </c>
      <c r="E27" t="inlineStr">
        <is>
          <t>SRC_MOTORNO_ELROQ_2025</t>
        </is>
      </c>
      <c r="F27" t="inlineStr">
        <is>
          <t>HIGH</t>
        </is>
      </c>
    </row>
    <row r="28">
      <c r="A28" t="inlineStr">
        <is>
          <t>EV_000027</t>
        </is>
      </c>
      <c r="B28" t="inlineStr">
        <is>
          <t>SKODA_ELROQ</t>
        </is>
      </c>
      <c r="D28" t="inlineStr">
        <is>
          <t>Apple CarPlay availability: What Car? confirms "wireless Android Auto and Apple CarPlay smartphone mirroring" on all models; corroborated by official Skoda Norway price list footnote (SmartLink wireless, compatible with Android Auto and Apple CarPlay, standard on all trims).</t>
        </is>
      </c>
      <c r="E28" t="inlineStr">
        <is>
          <t>SRC_WHATCAR_ELROQ_2026</t>
        </is>
      </c>
      <c r="F28" t="inlineStr">
        <is>
          <t>HIGH</t>
        </is>
      </c>
    </row>
    <row r="29">
      <c r="A29" t="inlineStr">
        <is>
          <t>EV_000028</t>
        </is>
      </c>
      <c r="C29" t="inlineStr">
        <is>
          <t>SKODA_ELROQ_SELECTION_60</t>
        </is>
      </c>
      <c r="D29" t="inlineStr">
        <is>
          <t>DC fast-charging power: Official Skoda Norway price list: DC fast charging up to 105 kW, 10-80% in approximately 26 minutes, for Selection 60 (58 kWh).</t>
        </is>
      </c>
      <c r="E29" t="inlineStr">
        <is>
          <t>SRC_SKODA_NO_ELROQ_PRICELIST</t>
        </is>
      </c>
      <c r="F29" t="inlineStr">
        <is>
          <t>MEDIUM</t>
        </is>
      </c>
    </row>
    <row r="30">
      <c r="A30" t="inlineStr">
        <is>
          <t>EV_000029</t>
        </is>
      </c>
      <c r="C30" t="inlineStr">
        <is>
          <t>SKODA_ELROQ_SELECTION_60</t>
        </is>
      </c>
      <c r="D30" t="inlineStr">
        <is>
          <t>Real-world energy consumption: Official Skoda Norway price list: rated consumption of 15,3 kWh/100km for Selection 60.</t>
        </is>
      </c>
      <c r="E30" t="inlineStr">
        <is>
          <t>SRC_SKODA_NO_ELROQ_PRICELIST</t>
        </is>
      </c>
      <c r="F30" t="inlineStr">
        <is>
          <t>MEDIUM</t>
        </is>
      </c>
    </row>
    <row r="31">
      <c r="A31" t="inlineStr">
        <is>
          <t>EV_000030</t>
        </is>
      </c>
      <c r="B31" t="inlineStr">
        <is>
          <t>VOLVO_EX30</t>
        </is>
      </c>
      <c r="D31" t="inlineStr">
        <is>
          <t>Cabin/road noise: Motor.no: "Lite hjulstoy pa piggfrie vinterdekk" (minimal tire noise on studless winter tires) (tested: P8 AWD).</t>
        </is>
      </c>
      <c r="E31" t="inlineStr">
        <is>
          <t>SRC_MOTORNO_EX30_2024</t>
        </is>
      </c>
      <c r="F31" t="inlineStr">
        <is>
          <t>MEDIUM</t>
        </is>
      </c>
    </row>
    <row r="32">
      <c r="A32" t="inlineStr">
        <is>
          <t>EV_000031</t>
        </is>
      </c>
      <c r="B32" t="inlineStr">
        <is>
          <t>VOLVO_EX30</t>
        </is>
      </c>
      <c r="D32" t="inlineStr">
        <is>
          <t>Cabin/road noise: What Car?: "a fairly hushed high-speed cruiser, too, with only a small amount of wind and road noise making its way inside."</t>
        </is>
      </c>
      <c r="E32" t="inlineStr">
        <is>
          <t>SRC_WHATCAR_EX30_2026</t>
        </is>
      </c>
      <c r="F32" t="inlineStr">
        <is>
          <t>MEDIUM</t>
        </is>
      </c>
    </row>
    <row r="33">
      <c r="A33" t="inlineStr">
        <is>
          <t>EV_000032</t>
        </is>
      </c>
      <c r="B33" t="inlineStr">
        <is>
          <t>VOLVO_EX30</t>
        </is>
      </c>
      <c r="D33" t="inlineStr">
        <is>
          <t>Ride comfort/suspension: Motor.no: "Svaert stiv over skarpe ujevnheter, men behagelig i fart" (extremely stiff over sharp irregularities, but comfortable at speed) (tested: P8 AWD).</t>
        </is>
      </c>
      <c r="E33" t="inlineStr">
        <is>
          <t>SRC_MOTORNO_EX30_2024</t>
        </is>
      </c>
      <c r="F33" t="inlineStr">
        <is>
          <t>MEDIUM</t>
        </is>
      </c>
    </row>
    <row r="34">
      <c r="A34" t="inlineStr">
        <is>
          <t>EV_000033</t>
        </is>
      </c>
      <c r="B34" t="inlineStr">
        <is>
          <t>VOLVO_EX30</t>
        </is>
      </c>
      <c r="D34" t="inlineStr">
        <is>
          <t>Ride comfort/suspension: What Car?: "the balance Volvo has managed to strike between ride comfort and handling is almost spot-on... suspension is supple enough to take the sting out of" common bumps and potholes.</t>
        </is>
      </c>
      <c r="E34" t="inlineStr">
        <is>
          <t>SRC_WHATCAR_EX30_2026</t>
        </is>
      </c>
      <c r="F34" t="inlineStr">
        <is>
          <t>MEDIUM</t>
        </is>
      </c>
    </row>
    <row r="35">
      <c r="A35" t="inlineStr">
        <is>
          <t>EV_000034</t>
        </is>
      </c>
      <c r="B35" t="inlineStr">
        <is>
          <t>VOLVO_EX30</t>
        </is>
      </c>
      <c r="D35" t="inlineStr">
        <is>
          <t>Outward visibility: What Car?: "not as easy to see out of as a Kona Electric, #1 or #3, with the windscreen pillars blocking some of your view at junctions and roundabouts."</t>
        </is>
      </c>
      <c r="E35" t="inlineStr">
        <is>
          <t>SRC_WHATCAR_EX30_2026</t>
        </is>
      </c>
      <c r="F35" t="inlineStr">
        <is>
          <t>MEDIUM</t>
        </is>
      </c>
    </row>
    <row r="36">
      <c r="A36" t="inlineStr">
        <is>
          <t>EV_000035</t>
        </is>
      </c>
      <c r="B36" t="inlineStr">
        <is>
          <t>VOLVO_EX30</t>
        </is>
      </c>
      <c r="D36" t="inlineStr">
        <is>
          <t>Steering precision: What Car?: "reasonably accurate, allowing you to place the nose of the car with confidence, although some drivers might find the steering is a little too light, even in its heaviest mode." Separately, Motor.no criticized physical steering-wheel button ergonomics ("rattbetjeningen... trekker ned"), a distinct control-layout complaint rather than steering feel itself (tested: P8 AWD).</t>
        </is>
      </c>
      <c r="E36" t="inlineStr">
        <is>
          <t>SRC_WHATCAR_EX30_2026</t>
        </is>
      </c>
      <c r="F36" t="inlineStr">
        <is>
          <t>MEDIUM</t>
        </is>
      </c>
    </row>
    <row r="37">
      <c r="A37" t="inlineStr">
        <is>
          <t>EV_000036</t>
        </is>
      </c>
      <c r="B37" t="inlineStr">
        <is>
          <t>VOLVO_EX30</t>
        </is>
      </c>
      <c r="D37" t="inlineStr">
        <is>
          <t>Infotainment/software quality: Motor.no: Google-based system "fungerer bra" (works well), though driver-assistance features were "lunefull pa norske vinterveier" (temperamental on Norwegian winter roads) - adjusting adaptive cruise speed/interval "viste seg i praksis umulig" (proved practically impossible). What Car?: the Google-based system is "fundamentally excellent," responsive, most functions easy to find.</t>
        </is>
      </c>
      <c r="E37" t="inlineStr">
        <is>
          <t>SRC_MOTORNO_EX30_2024</t>
        </is>
      </c>
      <c r="F37" t="inlineStr">
        <is>
          <t>HIGH</t>
        </is>
      </c>
    </row>
    <row r="38">
      <c r="A38" t="inlineStr">
        <is>
          <t>EV_000037</t>
        </is>
      </c>
      <c r="B38" t="inlineStr">
        <is>
          <t>VOLVO_EX30</t>
        </is>
      </c>
      <c r="D38" t="inlineStr">
        <is>
          <t>Apple CarPlay availability: What Car?: "Wireless Android Auto and Apple CarPlay are also included."</t>
        </is>
      </c>
      <c r="E38" t="inlineStr">
        <is>
          <t>SRC_WHATCAR_EX30_2026</t>
        </is>
      </c>
      <c r="F38" t="inlineStr">
        <is>
          <t>MEDIUM</t>
        </is>
      </c>
    </row>
    <row r="39">
      <c r="A39" t="inlineStr">
        <is>
          <t>EV_000038</t>
        </is>
      </c>
      <c r="C39" t="inlineStr">
        <is>
          <t>VOLVO_EX30_P8_AWD</t>
        </is>
      </c>
      <c r="D39" t="inlineStr">
        <is>
          <t>DC fast-charging power: Official Volvo Norway specification: DC fast charging up to 175 kW, 10-80% in approximately 27 minutes, for P8 AWD (69 kWh).</t>
        </is>
      </c>
      <c r="E39" t="inlineStr">
        <is>
          <t>SRC_VOLVO_NO_EX30_SPECS</t>
        </is>
      </c>
      <c r="F39" t="inlineStr">
        <is>
          <t>MEDIUM</t>
        </is>
      </c>
    </row>
    <row r="40">
      <c r="A40" t="inlineStr">
        <is>
          <t>EV_000039</t>
        </is>
      </c>
      <c r="C40" t="inlineStr">
        <is>
          <t>VOLVO_EX30_P8_AWD</t>
        </is>
      </c>
      <c r="D40" t="inlineStr">
        <is>
          <t>Real-world energy consumption: Official Volvo Norway specification: rated consumption of 17.5 kWh/100km (WLTP combined) for P8 AWD.</t>
        </is>
      </c>
      <c r="E40" t="inlineStr">
        <is>
          <t>SRC_VOLVO_NO_EX30_SPECS</t>
        </is>
      </c>
      <c r="F40" t="inlineStr">
        <is>
          <t>MEDIUM</t>
        </is>
      </c>
    </row>
    <row r="41">
      <c r="A41" t="inlineStr">
        <is>
          <t>EV_000040</t>
        </is>
      </c>
      <c r="B41" t="inlineStr">
        <is>
          <t>KIA_EV2</t>
        </is>
      </c>
      <c r="D41" t="inlineStr">
        <is>
          <t>Cabin/road noise: What Car?: "very little electric motor whine under acceleration. There isn't much tyre noise on the motorway, either, or suspension noise around town."</t>
        </is>
      </c>
      <c r="E41" t="inlineStr">
        <is>
          <t>SRC_WHATCAR_EV2_2026</t>
        </is>
      </c>
      <c r="F41" t="inlineStr">
        <is>
          <t>MEDIUM</t>
        </is>
      </c>
    </row>
    <row r="42">
      <c r="A42" t="inlineStr">
        <is>
          <t>EV_000041</t>
        </is>
      </c>
      <c r="B42" t="inlineStr">
        <is>
          <t>KIA_EV2</t>
        </is>
      </c>
      <c r="D42" t="inlineStr">
        <is>
          <t>Ride comfort/suspension: Motor.no: "Det rister godt over brostein, og humper og dumper i litt hoyere hastigheter gir en vel spretten folelse" (shakes noticeably over cobblestones, bouncy over bumps at higher speed); dampers described as stiff and "not particularly sophisticated" (tested: Standard Range, 42.2 kWh).</t>
        </is>
      </c>
      <c r="E42" t="inlineStr">
        <is>
          <t>SRC_MOTORNO_EV2_2026</t>
        </is>
      </c>
      <c r="F42" t="inlineStr">
        <is>
          <t>MEDIUM</t>
        </is>
      </c>
    </row>
    <row r="43">
      <c r="A43" t="inlineStr">
        <is>
          <t>EV_000042</t>
        </is>
      </c>
      <c r="B43" t="inlineStr">
        <is>
          <t>KIA_EV2</t>
        </is>
      </c>
      <c r="D43" t="inlineStr">
        <is>
          <t>Ride comfort/suspension: What Car?: "relatively soft suspension helps smother ridges and small potholes," though the car exhibits "plenty of lean when going around corners quickly" - directly contrasts with Motor.no's "stiff" characterization on the Standard Range.</t>
        </is>
      </c>
      <c r="E43" t="inlineStr">
        <is>
          <t>SRC_WHATCAR_EV2_2026</t>
        </is>
      </c>
      <c r="F43" t="inlineStr">
        <is>
          <t>MEDIUM</t>
        </is>
      </c>
    </row>
    <row r="44">
      <c r="A44" t="inlineStr">
        <is>
          <t>EV_000043</t>
        </is>
      </c>
      <c r="B44" t="inlineStr">
        <is>
          <t>KIA_EV2</t>
        </is>
      </c>
      <c r="D44" t="inlineStr">
        <is>
          <t>Outward visibility: Motor.no: angular shape with large glass surfaces gives good sightlines from the driver seat (tested: Standard Range). What Car?: "upright pillars and tall, oblong windows give you a great view out in all directions." Two independent sources agree.</t>
        </is>
      </c>
      <c r="E44" t="inlineStr">
        <is>
          <t>SRC_MOTORNO_EV2_2026</t>
        </is>
      </c>
      <c r="F44" t="inlineStr">
        <is>
          <t>HIGH</t>
        </is>
      </c>
    </row>
    <row r="45">
      <c r="A45" t="inlineStr">
        <is>
          <t>EV_000044</t>
        </is>
      </c>
      <c r="B45" t="inlineStr">
        <is>
          <t>KIA_EV2</t>
        </is>
      </c>
      <c r="D45" t="inlineStr">
        <is>
          <t>Steering precision: What Car?: "the steering is a bit vague," set up for ease rather than steering feel or engagement.</t>
        </is>
      </c>
      <c r="E45" t="inlineStr">
        <is>
          <t>SRC_WHATCAR_EV2_2026</t>
        </is>
      </c>
      <c r="F45" t="inlineStr">
        <is>
          <t>MEDIUM</t>
        </is>
      </c>
    </row>
    <row r="46">
      <c r="A46" t="inlineStr">
        <is>
          <t>EV_000045</t>
        </is>
      </c>
      <c r="B46" t="inlineStr">
        <is>
          <t>KIA_EV2</t>
        </is>
      </c>
      <c r="D46" t="inlineStr">
        <is>
          <t>Infotainment/software quality: RAC Drive: touchscreen is "responsive and the menu layout is easy to understand, while it has all the latest features," though "doesn't quite manage to look as slick as Renault's infotainment system." Retains physical switchgear for temperature/fan/seat heating/volume.</t>
        </is>
      </c>
      <c r="E46" t="inlineStr">
        <is>
          <t>SRC_RAC_EV2_2026</t>
        </is>
      </c>
      <c r="F46" t="inlineStr">
        <is>
          <t>MEDIUM</t>
        </is>
      </c>
    </row>
    <row r="47">
      <c r="A47" t="inlineStr">
        <is>
          <t>EV_000046</t>
        </is>
      </c>
      <c r="B47" t="inlineStr">
        <is>
          <t>KIA_EV2</t>
        </is>
      </c>
      <c r="D47" t="inlineStr">
        <is>
          <t>Apple CarPlay availability: What Car?: "Apple CarPlay and Android Auto are standard on all versions."</t>
        </is>
      </c>
      <c r="E47" t="inlineStr">
        <is>
          <t>SRC_WHATCAR_EV2_2026</t>
        </is>
      </c>
      <c r="F47" t="inlineStr">
        <is>
          <t>HIGH</t>
        </is>
      </c>
    </row>
    <row r="48">
      <c r="A48" t="inlineStr">
        <is>
          <t>EV_000047</t>
        </is>
      </c>
      <c r="C48" t="inlineStr">
        <is>
          <t>KIA_EV2_FWD_LONG_RANGE_GT_LINE</t>
        </is>
      </c>
      <c r="D48" t="inlineStr">
        <is>
          <t>AC charging power and real-world energy consumption: Official Kia nettbutikk configurator: 11 kW three-phase onboard AC charger, rated consumption 15.2 kWh/100km (corrected from a mislabeled kWh/km unit on the source page). DC fast-charging power not stated on the source page.</t>
        </is>
      </c>
      <c r="E48" t="inlineStr">
        <is>
          <t>SRC_KIA_NETTBUTIKK_EV2</t>
        </is>
      </c>
      <c r="F48" t="inlineStr">
        <is>
          <t>MEDIUM</t>
        </is>
      </c>
    </row>
    <row r="49">
      <c r="A49" t="inlineStr">
        <is>
          <t>EV_000048</t>
        </is>
      </c>
      <c r="C49" t="inlineStr">
        <is>
          <t>TESLA_MODEL_3_LONG_RANGE_RWD</t>
        </is>
      </c>
      <c r="D49" t="inlineStr">
        <is>
          <t>Price positioning: 400539 kr incl. VAT/fees (official Tesla configurator, no options), for 691-750km WLTP range (wheel-dependent), 250kW DC charging and 13.6 kWh/100km consumption - the best price-per-km-range and fastest charging of the five compared configurations.</t>
        </is>
      </c>
      <c r="E49" t="inlineStr">
        <is>
          <t>SRC_TESLA_NO_MODEL3_DESIGN</t>
        </is>
      </c>
      <c r="F49" t="inlineStr">
        <is>
          <t>MEDIUM</t>
        </is>
      </c>
    </row>
    <row r="50">
      <c r="A50" t="inlineStr">
        <is>
          <t>EV_000049</t>
        </is>
      </c>
      <c r="C50" t="inlineStr">
        <is>
          <t>RENAULT_4_TECHNO</t>
        </is>
      </c>
      <c r="D50" t="inlineStr">
        <is>
          <t>Price positioning: 364900 kr incl. VAT/fees (official Renault price list), for 398km WLTP range and 100kW DC charging - the lowest absolute price of the five, but also the shortest range and slowest charging outside of Tesla's advantage.</t>
        </is>
      </c>
      <c r="E50" t="inlineStr">
        <is>
          <t>SRC_RENAULT_NO_R4_PRICELIST</t>
        </is>
      </c>
      <c r="F50" t="inlineStr">
        <is>
          <t>MEDIUM</t>
        </is>
      </c>
    </row>
    <row r="51">
      <c r="A51" t="inlineStr">
        <is>
          <t>EV_000050</t>
        </is>
      </c>
      <c r="C51" t="inlineStr">
        <is>
          <t>SKODA_ELROQ_SELECTION_60</t>
        </is>
      </c>
      <c r="D51" t="inlineStr">
        <is>
          <t>Price positioning: 374900 kr incl. VAT/fees (official Skoda price list), for 448km WLTP range and 105kW DC charging - only ~10000 kr above Renault 4 Techno for 50km more range and marginally faster charging.</t>
        </is>
      </c>
      <c r="E51" t="inlineStr">
        <is>
          <t>SRC_SKODA_NO_ELROQ_PRICELIST</t>
        </is>
      </c>
      <c r="F51" t="inlineStr">
        <is>
          <t>MEDIUM</t>
        </is>
      </c>
    </row>
    <row r="52">
      <c r="A52" t="inlineStr">
        <is>
          <t>EV_000051</t>
        </is>
      </c>
      <c r="C52" t="inlineStr">
        <is>
          <t>VOLVO_EX30_P8_AWD</t>
        </is>
      </c>
      <c r="D52" t="inlineStr">
        <is>
          <t>Price positioning: 468900 kr incl. VAT/fees (official Volvo specification page), for 450km WLTP range and 17.5 kWh/100km consumption - the highest price and least efficient consumption of the five, with the premium going primarily toward dual-motor performance rather than range or efficiency.</t>
        </is>
      </c>
      <c r="E52" t="inlineStr">
        <is>
          <t>SRC_VOLVO_NO_EX30_SPECS</t>
        </is>
      </c>
      <c r="F52" t="inlineStr">
        <is>
          <t>MEDIUM</t>
        </is>
      </c>
    </row>
    <row r="53">
      <c r="A53" t="inlineStr">
        <is>
          <t>EV_000052</t>
        </is>
      </c>
      <c r="C53" t="inlineStr">
        <is>
          <t>KIA_EV2_FWD_LONG_RANGE_GT_LINE</t>
        </is>
      </c>
      <c r="D53" t="inlineStr">
        <is>
          <t>Price positioning: BasePrice 346417 kr incl. VAT/fees for the GT Line trim itself (official Kia configurator/dealer quote), for 453km WLTP range - the second-best range of the five at the lowest trim price, with the richest standard equipment list gathered in this dataset. ConfiguredPrice (423340 kr) reflects this buyer's personal options (4-seat conversion, winter wheels) and is not representative of the trim's own value.</t>
        </is>
      </c>
      <c r="E53" t="inlineStr">
        <is>
          <t>SRC_KIA_NETTBUTIKK_EV2</t>
        </is>
      </c>
      <c r="F53" t="inlineStr">
        <is>
          <t>MEDIUM</t>
        </is>
      </c>
    </row>
  </sheetData>
  <autoFilter ref="A1:H1"/>
  <dataValidations count="1">
    <dataValidation sqref="F2:F1048576" showDropDown="0" showInputMessage="0" showErrorMessage="1" allowBlank="1" type="list">
      <formula1>Enum_Confidence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26"/>
  <sheetViews>
    <sheetView showGridLines="1" workbookViewId="0">
      <pane ySplit="1" topLeftCell="A2" activePane="bottomLeft" state="frozen"/>
      <selection pane="bottomLeft" activeCell="A2" sqref="A2"/>
    </sheetView>
  </sheetViews>
  <sheetFormatPr baseColWidth="8" defaultRowHeight="15"/>
  <cols>
    <col width="20" customWidth="1" min="1" max="1"/>
    <col width="24" customWidth="1" min="2" max="2"/>
    <col width="42" customWidth="1" min="3" max="3"/>
    <col width="28" customWidth="1" min="4" max="4"/>
    <col width="60" customWidth="1" min="5" max="5"/>
    <col width="18" customWidth="1" min="6" max="6"/>
    <col width="18" customWidth="1" min="7" max="7"/>
    <col width="60" customWidth="1" min="8" max="8"/>
  </cols>
  <sheetData>
    <row r="1" ht="22" customHeight="1">
      <c r="A1" s="1" t="inlineStr">
        <is>
          <t>SourceID</t>
        </is>
      </c>
      <c r="B1" s="1" t="inlineStr">
        <is>
          <t>Type</t>
        </is>
      </c>
      <c r="C1" s="1" t="inlineStr">
        <is>
          <t>Title</t>
        </is>
      </c>
      <c r="D1" s="1" t="inlineStr">
        <is>
          <t>Publisher</t>
        </is>
      </c>
      <c r="E1" s="1" t="inlineStr">
        <is>
          <t>URL</t>
        </is>
      </c>
      <c r="F1" s="1" t="inlineStr">
        <is>
          <t>PublishedDate</t>
        </is>
      </c>
      <c r="G1" s="1" t="inlineStr">
        <is>
          <t>RetrievedDate</t>
        </is>
      </c>
      <c r="H1" s="1" t="inlineStr">
        <is>
          <t>Notes</t>
        </is>
      </c>
    </row>
    <row r="2">
      <c r="A2" t="inlineStr">
        <is>
          <t>SRC_TESLA_NO_MODEL3_CONFIGURATOR</t>
        </is>
      </c>
      <c r="B2" t="inlineStr">
        <is>
          <t>MANUFACTURER</t>
        </is>
      </c>
      <c r="C2" t="inlineStr">
        <is>
          <t>Model 3 – Sportslig elektrisk sedan</t>
        </is>
      </c>
      <c r="D2" t="inlineStr">
        <is>
          <t>Tesla</t>
        </is>
      </c>
      <c r="E2" t="inlineStr">
        <is>
          <t>https://www.tesla.com/no_no/model3</t>
        </is>
      </c>
      <c r="G2" t="inlineStr">
        <is>
          <t>2026-07-06</t>
        </is>
      </c>
      <c r="H2" t="inlineStr">
        <is>
          <t>Official Tesla Norway configurator/specification page. Technical values retrieved by switching between the Model 3 (RWD), Premium (Long Range AWD / Long Range RWD) and Performance trim tabs on the live page.</t>
        </is>
      </c>
    </row>
    <row r="3">
      <c r="A3" t="inlineStr">
        <is>
          <t>SRC_MOTORNO_MODEL3_2024</t>
        </is>
      </c>
      <c r="B3" t="inlineStr">
        <is>
          <t>PROFESSIONAL_REVIEW</t>
        </is>
      </c>
      <c r="C3" t="inlineStr">
        <is>
          <t>Motor har testet nye Tesla Model 3</t>
        </is>
      </c>
      <c r="D3" t="inlineStr">
        <is>
          <t>Motor.no</t>
        </is>
      </c>
      <c r="E3" t="inlineStr">
        <is>
          <t>https://www.motor.no/bil/motor-har-testet-nye-tesla-model-3/262378</t>
        </is>
      </c>
      <c r="G3" t="inlineStr">
        <is>
          <t>2026-07-06</t>
        </is>
      </c>
      <c r="H3" t="inlineStr">
        <is>
          <t>Test av Tesla Model 3 Long Range firehjulsdrift (AWD). Dekker kupestoy, komfort, styring og sikt.</t>
        </is>
      </c>
    </row>
    <row r="4">
      <c r="A4" t="inlineStr">
        <is>
          <t>SRC_CARSCOM_MODEL3_2024</t>
        </is>
      </c>
      <c r="B4" t="inlineStr">
        <is>
          <t>PROFESSIONAL_REVIEW</t>
        </is>
      </c>
      <c r="C4" t="inlineStr">
        <is>
          <t>2024 Tesla Model 3 Review: My, How You've Improved</t>
        </is>
      </c>
      <c r="D4" t="inlineStr">
        <is>
          <t>Cars.com</t>
        </is>
      </c>
      <c r="E4" t="inlineStr">
        <is>
          <t>https://www.cars.com/articles/2024-tesla-model-3-review-my-how-youve-improved-483077/</t>
        </is>
      </c>
      <c r="F4" t="inlineStr">
        <is>
          <t>2024</t>
        </is>
      </c>
      <c r="G4" t="inlineStr">
        <is>
          <t>2026-07-06</t>
        </is>
      </c>
      <c r="H4" t="inlineStr">
        <is>
          <t>Test av Tesla Model 3 Long Range. Dekker NVH/stoydemping, fjaering og infotainment-betjening.</t>
        </is>
      </c>
    </row>
    <row r="5">
      <c r="A5" t="inlineStr">
        <is>
          <t>SRC_MACRUMORS_CARPLAY_2025</t>
        </is>
      </c>
      <c r="B5" t="inlineStr">
        <is>
          <t>PROFESSIONAL_REVIEW</t>
        </is>
      </c>
      <c r="C5" t="inlineStr">
        <is>
          <t>Heres When Tesla is Expected to Add Support for Apple CarPlay</t>
        </is>
      </c>
      <c r="D5" t="inlineStr">
        <is>
          <t>MacRumors</t>
        </is>
      </c>
      <c r="E5" t="inlineStr">
        <is>
          <t>https://www.macrumors.com/2025/11/16/tesla-carplay-support-in-coming-months/</t>
        </is>
      </c>
      <c r="F5" t="inlineStr">
        <is>
          <t>2025-11-16</t>
        </is>
      </c>
      <c r="G5" t="inlineStr">
        <is>
          <t>2026-07-06</t>
        </is>
      </c>
      <c r="H5" t="inlineStr">
        <is>
          <t>Rapporterer status og planer for Apple CarPlay-stotte pa Tesla-kjoretoy, inkludert Model 3.</t>
        </is>
      </c>
    </row>
    <row r="6">
      <c r="A6" t="inlineStr">
        <is>
          <t>SRC_RENAULT_NO_R4_PAGE</t>
        </is>
      </c>
      <c r="B6" t="inlineStr">
        <is>
          <t>MANUFACTURER</t>
        </is>
      </c>
      <c r="C6" t="inlineStr">
        <is>
          <t>Renault 4 E-Tech electric | Renault.no</t>
        </is>
      </c>
      <c r="D6" t="inlineStr">
        <is>
          <t>Renault (RN Nordic AB NUF)</t>
        </is>
      </c>
      <c r="E6" t="inlineStr">
        <is>
          <t>https://www.renault.no/personbil/renault-4-e-tech-electric</t>
        </is>
      </c>
      <c r="G6" t="inlineStr">
        <is>
          <t>2026-07-06</t>
        </is>
      </c>
      <c r="H6" t="inlineStr">
        <is>
          <t>Official Renault Norway product page. Dimensions, boot volume (evolution default view), ground clearance, driver-assistance feature list, CarPlay/Android Auto support.</t>
        </is>
      </c>
    </row>
    <row r="7">
      <c r="A7" t="inlineStr">
        <is>
          <t>SRC_RENAULT_NO_R4_PRICELIST</t>
        </is>
      </c>
      <c r="B7" t="inlineStr">
        <is>
          <t>MANUFACTURER</t>
        </is>
      </c>
      <c r="C7" t="inlineStr">
        <is>
          <t>Prisliste Renault 4 E-Tech Electric (Versjon 2, 01-06-2026)</t>
        </is>
      </c>
      <c r="D7" t="inlineStr">
        <is>
          <t>Renault (RN Nordic AB NUF)</t>
        </is>
      </c>
      <c r="E7" t="inlineStr">
        <is>
          <t>https://rn-nordic-prod.objects.frb.io/Cars/Personbil/Renault-4-E-Tech-electric/PDF/Prisliste-Renault-4-Plein-Sud-01.06.26-2.pdf</t>
        </is>
      </c>
      <c r="F7" t="inlineStr">
        <is>
          <t>2026-06-01</t>
        </is>
      </c>
      <c r="G7" t="inlineStr">
        <is>
          <t>2026-07-06</t>
        </is>
      </c>
      <c r="H7" t="inlineStr">
        <is>
          <t>Official Norwegian price list PDF. Per-trim WLTP range, consumption, motor power, torque, DC/AC charging, kerb weight, payload, pricing, and full equipment/feature comparison including adaptive cruise control availability by trim.</t>
        </is>
      </c>
    </row>
    <row r="8">
      <c r="A8" t="inlineStr">
        <is>
          <t>SRC_MOTORNO_R4_2025</t>
        </is>
      </c>
      <c r="B8" t="inlineStr">
        <is>
          <t>PROFESSIONAL_REVIEW</t>
        </is>
      </c>
      <c r="C8" t="inlineStr">
        <is>
          <t>Motor har prøvekjørt Renault 4 E-Tech</t>
        </is>
      </c>
      <c r="D8" t="inlineStr">
        <is>
          <t>Motor.no</t>
        </is>
      </c>
      <c r="E8" t="inlineStr">
        <is>
          <t>https://www.motor.no/bil/motor-har-provekjort-renault-4-e-tech/316619</t>
        </is>
      </c>
      <c r="G8" t="inlineStr">
        <is>
          <t>2026-07-06</t>
        </is>
      </c>
      <c r="H8" t="inlineStr">
        <is>
          <t>Test av Renault 4 E-Tech 150 Comfort Range (52 kWh, 150 hk). Dekker fjaering/komfort, sikt og infotainment.</t>
        </is>
      </c>
    </row>
    <row r="9">
      <c r="A9" t="inlineStr">
        <is>
          <t>SRC_RAC_R4_2026</t>
        </is>
      </c>
      <c r="B9" t="inlineStr">
        <is>
          <t>PROFESSIONAL_REVIEW</t>
        </is>
      </c>
      <c r="C9" t="inlineStr">
        <is>
          <t>Renault 4 E-Tech Review 2026: Prices, specs and verdict</t>
        </is>
      </c>
      <c r="D9" t="inlineStr">
        <is>
          <t>RAC Drive</t>
        </is>
      </c>
      <c r="E9" t="inlineStr">
        <is>
          <t>https://www.rac.co.uk/drive/car-reviews/renault/4-e-tech/4-e-tech/</t>
        </is>
      </c>
      <c r="G9" t="inlineStr">
        <is>
          <t>2026-07-06</t>
        </is>
      </c>
      <c r="H9" t="inlineStr">
        <is>
          <t>UK professional review. Covers steering, cabin/road noise, ride comfort, and confirms Apple CarPlay/Android Auto support on all models.</t>
        </is>
      </c>
    </row>
    <row r="10">
      <c r="A10" t="inlineStr">
        <is>
          <t>SRC_SKODA_NO_ELROQ_PAGE</t>
        </is>
      </c>
      <c r="B10" t="inlineStr">
        <is>
          <t>MANUFACTURER</t>
        </is>
      </c>
      <c r="C10" t="inlineStr">
        <is>
          <t>Škoda Elroq | Ny kompakt el-SUV med god plass</t>
        </is>
      </c>
      <c r="D10" t="inlineStr">
        <is>
          <t>Škoda (Harald A. Møller AS)</t>
        </is>
      </c>
      <c r="E10" t="inlineStr">
        <is>
          <t>https://www.skoda-auto.no/modeller/elroq/elroq</t>
        </is>
      </c>
      <c r="G10" t="inlineStr">
        <is>
          <t>2026-07-06</t>
        </is>
      </c>
      <c r="H10" t="inlineStr">
        <is>
          <t>Official Skoda Norway product page. General range/boot/pricing highlights and feature descriptions.</t>
        </is>
      </c>
    </row>
    <row r="11">
      <c r="A11" t="inlineStr">
        <is>
          <t>SRC_SKODA_NO_ELROQ_PRICELIST</t>
        </is>
      </c>
      <c r="B11" t="inlineStr">
        <is>
          <t>MANUFACTURER</t>
        </is>
      </c>
      <c r="C11" t="inlineStr">
        <is>
          <t>Prisliste Škoda Elroq 2027-modell</t>
        </is>
      </c>
      <c r="D11" t="inlineStr">
        <is>
          <t>Škoda (Harald A. Møller AS)</t>
        </is>
      </c>
      <c r="E11" t="inlineStr">
        <is>
          <t>https://www.skoda-auto.no/_doc/293e338b-26f2-4601-9123-356e20a88ca5</t>
        </is>
      </c>
      <c r="F11" t="inlineStr">
        <is>
          <t>2026-06-29</t>
        </is>
      </c>
      <c r="G11" t="inlineStr">
        <is>
          <t>2026-07-06</t>
        </is>
      </c>
      <c r="H11" t="inlineStr">
        <is>
          <t>Official Norwegian price list, 2027 model year, dated 29.06.2026. Per-trim range, consumption, system power, DC charge time, pricing, and full equipment comparison including adaptive cruise control and rearview camera standard on all trims.</t>
        </is>
      </c>
    </row>
    <row r="12">
      <c r="A12" t="inlineStr">
        <is>
          <t>SRC_SKODA_GLOBAL_TECHDATA</t>
        </is>
      </c>
      <c r="B12" t="inlineStr">
        <is>
          <t>MANUFACTURER</t>
        </is>
      </c>
      <c r="C12" t="inlineStr">
        <is>
          <t>Elroq Technical specifications (Skoda Storyboard)</t>
        </is>
      </c>
      <c r="D12" t="inlineStr">
        <is>
          <t>Škoda Auto a.s.</t>
        </is>
      </c>
      <c r="E12" t="inlineStr">
        <is>
          <t>https://cdn.skoda-storyboard.com/2025/04/Skoda_Elroq_Technical_data_28ca6795.pdf</t>
        </is>
      </c>
      <c r="F12" t="inlineStr">
        <is>
          <t>2025-05-05</t>
        </is>
      </c>
      <c r="G12" t="inlineStr">
        <is>
          <t>2026-07-06</t>
        </is>
      </c>
      <c r="H12" t="inlineStr">
        <is>
          <t>Official global technical data sheet (5.5.2025 revision). Used only for physical dimensions (length, width, height, wheelbase, ground clearance, boot volume) not covered by the Norway 2027 price list. Note: this sheet predates the Norway 2027-model price list by roughly a model year; power/battery/range figures in this sheet do not match the Norway 2027 price list exactly (e.g. Elroq 60: 150kW/59kWh global vs 140kW/58kWh NO 2027) - a documented cross-source discrepancy, likely a running spec revision between model years. Norway price list figures are used for all range/power/battery/charging facts; this sheet is used only for dimensions.</t>
        </is>
      </c>
    </row>
    <row r="13">
      <c r="A13" t="inlineStr">
        <is>
          <t>SRC_MOTORNO_ELROQ_2025</t>
        </is>
      </c>
      <c r="B13" t="inlineStr">
        <is>
          <t>PROFESSIONAL_REVIEW</t>
        </is>
      </c>
      <c r="C13" t="inlineStr">
        <is>
          <t>Motor har testet Skoda Elroq</t>
        </is>
      </c>
      <c r="D13" t="inlineStr">
        <is>
          <t>Motor.no</t>
        </is>
      </c>
      <c r="E13" t="inlineStr">
        <is>
          <t>https://www.motor.no/bil/motor-har-testet-skoda-elroq/316871</t>
        </is>
      </c>
      <c r="G13" t="inlineStr">
        <is>
          <t>2026-07-06</t>
        </is>
      </c>
      <c r="H13" t="inlineStr">
        <is>
          <t>Test av Skoda Elroq 60 med Motor-pakke. Dekker kupestoy (hjulstoy), fjaering, og betjening/infotainment.</t>
        </is>
      </c>
    </row>
    <row r="14">
      <c r="A14" t="inlineStr">
        <is>
          <t>SRC_WHATCAR_ELROQ_2026</t>
        </is>
      </c>
      <c r="B14" t="inlineStr">
        <is>
          <t>PROFESSIONAL_REVIEW</t>
        </is>
      </c>
      <c r="C14" t="inlineStr">
        <is>
          <t>Skoda Elroq Review 2026, Price &amp; Specs</t>
        </is>
      </c>
      <c r="D14" t="inlineStr">
        <is>
          <t>What Car?</t>
        </is>
      </c>
      <c r="E14" t="inlineStr">
        <is>
          <t>https://www.whatcar.com/skoda/elroq/estate/review/n27301</t>
        </is>
      </c>
      <c r="G14" t="inlineStr">
        <is>
          <t>2026-07-06</t>
        </is>
      </c>
      <c r="H14" t="inlineStr">
        <is>
          <t>UK professional review. Covers CarPlay/infotainment, steering, ride comfort and cabin noise.</t>
        </is>
      </c>
    </row>
    <row r="15">
      <c r="A15" t="inlineStr">
        <is>
          <t>SRC_RAC_ELROQ_2026</t>
        </is>
      </c>
      <c r="B15" t="inlineStr">
        <is>
          <t>PROFESSIONAL_REVIEW</t>
        </is>
      </c>
      <c r="C15" t="inlineStr">
        <is>
          <t>Skoda Elroq Review 2026: Prices, specs and verdict</t>
        </is>
      </c>
      <c r="D15" t="inlineStr">
        <is>
          <t>RAC Drive</t>
        </is>
      </c>
      <c r="E15" t="inlineStr">
        <is>
          <t>https://www.rac.co.uk/drive/car-reviews/skoda/elroq/elroq/</t>
        </is>
      </c>
      <c r="G15" t="inlineStr">
        <is>
          <t>2026-07-06</t>
        </is>
      </c>
      <c r="H15" t="inlineStr">
        <is>
          <t>UK professional review. Covers outward visibility and driving position.</t>
        </is>
      </c>
    </row>
    <row r="16">
      <c r="A16" t="inlineStr">
        <is>
          <t>SRC_VOLVO_NO_EX30_SPECS</t>
        </is>
      </c>
      <c r="B16" t="inlineStr">
        <is>
          <t>MANUFACTURER</t>
        </is>
      </c>
      <c r="C16" t="inlineStr">
        <is>
          <t>Volvo EX30 helelektrisk SUV | Spesifikasjoner</t>
        </is>
      </c>
      <c r="D16" t="inlineStr">
        <is>
          <t>Volvo Car Norway AS</t>
        </is>
      </c>
      <c r="E16" t="inlineStr">
        <is>
          <t>https://www.volvocars.com/no/cars/ex30-electric/specifications/</t>
        </is>
      </c>
      <c r="G16" t="inlineStr">
        <is>
          <t>2026-07-06</t>
        </is>
      </c>
      <c r="H16" t="inlineStr">
        <is>
          <t>Official Volvo Norway specifications page. Per-configuration (P5, P5 Long Range, P8 AWD) power, torque, range, consumption, battery, charging, weights, plus full vehicle dimensions.</t>
        </is>
      </c>
    </row>
    <row r="17">
      <c r="A17" t="inlineStr">
        <is>
          <t>SRC_MOTORNO_EX30_2024</t>
        </is>
      </c>
      <c r="B17" t="inlineStr">
        <is>
          <t>PROFESSIONAL_REVIEW</t>
        </is>
      </c>
      <c r="C17" t="inlineStr">
        <is>
          <t>Motor har testet Volvo EX30</t>
        </is>
      </c>
      <c r="D17" t="inlineStr">
        <is>
          <t>Motor.no</t>
        </is>
      </c>
      <c r="E17" t="inlineStr">
        <is>
          <t>https://www.motor.no/bil/motor-har-testet-volvo-ex30/267416</t>
        </is>
      </c>
      <c r="G17" t="inlineStr">
        <is>
          <t>2026-07-06</t>
        </is>
      </c>
      <c r="H17" t="inlineStr">
        <is>
          <t>Test av Volvo EX30 P8 AWD (64 kWh, 428 hk). Dekker kupestoy, fjaering, rattbetjening, infotainment, og forerassistenter pa norske vinterveier.</t>
        </is>
      </c>
    </row>
    <row r="18">
      <c r="A18" t="inlineStr">
        <is>
          <t>SRC_WHATCAR_EX30_2026</t>
        </is>
      </c>
      <c r="B18" t="inlineStr">
        <is>
          <t>PROFESSIONAL_REVIEW</t>
        </is>
      </c>
      <c r="C18" t="inlineStr">
        <is>
          <t>Volvo EX30 Review 2026, Price &amp; Specs</t>
        </is>
      </c>
      <c r="D18" t="inlineStr">
        <is>
          <t>What Car?</t>
        </is>
      </c>
      <c r="E18" t="inlineStr">
        <is>
          <t>https://www.whatcar.com/volvo/ex30/estate/review/n26262</t>
        </is>
      </c>
      <c r="G18" t="inlineStr">
        <is>
          <t>2026-07-06</t>
        </is>
      </c>
      <c r="H18" t="inlineStr">
        <is>
          <t>UK professional review. Covers CarPlay, steering, ride comfort, cabin noise, and outward visibility.</t>
        </is>
      </c>
    </row>
    <row r="19">
      <c r="A19" t="inlineStr">
        <is>
          <t>SRC_BOS_KIA_EV2_QUOTE</t>
        </is>
      </c>
      <c r="B19" t="inlineStr">
        <is>
          <t>MANUFACTURER</t>
        </is>
      </c>
      <c r="C19" t="inlineStr">
        <is>
          <t>Tilbud: Kia EV2 FWD Long Range GT Line</t>
        </is>
      </c>
      <c r="D19" t="inlineStr">
        <is>
          <t>Bertel O. Steen Lorenskog (authorized Kia dealer)</t>
        </is>
      </c>
      <c r="F19" t="inlineStr">
        <is>
          <t>2026-07-06</t>
        </is>
      </c>
      <c r="G19" t="inlineStr">
        <is>
          <t>2026-07-06</t>
        </is>
      </c>
      <c r="H19" t="inlineStr">
        <is>
          <t>Official dealer sales quote (PDF), valid to 2026-07-12. Covers configuration, trim/equipment list, and full pricing breakdown for the specific GT Line configuration. No battery/range/charging/dimension figures included. Customer contact details in the source document deliberately excluded from this citation.</t>
        </is>
      </c>
    </row>
    <row r="20">
      <c r="A20" t="inlineStr">
        <is>
          <t>SRC_KIA_NETTBUTIKK_EV2</t>
        </is>
      </c>
      <c r="B20" t="inlineStr">
        <is>
          <t>MANUFACTURER</t>
        </is>
      </c>
      <c r="C20" t="inlineStr">
        <is>
          <t>EV2 FWD Long Range GT Line - Oppsummering (Kia nettbutikk)</t>
        </is>
      </c>
      <c r="D20" t="inlineStr">
        <is>
          <t>Kia Norge</t>
        </is>
      </c>
      <c r="E20" t="inlineStr">
        <is>
          <t>https://nettbutikk.kia.no/ev2/oppsummering</t>
        </is>
      </c>
      <c r="G20" t="inlineStr">
        <is>
          <t>2026-07-06</t>
        </is>
      </c>
      <c r="H20" t="inlineStr">
        <is>
          <t>Official Kia Norway configurator, saved configuration code A2231F29 (verified directly by fetching the live page 2026-07-06 - matches text supplied by user exactly). Technical data section contains confirmed unit-label errors on Kia's own page template: "Bagasjerom"/"Frunk" labeled kg (should be L, volume), "Forbruk" labeled kWh/km (should be kWh/100km - confirmed by cross-check: 62kWh battery / 15.2kWh-per-100km implies ~408km range, consistent with the stated 453km WLTP figure; taken literally as kWh/km the range would be ~4km, which is physically absurd), "Batterikapasitet" labeled kW (should be kWh, energy not power - same cross-check applies). Numeric values are trusted (official source, tied to a specific saved configuration); unit labels corrected based on physical plausibility and internal arithmetic consistency, not assumed.</t>
        </is>
      </c>
    </row>
    <row r="21">
      <c r="A21" t="inlineStr">
        <is>
          <t>SRC_MOTORNO_EV2_2026</t>
        </is>
      </c>
      <c r="B21" t="inlineStr">
        <is>
          <t>PROFESSIONAL_REVIEW</t>
        </is>
      </c>
      <c r="C21" t="inlineStr">
        <is>
          <t>Prøvekjørt: Kia EV2, nå begynner smått å bli virkelig godt</t>
        </is>
      </c>
      <c r="D21" t="inlineStr">
        <is>
          <t>Motor.no</t>
        </is>
      </c>
      <c r="E21" t="inlineStr">
        <is>
          <t>https://www.motor.no/aktuelt/provekjort-kia-ev2-na-begynner-smatt-a-bli-virkelig-godt/350785</t>
        </is>
      </c>
      <c r="G21" t="inlineStr">
        <is>
          <t>2026-07-06</t>
        </is>
      </c>
      <c r="H21" t="inlineStr">
        <is>
          <t>Test av Kia EV2 Standard Range (42.2 kWh, 147 hk), testet i Lisboa. Dekker fjaering/komfort og sikt.</t>
        </is>
      </c>
    </row>
    <row r="22">
      <c r="A22" t="inlineStr">
        <is>
          <t>SRC_WHATCAR_EV2_2026</t>
        </is>
      </c>
      <c r="B22" t="inlineStr">
        <is>
          <t>PROFESSIONAL_REVIEW</t>
        </is>
      </c>
      <c r="C22" t="inlineStr">
        <is>
          <t>Kia EV2 Review 2026, Price &amp; Specs</t>
        </is>
      </c>
      <c r="D22" t="inlineStr">
        <is>
          <t>What Car?</t>
        </is>
      </c>
      <c r="E22" t="inlineStr">
        <is>
          <t>https://www.whatcar.com/kia/ev2/hatchback/review/n28833</t>
        </is>
      </c>
      <c r="G22" t="inlineStr">
        <is>
          <t>2026-07-06</t>
        </is>
      </c>
      <c r="H22" t="inlineStr">
        <is>
          <t>UK professional review. Covers CarPlay, steering, ride comfort, cabin noise and outward visibility.</t>
        </is>
      </c>
    </row>
    <row r="23">
      <c r="A23" t="inlineStr">
        <is>
          <t>SRC_RAC_EV2_2026</t>
        </is>
      </c>
      <c r="B23" t="inlineStr">
        <is>
          <t>PROFESSIONAL_REVIEW</t>
        </is>
      </c>
      <c r="C23" t="inlineStr">
        <is>
          <t>Kia EV2 Review 2026: Prices, specs and verdict</t>
        </is>
      </c>
      <c r="D23" t="inlineStr">
        <is>
          <t>RAC Drive</t>
        </is>
      </c>
      <c r="E23" t="inlineStr">
        <is>
          <t>https://www.rac.co.uk/drive/car-reviews/kia/ev2/ev2/</t>
        </is>
      </c>
      <c r="G23" t="inlineStr">
        <is>
          <t>2026-07-06</t>
        </is>
      </c>
      <c r="H23" t="inlineStr">
        <is>
          <t>UK professional review. Covers infotainment/touchscreen quality.</t>
        </is>
      </c>
    </row>
    <row r="24">
      <c r="A24" t="inlineStr">
        <is>
          <t>SRC_ELBIL_VOLVO_EX30_WINTER</t>
        </is>
      </c>
      <c r="B24" t="inlineStr">
        <is>
          <t>PROFESSIONAL_REVIEW</t>
        </is>
      </c>
      <c r="C24" t="inlineStr">
        <is>
          <t>Vintertest av Volvo EX30: Denne bilen forteller deg om batterihelsen sin</t>
        </is>
      </c>
      <c r="D24" t="inlineStr">
        <is>
          <t>Norsk elbilforening (elbil.no)</t>
        </is>
      </c>
      <c r="E24" t="inlineStr">
        <is>
          <t>https://elbil.no/vinter-test-av-volvo-ex30-denne-bilen-forteller-deg-om-batterihelsen-sin/</t>
        </is>
      </c>
      <c r="F24" t="inlineStr">
        <is>
          <t>2025-02-26</t>
        </is>
      </c>
      <c r="G24" t="inlineStr">
        <is>
          <t>2026-07-06</t>
        </is>
      </c>
      <c r="H24" t="inlineStr">
        <is>
          <t>Independent winter test (Tier A: independent winter testing). Tested Twin Performance (dual-motor AWD Ultra) - matches VOLVO_EX30_P8_AWD powertrain. Estimated ~75% of WLTP range retained under real winter conditions (down to approx. -20C) after accounting for a mid-route fast-charge stop.</t>
        </is>
      </c>
    </row>
    <row r="25">
      <c r="A25" t="inlineStr">
        <is>
          <t>SRC_ELBIL_RENAULT4_TEST</t>
        </is>
      </c>
      <c r="B25" t="inlineStr">
        <is>
          <t>PROFESSIONAL_REVIEW</t>
        </is>
      </c>
      <c r="C25" t="inlineStr">
        <is>
          <t>Test av Renault 4: Billig sjarmklump som fort blir dyr</t>
        </is>
      </c>
      <c r="D25" t="inlineStr">
        <is>
          <t>Norsk elbilforening (elbil.no)</t>
        </is>
      </c>
      <c r="E25" t="inlineStr">
        <is>
          <t>https://elbil.no/test-av-renault-4/</t>
        </is>
      </c>
      <c r="F25" t="inlineStr">
        <is>
          <t>2025-11-05</t>
        </is>
      </c>
      <c r="G25" t="inlineStr">
        <is>
          <t>2026-07-06</t>
        </is>
      </c>
      <c r="H25" t="inlineStr">
        <is>
          <t>General road test, not a dedicated winter cold-chamber test. Tested Iconic trim (52kWh, same powertrain as Techno, different equipment level) at highway consumption of 1.81 kWh/mil (18.1 kWh/100km) at constant 100km/h in 5-7C conditions - not extreme winter cold. Measured range at this consumption: 287km. Used as a cautious proxy only, explicitly flagged as trim- and condition-mismatched to the Techno configuration and to true deep-winter conditions.</t>
        </is>
      </c>
    </row>
    <row r="26">
      <c r="A26" t="inlineStr">
        <is>
          <t>SRC_TESLA_NO_MODEL3_DESIGN</t>
        </is>
      </c>
      <c r="B26" t="inlineStr">
        <is>
          <t>MANUFACTURER</t>
        </is>
      </c>
      <c r="C26" t="inlineStr">
        <is>
          <t>Design din Model 3 | Tesla</t>
        </is>
      </c>
      <c r="D26" t="inlineStr">
        <is>
          <t>Tesla</t>
        </is>
      </c>
      <c r="E26" t="inlineStr">
        <is>
          <t>https://www.tesla.com/no_no/model3/design</t>
        </is>
      </c>
      <c r="G26" t="inlineStr">
        <is>
          <t>2026-07-06</t>
        </is>
      </c>
      <c r="H26" t="inlineStr">
        <is>
          <t>Official Tesla Norway configurator. Verified total price for Long Range bakhjulsdrift (Long Range RWD) with no optional extras selected: 369990 kr excl. VAT/fees, 400539 kr incl. VAT and fees.</t>
        </is>
      </c>
    </row>
  </sheetData>
  <autoFilter ref="A1:H1"/>
  <dataValidations count="1">
    <dataValidation sqref="B2:B1048576" showDropDown="0" showInputMessage="0" showErrorMessage="1" allowBlank="1" type="list">
      <formula1>Enum_SourceType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41"/>
  <sheetViews>
    <sheetView showGridLines="1" workbookViewId="0">
      <pane ySplit="1" topLeftCell="A2" activePane="bottomLeft" state="frozen"/>
      <selection pane="bottomLeft" activeCell="A2" sqref="A2"/>
    </sheetView>
  </sheetViews>
  <sheetFormatPr baseColWidth="8" defaultRowHeight="15"/>
  <cols>
    <col width="20" customWidth="1" min="1" max="1"/>
    <col width="24" customWidth="1" min="2" max="2"/>
    <col width="20" customWidth="1" min="3" max="3"/>
    <col width="20" customWidth="1" min="4" max="4"/>
    <col width="20" customWidth="1" min="5" max="5"/>
    <col width="14" customWidth="1" min="6" max="6"/>
    <col width="18" customWidth="1" min="7" max="7"/>
    <col width="72" customWidth="1" min="8" max="8"/>
  </cols>
  <sheetData>
    <row r="1" ht="22" customHeight="1">
      <c r="A1" s="1" t="inlineStr">
        <is>
          <t>ScoreID</t>
        </is>
      </c>
      <c r="B1" s="1" t="inlineStr">
        <is>
          <t>ConfigurationID</t>
        </is>
      </c>
      <c r="C1" s="1" t="inlineStr">
        <is>
          <t>CriterionID</t>
        </is>
      </c>
      <c r="D1" s="1" t="inlineStr">
        <is>
          <t>ReviewID</t>
        </is>
      </c>
      <c r="E1" s="1" t="inlineStr">
        <is>
          <t>FrameworkVersion</t>
        </is>
      </c>
      <c r="F1" s="1" t="inlineStr">
        <is>
          <t>RawScore</t>
        </is>
      </c>
      <c r="G1" s="1" t="inlineStr">
        <is>
          <t>WeightedScore</t>
        </is>
      </c>
      <c r="H1" s="1" t="inlineStr">
        <is>
          <t>Explanation</t>
        </is>
      </c>
    </row>
    <row r="2">
      <c r="A2" t="inlineStr">
        <is>
          <t>SCORE_000001</t>
        </is>
      </c>
      <c r="B2" t="inlineStr">
        <is>
          <t>TESLA_MODEL_3_LONG_RANGE_RWD</t>
        </is>
      </c>
      <c r="C2" t="inlineStr">
        <is>
          <t>W001</t>
        </is>
      </c>
      <c r="D2" t="inlineStr">
        <is>
          <t>REV_000001</t>
        </is>
      </c>
      <c r="E2" t="inlineStr">
        <is>
          <t>1.4</t>
        </is>
      </c>
      <c r="F2">
        <f>ROUND(INDEX('07_Reviews'!$E:$E,MATCH(D2,'07_Reviews'!$A:$A,0))/5*100,2)</f>
        <v/>
      </c>
      <c r="G2">
        <f>ROUND(F2*INDEX('01_Criteria'!$F:$F,MATCH(C2,'01_Criteria'!$A:$A,0))/100,2)</f>
        <v/>
      </c>
      <c r="H2" t="inlineStr">
        <is>
          <t>Review score 4/5 (normalized RawScore = 80.0/100 on a documented 1-5 scale, since the framework does not prescribe a numeric scale). WeightedScore = RawScore x Weight(8)/100 = 6.4. Traceable to REV_000001 -&gt; supporting Evidence -&gt; cited Source.</t>
        </is>
      </c>
    </row>
    <row r="3">
      <c r="A3" t="inlineStr">
        <is>
          <t>SCORE_000002</t>
        </is>
      </c>
      <c r="B3" t="inlineStr">
        <is>
          <t>TESLA_MODEL_3_LONG_RANGE_RWD</t>
        </is>
      </c>
      <c r="C3" t="inlineStr">
        <is>
          <t>W002</t>
        </is>
      </c>
      <c r="D3" t="inlineStr">
        <is>
          <t>REV_000002</t>
        </is>
      </c>
      <c r="E3" t="inlineStr">
        <is>
          <t>1.4</t>
        </is>
      </c>
      <c r="F3">
        <f>ROUND(INDEX('07_Reviews'!$E:$E,MATCH(D3,'07_Reviews'!$A:$A,0))/5*100,2)</f>
        <v/>
      </c>
      <c r="G3">
        <f>ROUND(F3*INDEX('01_Criteria'!$F:$F,MATCH(C3,'01_Criteria'!$A:$A,0))/100,2)</f>
        <v/>
      </c>
      <c r="H3" t="inlineStr">
        <is>
          <t>Review score 4/5 (normalized RawScore = 80.0/100 on a documented 1-5 scale, since the framework does not prescribe a numeric scale). WeightedScore = RawScore x Weight(7)/100 = 5.6. Traceable to REV_000002 -&gt; supporting Evidence -&gt; cited Source.</t>
        </is>
      </c>
    </row>
    <row r="4">
      <c r="A4" t="inlineStr">
        <is>
          <t>SCORE_000003</t>
        </is>
      </c>
      <c r="B4" t="inlineStr">
        <is>
          <t>TESLA_MODEL_3_LONG_RANGE_RWD</t>
        </is>
      </c>
      <c r="C4" t="inlineStr">
        <is>
          <t>W003</t>
        </is>
      </c>
      <c r="D4" t="inlineStr">
        <is>
          <t>REV_000003</t>
        </is>
      </c>
      <c r="E4" t="inlineStr">
        <is>
          <t>1.4</t>
        </is>
      </c>
      <c r="F4">
        <f>ROUND(INDEX('07_Reviews'!$E:$E,MATCH(D4,'07_Reviews'!$A:$A,0))/5*100,2)</f>
        <v/>
      </c>
      <c r="G4">
        <f>ROUND(F4*INDEX('01_Criteria'!$F:$F,MATCH(C4,'01_Criteria'!$A:$A,0))/100,2)</f>
        <v/>
      </c>
      <c r="H4" t="inlineStr">
        <is>
          <t>Review score 3/5 (normalized RawScore = 60.0/100 on a documented 1-5 scale, since the framework does not prescribe a numeric scale). WeightedScore = RawScore x Weight(5)/100 = 3.0. Traceable to REV_000003 -&gt; supporting Evidence -&gt; cited Source.</t>
        </is>
      </c>
    </row>
    <row r="5">
      <c r="A5" t="inlineStr">
        <is>
          <t>SCORE_000004</t>
        </is>
      </c>
      <c r="B5" t="inlineStr">
        <is>
          <t>TESLA_MODEL_3_LONG_RANGE_RWD</t>
        </is>
      </c>
      <c r="C5" t="inlineStr">
        <is>
          <t>W004</t>
        </is>
      </c>
      <c r="D5" t="inlineStr">
        <is>
          <t>REV_000004</t>
        </is>
      </c>
      <c r="E5" t="inlineStr">
        <is>
          <t>1.4</t>
        </is>
      </c>
      <c r="F5">
        <f>ROUND(INDEX('07_Reviews'!$E:$E,MATCH(D5,'07_Reviews'!$A:$A,0))/5*100,2)</f>
        <v/>
      </c>
      <c r="G5">
        <f>ROUND(F5*INDEX('01_Criteria'!$F:$F,MATCH(C5,'01_Criteria'!$A:$A,0))/100,2)</f>
        <v/>
      </c>
      <c r="H5" t="inlineStr">
        <is>
          <t>Review score 4/5 (normalized RawScore = 80.0/100 on a documented 1-5 scale, since the framework does not prescribe a numeric scale). WeightedScore = RawScore x Weight(5)/100 = 4.0. Traceable to REV_000004 -&gt; supporting Evidence -&gt; cited Source.</t>
        </is>
      </c>
    </row>
    <row r="6">
      <c r="A6" t="inlineStr">
        <is>
          <t>SCORE_000005</t>
        </is>
      </c>
      <c r="B6" t="inlineStr">
        <is>
          <t>TESLA_MODEL_3_LONG_RANGE_RWD</t>
        </is>
      </c>
      <c r="C6" t="inlineStr">
        <is>
          <t>W005</t>
        </is>
      </c>
      <c r="D6" t="inlineStr">
        <is>
          <t>REV_000005</t>
        </is>
      </c>
      <c r="E6" t="inlineStr">
        <is>
          <t>1.4</t>
        </is>
      </c>
      <c r="F6">
        <f>ROUND(INDEX('07_Reviews'!$E:$E,MATCH(D6,'07_Reviews'!$A:$A,0))/5*100,2)</f>
        <v/>
      </c>
      <c r="G6">
        <f>ROUND(F6*INDEX('01_Criteria'!$F:$F,MATCH(C6,'01_Criteria'!$A:$A,0))/100,2)</f>
        <v/>
      </c>
      <c r="H6" t="inlineStr">
        <is>
          <t>Review score 3/5 (normalized RawScore = 60.0/100 on a documented 1-5 scale, since the framework does not prescribe a numeric scale). WeightedScore = RawScore x Weight(7)/100 = 4.2. Traceable to REV_000005 -&gt; supporting Evidence -&gt; cited Source.</t>
        </is>
      </c>
    </row>
    <row r="7">
      <c r="A7" t="inlineStr">
        <is>
          <t>SCORE_000006</t>
        </is>
      </c>
      <c r="B7" t="inlineStr">
        <is>
          <t>TESLA_MODEL_3_LONG_RANGE_RWD</t>
        </is>
      </c>
      <c r="C7" t="inlineStr">
        <is>
          <t>W007</t>
        </is>
      </c>
      <c r="D7" t="inlineStr">
        <is>
          <t>REV_000006</t>
        </is>
      </c>
      <c r="E7" t="inlineStr">
        <is>
          <t>1.4</t>
        </is>
      </c>
      <c r="F7">
        <f>ROUND(INDEX('07_Reviews'!$E:$E,MATCH(D7,'07_Reviews'!$A:$A,0))/5*100,2)</f>
        <v/>
      </c>
      <c r="G7">
        <f>ROUND(F7*INDEX('01_Criteria'!$F:$F,MATCH(C7,'01_Criteria'!$A:$A,0))/100,2)</f>
        <v/>
      </c>
      <c r="H7" t="inlineStr">
        <is>
          <t>Review score 1/5 (normalized RawScore = 20.0/100 on a documented 1-5 scale, since the framework does not prescribe a numeric scale). WeightedScore = RawScore x Weight(3)/100 = 0.6. Traceable to REV_000006 -&gt; supporting Evidence -&gt; cited Source.</t>
        </is>
      </c>
    </row>
    <row r="8">
      <c r="A8" t="inlineStr">
        <is>
          <t>SCORE_000007</t>
        </is>
      </c>
      <c r="B8" t="inlineStr">
        <is>
          <t>TESLA_MODEL_3_LONG_RANGE_RWD</t>
        </is>
      </c>
      <c r="C8" t="inlineStr">
        <is>
          <t>W020</t>
        </is>
      </c>
      <c r="D8" t="inlineStr">
        <is>
          <t>REV_000007</t>
        </is>
      </c>
      <c r="E8" t="inlineStr">
        <is>
          <t>1.4</t>
        </is>
      </c>
      <c r="F8">
        <f>ROUND(INDEX('07_Reviews'!$E:$E,MATCH(D8,'07_Reviews'!$A:$A,0))/5*100,2)</f>
        <v/>
      </c>
      <c r="G8">
        <f>ROUND(F8*INDEX('01_Criteria'!$F:$F,MATCH(C8,'01_Criteria'!$A:$A,0))/100,2)</f>
        <v/>
      </c>
      <c r="H8" t="inlineStr">
        <is>
          <t>Review score 4/5 (normalized RawScore = 80.0/100 on a documented 1-5 scale, since the framework does not prescribe a numeric scale). WeightedScore = RawScore x Weight(2)/100 = 1.6. Traceable to REV_000007 -&gt; supporting Evidence -&gt; cited Source.</t>
        </is>
      </c>
    </row>
    <row r="9">
      <c r="A9" t="inlineStr">
        <is>
          <t>SCORE_000008</t>
        </is>
      </c>
      <c r="B9" t="inlineStr">
        <is>
          <t>RENAULT_4_TECHNO</t>
        </is>
      </c>
      <c r="C9" t="inlineStr">
        <is>
          <t>W001</t>
        </is>
      </c>
      <c r="D9" t="inlineStr">
        <is>
          <t>REV_000008</t>
        </is>
      </c>
      <c r="E9" t="inlineStr">
        <is>
          <t>1.4</t>
        </is>
      </c>
      <c r="F9">
        <f>ROUND(INDEX('07_Reviews'!$E:$E,MATCH(D9,'07_Reviews'!$A:$A,0))/5*100,2)</f>
        <v/>
      </c>
      <c r="G9">
        <f>ROUND(F9*INDEX('01_Criteria'!$F:$F,MATCH(C9,'01_Criteria'!$A:$A,0))/100,2)</f>
        <v/>
      </c>
      <c r="H9" t="inlineStr">
        <is>
          <t>Traceable to REV_000008 -&gt; supporting Evidence -&gt; cited Source. RawScore/WeightedScore computed via the ADR-005 formula engine.</t>
        </is>
      </c>
    </row>
    <row r="10">
      <c r="A10" t="inlineStr">
        <is>
          <t>SCORE_000009</t>
        </is>
      </c>
      <c r="B10" t="inlineStr">
        <is>
          <t>RENAULT_4_TECHNO</t>
        </is>
      </c>
      <c r="C10" t="inlineStr">
        <is>
          <t>W002</t>
        </is>
      </c>
      <c r="D10" t="inlineStr">
        <is>
          <t>REV_000009</t>
        </is>
      </c>
      <c r="E10" t="inlineStr">
        <is>
          <t>1.4</t>
        </is>
      </c>
      <c r="F10">
        <f>ROUND(INDEX('07_Reviews'!$E:$E,MATCH(D10,'07_Reviews'!$A:$A,0))/5*100,2)</f>
        <v/>
      </c>
      <c r="G10">
        <f>ROUND(F10*INDEX('01_Criteria'!$F:$F,MATCH(C10,'01_Criteria'!$A:$A,0))/100,2)</f>
        <v/>
      </c>
      <c r="H10" t="inlineStr">
        <is>
          <t>Traceable to REV_000009 -&gt; supporting Evidence -&gt; cited Source. RawScore/WeightedScore computed via the ADR-005 formula engine.</t>
        </is>
      </c>
    </row>
    <row r="11">
      <c r="A11" t="inlineStr">
        <is>
          <t>SCORE_000010</t>
        </is>
      </c>
      <c r="B11" t="inlineStr">
        <is>
          <t>RENAULT_4_TECHNO</t>
        </is>
      </c>
      <c r="C11" t="inlineStr">
        <is>
          <t>W003</t>
        </is>
      </c>
      <c r="D11" t="inlineStr">
        <is>
          <t>REV_000010</t>
        </is>
      </c>
      <c r="E11" t="inlineStr">
        <is>
          <t>1.4</t>
        </is>
      </c>
      <c r="F11">
        <f>ROUND(INDEX('07_Reviews'!$E:$E,MATCH(D11,'07_Reviews'!$A:$A,0))/5*100,2)</f>
        <v/>
      </c>
      <c r="G11">
        <f>ROUND(F11*INDEX('01_Criteria'!$F:$F,MATCH(C11,'01_Criteria'!$A:$A,0))/100,2)</f>
        <v/>
      </c>
      <c r="H11" t="inlineStr">
        <is>
          <t>Traceable to REV_000010 -&gt; supporting Evidence -&gt; cited Source. RawScore/WeightedScore computed via the ADR-005 formula engine.</t>
        </is>
      </c>
    </row>
    <row r="12">
      <c r="A12" t="inlineStr">
        <is>
          <t>SCORE_000011</t>
        </is>
      </c>
      <c r="B12" t="inlineStr">
        <is>
          <t>RENAULT_4_TECHNO</t>
        </is>
      </c>
      <c r="C12" t="inlineStr">
        <is>
          <t>W004</t>
        </is>
      </c>
      <c r="D12" t="inlineStr">
        <is>
          <t>REV_000011</t>
        </is>
      </c>
      <c r="E12" t="inlineStr">
        <is>
          <t>1.4</t>
        </is>
      </c>
      <c r="F12">
        <f>ROUND(INDEX('07_Reviews'!$E:$E,MATCH(D12,'07_Reviews'!$A:$A,0))/5*100,2)</f>
        <v/>
      </c>
      <c r="G12">
        <f>ROUND(F12*INDEX('01_Criteria'!$F:$F,MATCH(C12,'01_Criteria'!$A:$A,0))/100,2)</f>
        <v/>
      </c>
      <c r="H12" t="inlineStr">
        <is>
          <t>Traceable to REV_000011 -&gt; supporting Evidence -&gt; cited Source. RawScore/WeightedScore computed via the ADR-005 formula engine.</t>
        </is>
      </c>
    </row>
    <row r="13">
      <c r="A13" t="inlineStr">
        <is>
          <t>SCORE_000012</t>
        </is>
      </c>
      <c r="B13" t="inlineStr">
        <is>
          <t>RENAULT_4_TECHNO</t>
        </is>
      </c>
      <c r="C13" t="inlineStr">
        <is>
          <t>W005</t>
        </is>
      </c>
      <c r="D13" t="inlineStr">
        <is>
          <t>REV_000012</t>
        </is>
      </c>
      <c r="E13" t="inlineStr">
        <is>
          <t>1.4</t>
        </is>
      </c>
      <c r="F13">
        <f>ROUND(INDEX('07_Reviews'!$E:$E,MATCH(D13,'07_Reviews'!$A:$A,0))/5*100,2)</f>
        <v/>
      </c>
      <c r="G13">
        <f>ROUND(F13*INDEX('01_Criteria'!$F:$F,MATCH(C13,'01_Criteria'!$A:$A,0))/100,2)</f>
        <v/>
      </c>
      <c r="H13" t="inlineStr">
        <is>
          <t>Traceable to REV_000012 -&gt; supporting Evidence -&gt; cited Source. RawScore/WeightedScore computed via the ADR-005 formula engine.</t>
        </is>
      </c>
    </row>
    <row r="14">
      <c r="A14" t="inlineStr">
        <is>
          <t>SCORE_000013</t>
        </is>
      </c>
      <c r="B14" t="inlineStr">
        <is>
          <t>RENAULT_4_TECHNO</t>
        </is>
      </c>
      <c r="C14" t="inlineStr">
        <is>
          <t>W007</t>
        </is>
      </c>
      <c r="D14" t="inlineStr">
        <is>
          <t>REV_000013</t>
        </is>
      </c>
      <c r="E14" t="inlineStr">
        <is>
          <t>1.4</t>
        </is>
      </c>
      <c r="F14">
        <f>ROUND(INDEX('07_Reviews'!$E:$E,MATCH(D14,'07_Reviews'!$A:$A,0))/5*100,2)</f>
        <v/>
      </c>
      <c r="G14">
        <f>ROUND(F14*INDEX('01_Criteria'!$F:$F,MATCH(C14,'01_Criteria'!$A:$A,0))/100,2)</f>
        <v/>
      </c>
      <c r="H14" t="inlineStr">
        <is>
          <t>Traceable to REV_000013 -&gt; supporting Evidence -&gt; cited Source. RawScore/WeightedScore computed via the ADR-005 formula engine.</t>
        </is>
      </c>
    </row>
    <row r="15">
      <c r="A15" t="inlineStr">
        <is>
          <t>SCORE_000014</t>
        </is>
      </c>
      <c r="B15" t="inlineStr">
        <is>
          <t>RENAULT_4_TECHNO</t>
        </is>
      </c>
      <c r="C15" t="inlineStr">
        <is>
          <t>W020</t>
        </is>
      </c>
      <c r="D15" t="inlineStr">
        <is>
          <t>REV_000014</t>
        </is>
      </c>
      <c r="E15" t="inlineStr">
        <is>
          <t>1.4</t>
        </is>
      </c>
      <c r="F15">
        <f>ROUND(INDEX('07_Reviews'!$E:$E,MATCH(D15,'07_Reviews'!$A:$A,0))/5*100,2)</f>
        <v/>
      </c>
      <c r="G15">
        <f>ROUND(F15*INDEX('01_Criteria'!$F:$F,MATCH(C15,'01_Criteria'!$A:$A,0))/100,2)</f>
        <v/>
      </c>
      <c r="H15" t="inlineStr">
        <is>
          <t>Traceable to REV_000014 -&gt; supporting Evidence -&gt; cited Source. RawScore/WeightedScore computed via the ADR-005 formula engine.</t>
        </is>
      </c>
    </row>
    <row r="16">
      <c r="A16" t="inlineStr">
        <is>
          <t>SCORE_000016</t>
        </is>
      </c>
      <c r="B16" t="inlineStr">
        <is>
          <t>SKODA_ELROQ_SELECTION_60</t>
        </is>
      </c>
      <c r="C16" t="inlineStr">
        <is>
          <t>W001</t>
        </is>
      </c>
      <c r="D16" t="inlineStr">
        <is>
          <t>REV_000015</t>
        </is>
      </c>
      <c r="E16" t="inlineStr">
        <is>
          <t>1.4</t>
        </is>
      </c>
      <c r="F16">
        <f>ROUND(INDEX('07_Reviews'!$E:$E,MATCH(D16,'07_Reviews'!$A:$A,0))/5*100,2)</f>
        <v/>
      </c>
      <c r="G16">
        <f>ROUND(F16*INDEX('01_Criteria'!$F:$F,MATCH(C16,'01_Criteria'!$A:$A,0))/100,2)</f>
        <v/>
      </c>
      <c r="H16" t="inlineStr">
        <is>
          <t>Traceable to REV_000015 -&gt; supporting Evidence -&gt; cited Source. RawScore/WeightedScore computed via the ADR-005 formula engine.</t>
        </is>
      </c>
    </row>
    <row r="17">
      <c r="A17" t="inlineStr">
        <is>
          <t>SCORE_000017</t>
        </is>
      </c>
      <c r="B17" t="inlineStr">
        <is>
          <t>SKODA_ELROQ_SELECTION_60</t>
        </is>
      </c>
      <c r="C17" t="inlineStr">
        <is>
          <t>W002</t>
        </is>
      </c>
      <c r="D17" t="inlineStr">
        <is>
          <t>REV_000016</t>
        </is>
      </c>
      <c r="E17" t="inlineStr">
        <is>
          <t>1.4</t>
        </is>
      </c>
      <c r="F17">
        <f>ROUND(INDEX('07_Reviews'!$E:$E,MATCH(D17,'07_Reviews'!$A:$A,0))/5*100,2)</f>
        <v/>
      </c>
      <c r="G17">
        <f>ROUND(F17*INDEX('01_Criteria'!$F:$F,MATCH(C17,'01_Criteria'!$A:$A,0))/100,2)</f>
        <v/>
      </c>
      <c r="H17" t="inlineStr">
        <is>
          <t>Traceable to REV_000016 -&gt; supporting Evidence -&gt; cited Source. RawScore/WeightedScore computed via the ADR-005 formula engine.</t>
        </is>
      </c>
    </row>
    <row r="18">
      <c r="A18" t="inlineStr">
        <is>
          <t>SCORE_000018</t>
        </is>
      </c>
      <c r="B18" t="inlineStr">
        <is>
          <t>SKODA_ELROQ_SELECTION_60</t>
        </is>
      </c>
      <c r="C18" t="inlineStr">
        <is>
          <t>W003</t>
        </is>
      </c>
      <c r="D18" t="inlineStr">
        <is>
          <t>REV_000017</t>
        </is>
      </c>
      <c r="E18" t="inlineStr">
        <is>
          <t>1.4</t>
        </is>
      </c>
      <c r="F18">
        <f>ROUND(INDEX('07_Reviews'!$E:$E,MATCH(D18,'07_Reviews'!$A:$A,0))/5*100,2)</f>
        <v/>
      </c>
      <c r="G18">
        <f>ROUND(F18*INDEX('01_Criteria'!$F:$F,MATCH(C18,'01_Criteria'!$A:$A,0))/100,2)</f>
        <v/>
      </c>
      <c r="H18" t="inlineStr">
        <is>
          <t>Traceable to REV_000017 -&gt; supporting Evidence -&gt; cited Source. RawScore/WeightedScore computed via the ADR-005 formula engine.</t>
        </is>
      </c>
    </row>
    <row r="19">
      <c r="A19" t="inlineStr">
        <is>
          <t>SCORE_000019</t>
        </is>
      </c>
      <c r="B19" t="inlineStr">
        <is>
          <t>SKODA_ELROQ_SELECTION_60</t>
        </is>
      </c>
      <c r="C19" t="inlineStr">
        <is>
          <t>W004</t>
        </is>
      </c>
      <c r="D19" t="inlineStr">
        <is>
          <t>REV_000018</t>
        </is>
      </c>
      <c r="E19" t="inlineStr">
        <is>
          <t>1.4</t>
        </is>
      </c>
      <c r="F19">
        <f>ROUND(INDEX('07_Reviews'!$E:$E,MATCH(D19,'07_Reviews'!$A:$A,0))/5*100,2)</f>
        <v/>
      </c>
      <c r="G19">
        <f>ROUND(F19*INDEX('01_Criteria'!$F:$F,MATCH(C19,'01_Criteria'!$A:$A,0))/100,2)</f>
        <v/>
      </c>
      <c r="H19" t="inlineStr">
        <is>
          <t>Traceable to REV_000018 -&gt; supporting Evidence -&gt; cited Source. RawScore/WeightedScore computed via the ADR-005 formula engine.</t>
        </is>
      </c>
    </row>
    <row r="20">
      <c r="A20" t="inlineStr">
        <is>
          <t>SCORE_000020</t>
        </is>
      </c>
      <c r="B20" t="inlineStr">
        <is>
          <t>SKODA_ELROQ_SELECTION_60</t>
        </is>
      </c>
      <c r="C20" t="inlineStr">
        <is>
          <t>W005</t>
        </is>
      </c>
      <c r="D20" t="inlineStr">
        <is>
          <t>REV_000019</t>
        </is>
      </c>
      <c r="E20" t="inlineStr">
        <is>
          <t>1.4</t>
        </is>
      </c>
      <c r="F20">
        <f>ROUND(INDEX('07_Reviews'!$E:$E,MATCH(D20,'07_Reviews'!$A:$A,0))/5*100,2)</f>
        <v/>
      </c>
      <c r="G20">
        <f>ROUND(F20*INDEX('01_Criteria'!$F:$F,MATCH(C20,'01_Criteria'!$A:$A,0))/100,2)</f>
        <v/>
      </c>
      <c r="H20" t="inlineStr">
        <is>
          <t>Traceable to REV_000019 -&gt; supporting Evidence -&gt; cited Source. RawScore/WeightedScore computed via the ADR-005 formula engine.</t>
        </is>
      </c>
    </row>
    <row r="21">
      <c r="A21" t="inlineStr">
        <is>
          <t>SCORE_000021</t>
        </is>
      </c>
      <c r="B21" t="inlineStr">
        <is>
          <t>SKODA_ELROQ_SELECTION_60</t>
        </is>
      </c>
      <c r="C21" t="inlineStr">
        <is>
          <t>W007</t>
        </is>
      </c>
      <c r="D21" t="inlineStr">
        <is>
          <t>REV_000020</t>
        </is>
      </c>
      <c r="E21" t="inlineStr">
        <is>
          <t>1.4</t>
        </is>
      </c>
      <c r="F21">
        <f>ROUND(INDEX('07_Reviews'!$E:$E,MATCH(D21,'07_Reviews'!$A:$A,0))/5*100,2)</f>
        <v/>
      </c>
      <c r="G21">
        <f>ROUND(F21*INDEX('01_Criteria'!$F:$F,MATCH(C21,'01_Criteria'!$A:$A,0))/100,2)</f>
        <v/>
      </c>
      <c r="H21" t="inlineStr">
        <is>
          <t>Traceable to REV_000020 -&gt; supporting Evidence -&gt; cited Source. RawScore/WeightedScore computed via the ADR-005 formula engine.</t>
        </is>
      </c>
    </row>
    <row r="22">
      <c r="A22" t="inlineStr">
        <is>
          <t>SCORE_000022</t>
        </is>
      </c>
      <c r="B22" t="inlineStr">
        <is>
          <t>SKODA_ELROQ_SELECTION_60</t>
        </is>
      </c>
      <c r="C22" t="inlineStr">
        <is>
          <t>W020</t>
        </is>
      </c>
      <c r="D22" t="inlineStr">
        <is>
          <t>REV_000021</t>
        </is>
      </c>
      <c r="E22" t="inlineStr">
        <is>
          <t>1.4</t>
        </is>
      </c>
      <c r="F22">
        <f>ROUND(INDEX('07_Reviews'!$E:$E,MATCH(D22,'07_Reviews'!$A:$A,0))/5*100,2)</f>
        <v/>
      </c>
      <c r="G22">
        <f>ROUND(F22*INDEX('01_Criteria'!$F:$F,MATCH(C22,'01_Criteria'!$A:$A,0))/100,2)</f>
        <v/>
      </c>
      <c r="H22" t="inlineStr">
        <is>
          <t>Traceable to REV_000021 -&gt; supporting Evidence -&gt; cited Source. RawScore/WeightedScore computed via the ADR-005 formula engine.</t>
        </is>
      </c>
    </row>
    <row r="23">
      <c r="A23" t="inlineStr">
        <is>
          <t>SCORE_000023</t>
        </is>
      </c>
      <c r="B23" t="inlineStr">
        <is>
          <t>VOLVO_EX30_P8_AWD</t>
        </is>
      </c>
      <c r="C23" t="inlineStr">
        <is>
          <t>W001</t>
        </is>
      </c>
      <c r="D23" t="inlineStr">
        <is>
          <t>REV_000022</t>
        </is>
      </c>
      <c r="E23" t="inlineStr">
        <is>
          <t>1.4</t>
        </is>
      </c>
      <c r="F23">
        <f>ROUND(INDEX('07_Reviews'!$E:$E,MATCH(D23,'07_Reviews'!$A:$A,0))/5*100,2)</f>
        <v/>
      </c>
      <c r="G23">
        <f>ROUND(F23*INDEX('01_Criteria'!$F:$F,MATCH(C23,'01_Criteria'!$A:$A,0))/100,2)</f>
        <v/>
      </c>
      <c r="H23" t="inlineStr">
        <is>
          <t>Traceable to REV_000022 -&gt; supporting Evidence -&gt; cited Source. RawScore/WeightedScore computed via the ADR-005 formula engine.</t>
        </is>
      </c>
    </row>
    <row r="24">
      <c r="A24" t="inlineStr">
        <is>
          <t>SCORE_000024</t>
        </is>
      </c>
      <c r="B24" t="inlineStr">
        <is>
          <t>VOLVO_EX30_P8_AWD</t>
        </is>
      </c>
      <c r="C24" t="inlineStr">
        <is>
          <t>W002</t>
        </is>
      </c>
      <c r="D24" t="inlineStr">
        <is>
          <t>REV_000023</t>
        </is>
      </c>
      <c r="E24" t="inlineStr">
        <is>
          <t>1.4</t>
        </is>
      </c>
      <c r="F24">
        <f>ROUND(INDEX('07_Reviews'!$E:$E,MATCH(D24,'07_Reviews'!$A:$A,0))/5*100,2)</f>
        <v/>
      </c>
      <c r="G24">
        <f>ROUND(F24*INDEX('01_Criteria'!$F:$F,MATCH(C24,'01_Criteria'!$A:$A,0))/100,2)</f>
        <v/>
      </c>
      <c r="H24" t="inlineStr">
        <is>
          <t>Traceable to REV_000023 -&gt; supporting Evidence -&gt; cited Source. RawScore/WeightedScore computed via the ADR-005 formula engine.</t>
        </is>
      </c>
    </row>
    <row r="25">
      <c r="A25" t="inlineStr">
        <is>
          <t>SCORE_000025</t>
        </is>
      </c>
      <c r="B25" t="inlineStr">
        <is>
          <t>VOLVO_EX30_P8_AWD</t>
        </is>
      </c>
      <c r="C25" t="inlineStr">
        <is>
          <t>W003</t>
        </is>
      </c>
      <c r="D25" t="inlineStr">
        <is>
          <t>REV_000024</t>
        </is>
      </c>
      <c r="E25" t="inlineStr">
        <is>
          <t>1.4</t>
        </is>
      </c>
      <c r="F25">
        <f>ROUND(INDEX('07_Reviews'!$E:$E,MATCH(D25,'07_Reviews'!$A:$A,0))/5*100,2)</f>
        <v/>
      </c>
      <c r="G25">
        <f>ROUND(F25*INDEX('01_Criteria'!$F:$F,MATCH(C25,'01_Criteria'!$A:$A,0))/100,2)</f>
        <v/>
      </c>
      <c r="H25" t="inlineStr">
        <is>
          <t>Traceable to REV_000024 -&gt; supporting Evidence -&gt; cited Source. RawScore/WeightedScore computed via the ADR-005 formula engine.</t>
        </is>
      </c>
    </row>
    <row r="26">
      <c r="A26" t="inlineStr">
        <is>
          <t>SCORE_000026</t>
        </is>
      </c>
      <c r="B26" t="inlineStr">
        <is>
          <t>VOLVO_EX30_P8_AWD</t>
        </is>
      </c>
      <c r="C26" t="inlineStr">
        <is>
          <t>W004</t>
        </is>
      </c>
      <c r="D26" t="inlineStr">
        <is>
          <t>REV_000025</t>
        </is>
      </c>
      <c r="E26" t="inlineStr">
        <is>
          <t>1.4</t>
        </is>
      </c>
      <c r="F26">
        <f>ROUND(INDEX('07_Reviews'!$E:$E,MATCH(D26,'07_Reviews'!$A:$A,0))/5*100,2)</f>
        <v/>
      </c>
      <c r="G26">
        <f>ROUND(F26*INDEX('01_Criteria'!$F:$F,MATCH(C26,'01_Criteria'!$A:$A,0))/100,2)</f>
        <v/>
      </c>
      <c r="H26" t="inlineStr">
        <is>
          <t>Traceable to REV_000025 -&gt; supporting Evidence -&gt; cited Source. RawScore/WeightedScore computed via the ADR-005 formula engine.</t>
        </is>
      </c>
    </row>
    <row r="27">
      <c r="A27" t="inlineStr">
        <is>
          <t>SCORE_000027</t>
        </is>
      </c>
      <c r="B27" t="inlineStr">
        <is>
          <t>VOLVO_EX30_P8_AWD</t>
        </is>
      </c>
      <c r="C27" t="inlineStr">
        <is>
          <t>W005</t>
        </is>
      </c>
      <c r="D27" t="inlineStr">
        <is>
          <t>REV_000026</t>
        </is>
      </c>
      <c r="E27" t="inlineStr">
        <is>
          <t>1.4</t>
        </is>
      </c>
      <c r="F27">
        <f>ROUND(INDEX('07_Reviews'!$E:$E,MATCH(D27,'07_Reviews'!$A:$A,0))/5*100,2)</f>
        <v/>
      </c>
      <c r="G27">
        <f>ROUND(F27*INDEX('01_Criteria'!$F:$F,MATCH(C27,'01_Criteria'!$A:$A,0))/100,2)</f>
        <v/>
      </c>
      <c r="H27" t="inlineStr">
        <is>
          <t>Traceable to REV_000026 -&gt; supporting Evidence -&gt; cited Source. RawScore/WeightedScore computed via the ADR-005 formula engine.</t>
        </is>
      </c>
    </row>
    <row r="28">
      <c r="A28" t="inlineStr">
        <is>
          <t>SCORE_000028</t>
        </is>
      </c>
      <c r="B28" t="inlineStr">
        <is>
          <t>VOLVO_EX30_P8_AWD</t>
        </is>
      </c>
      <c r="C28" t="inlineStr">
        <is>
          <t>W007</t>
        </is>
      </c>
      <c r="D28" t="inlineStr">
        <is>
          <t>REV_000027</t>
        </is>
      </c>
      <c r="E28" t="inlineStr">
        <is>
          <t>1.4</t>
        </is>
      </c>
      <c r="F28">
        <f>ROUND(INDEX('07_Reviews'!$E:$E,MATCH(D28,'07_Reviews'!$A:$A,0))/5*100,2)</f>
        <v/>
      </c>
      <c r="G28">
        <f>ROUND(F28*INDEX('01_Criteria'!$F:$F,MATCH(C28,'01_Criteria'!$A:$A,0))/100,2)</f>
        <v/>
      </c>
      <c r="H28" t="inlineStr">
        <is>
          <t>Traceable to REV_000027 -&gt; supporting Evidence -&gt; cited Source. RawScore/WeightedScore computed via the ADR-005 formula engine.</t>
        </is>
      </c>
    </row>
    <row r="29">
      <c r="A29" t="inlineStr">
        <is>
          <t>SCORE_000029</t>
        </is>
      </c>
      <c r="B29" t="inlineStr">
        <is>
          <t>VOLVO_EX30_P8_AWD</t>
        </is>
      </c>
      <c r="C29" t="inlineStr">
        <is>
          <t>W020</t>
        </is>
      </c>
      <c r="D29" t="inlineStr">
        <is>
          <t>REV_000028</t>
        </is>
      </c>
      <c r="E29" t="inlineStr">
        <is>
          <t>1.4</t>
        </is>
      </c>
      <c r="F29">
        <f>ROUND(INDEX('07_Reviews'!$E:$E,MATCH(D29,'07_Reviews'!$A:$A,0))/5*100,2)</f>
        <v/>
      </c>
      <c r="G29">
        <f>ROUND(F29*INDEX('01_Criteria'!$F:$F,MATCH(C29,'01_Criteria'!$A:$A,0))/100,2)</f>
        <v/>
      </c>
      <c r="H29" t="inlineStr">
        <is>
          <t>Traceable to REV_000028 -&gt; supporting Evidence -&gt; cited Source. RawScore/WeightedScore computed via the ADR-005 formula engine.</t>
        </is>
      </c>
    </row>
    <row r="30">
      <c r="A30" t="inlineStr">
        <is>
          <t>SCORE_000030</t>
        </is>
      </c>
      <c r="B30" t="inlineStr">
        <is>
          <t>KIA_EV2_FWD_LONG_RANGE_GT_LINE</t>
        </is>
      </c>
      <c r="C30" t="inlineStr">
        <is>
          <t>W001</t>
        </is>
      </c>
      <c r="D30" t="inlineStr">
        <is>
          <t>REV_000029</t>
        </is>
      </c>
      <c r="E30" t="inlineStr">
        <is>
          <t>1.4</t>
        </is>
      </c>
      <c r="F30">
        <f>ROUND(INDEX('07_Reviews'!$E:$E,MATCH(D30,'07_Reviews'!$A:$A,0))/5*100,2)</f>
        <v/>
      </c>
      <c r="G30">
        <f>ROUND(F30*INDEX('01_Criteria'!$F:$F,MATCH(C30,'01_Criteria'!$A:$A,0))/100,2)</f>
        <v/>
      </c>
      <c r="H30" t="inlineStr">
        <is>
          <t>Traceable to REV_000029 -&gt; supporting Evidence -&gt; cited Source. RawScore/WeightedScore computed via the ADR-005 formula engine.</t>
        </is>
      </c>
    </row>
    <row r="31">
      <c r="A31" t="inlineStr">
        <is>
          <t>SCORE_000031</t>
        </is>
      </c>
      <c r="B31" t="inlineStr">
        <is>
          <t>KIA_EV2_FWD_LONG_RANGE_GT_LINE</t>
        </is>
      </c>
      <c r="C31" t="inlineStr">
        <is>
          <t>W002</t>
        </is>
      </c>
      <c r="D31" t="inlineStr">
        <is>
          <t>REV_000030</t>
        </is>
      </c>
      <c r="E31" t="inlineStr">
        <is>
          <t>1.4</t>
        </is>
      </c>
      <c r="F31">
        <f>ROUND(INDEX('07_Reviews'!$E:$E,MATCH(D31,'07_Reviews'!$A:$A,0))/5*100,2)</f>
        <v/>
      </c>
      <c r="G31">
        <f>ROUND(F31*INDEX('01_Criteria'!$F:$F,MATCH(C31,'01_Criteria'!$A:$A,0))/100,2)</f>
        <v/>
      </c>
      <c r="H31" t="inlineStr">
        <is>
          <t>Traceable to REV_000030 -&gt; supporting Evidence -&gt; cited Source. RawScore/WeightedScore computed via the ADR-005 formula engine.</t>
        </is>
      </c>
    </row>
    <row r="32">
      <c r="A32" t="inlineStr">
        <is>
          <t>SCORE_000032</t>
        </is>
      </c>
      <c r="B32" t="inlineStr">
        <is>
          <t>KIA_EV2_FWD_LONG_RANGE_GT_LINE</t>
        </is>
      </c>
      <c r="C32" t="inlineStr">
        <is>
          <t>W003</t>
        </is>
      </c>
      <c r="D32" t="inlineStr">
        <is>
          <t>REV_000031</t>
        </is>
      </c>
      <c r="E32" t="inlineStr">
        <is>
          <t>1.4</t>
        </is>
      </c>
      <c r="F32">
        <f>ROUND(INDEX('07_Reviews'!$E:$E,MATCH(D32,'07_Reviews'!$A:$A,0))/5*100,2)</f>
        <v/>
      </c>
      <c r="G32">
        <f>ROUND(F32*INDEX('01_Criteria'!$F:$F,MATCH(C32,'01_Criteria'!$A:$A,0))/100,2)</f>
        <v/>
      </c>
      <c r="H32" t="inlineStr">
        <is>
          <t>Traceable to REV_000031 -&gt; supporting Evidence -&gt; cited Source. RawScore/WeightedScore computed via the ADR-005 formula engine.</t>
        </is>
      </c>
    </row>
    <row r="33">
      <c r="A33" t="inlineStr">
        <is>
          <t>SCORE_000033</t>
        </is>
      </c>
      <c r="B33" t="inlineStr">
        <is>
          <t>KIA_EV2_FWD_LONG_RANGE_GT_LINE</t>
        </is>
      </c>
      <c r="C33" t="inlineStr">
        <is>
          <t>W004</t>
        </is>
      </c>
      <c r="D33" t="inlineStr">
        <is>
          <t>REV_000032</t>
        </is>
      </c>
      <c r="E33" t="inlineStr">
        <is>
          <t>1.4</t>
        </is>
      </c>
      <c r="F33">
        <f>ROUND(INDEX('07_Reviews'!$E:$E,MATCH(D33,'07_Reviews'!$A:$A,0))/5*100,2)</f>
        <v/>
      </c>
      <c r="G33">
        <f>ROUND(F33*INDEX('01_Criteria'!$F:$F,MATCH(C33,'01_Criteria'!$A:$A,0))/100,2)</f>
        <v/>
      </c>
      <c r="H33" t="inlineStr">
        <is>
          <t>Traceable to REV_000032 -&gt; supporting Evidence -&gt; cited Source. RawScore/WeightedScore computed via the ADR-005 formula engine.</t>
        </is>
      </c>
    </row>
    <row r="34">
      <c r="A34" t="inlineStr">
        <is>
          <t>SCORE_000034</t>
        </is>
      </c>
      <c r="B34" t="inlineStr">
        <is>
          <t>KIA_EV2_FWD_LONG_RANGE_GT_LINE</t>
        </is>
      </c>
      <c r="C34" t="inlineStr">
        <is>
          <t>W005</t>
        </is>
      </c>
      <c r="D34" t="inlineStr">
        <is>
          <t>REV_000033</t>
        </is>
      </c>
      <c r="E34" t="inlineStr">
        <is>
          <t>1.4</t>
        </is>
      </c>
      <c r="F34">
        <f>ROUND(INDEX('07_Reviews'!$E:$E,MATCH(D34,'07_Reviews'!$A:$A,0))/5*100,2)</f>
        <v/>
      </c>
      <c r="G34">
        <f>ROUND(F34*INDEX('01_Criteria'!$F:$F,MATCH(C34,'01_Criteria'!$A:$A,0))/100,2)</f>
        <v/>
      </c>
      <c r="H34" t="inlineStr">
        <is>
          <t>Traceable to REV_000033 -&gt; supporting Evidence -&gt; cited Source. RawScore/WeightedScore computed via the ADR-005 formula engine.</t>
        </is>
      </c>
    </row>
    <row r="35">
      <c r="A35" t="inlineStr">
        <is>
          <t>SCORE_000035</t>
        </is>
      </c>
      <c r="B35" t="inlineStr">
        <is>
          <t>KIA_EV2_FWD_LONG_RANGE_GT_LINE</t>
        </is>
      </c>
      <c r="C35" t="inlineStr">
        <is>
          <t>W007</t>
        </is>
      </c>
      <c r="D35" t="inlineStr">
        <is>
          <t>REV_000034</t>
        </is>
      </c>
      <c r="E35" t="inlineStr">
        <is>
          <t>1.4</t>
        </is>
      </c>
      <c r="F35">
        <f>ROUND(INDEX('07_Reviews'!$E:$E,MATCH(D35,'07_Reviews'!$A:$A,0))/5*100,2)</f>
        <v/>
      </c>
      <c r="G35">
        <f>ROUND(F35*INDEX('01_Criteria'!$F:$F,MATCH(C35,'01_Criteria'!$A:$A,0))/100,2)</f>
        <v/>
      </c>
      <c r="H35" t="inlineStr">
        <is>
          <t>Traceable to REV_000034 -&gt; supporting Evidence -&gt; cited Source. RawScore/WeightedScore computed via the ADR-005 formula engine.</t>
        </is>
      </c>
    </row>
    <row r="36">
      <c r="A36" t="inlineStr">
        <is>
          <t>SCORE_000036</t>
        </is>
      </c>
      <c r="B36" t="inlineStr">
        <is>
          <t>KIA_EV2_FWD_LONG_RANGE_GT_LINE</t>
        </is>
      </c>
      <c r="C36" t="inlineStr">
        <is>
          <t>W020</t>
        </is>
      </c>
      <c r="D36" t="inlineStr">
        <is>
          <t>REV_000035</t>
        </is>
      </c>
      <c r="E36" t="inlineStr">
        <is>
          <t>1.4</t>
        </is>
      </c>
      <c r="F36">
        <f>ROUND(INDEX('07_Reviews'!$E:$E,MATCH(D36,'07_Reviews'!$A:$A,0))/5*100,2)</f>
        <v/>
      </c>
      <c r="G36">
        <f>ROUND(F36*INDEX('01_Criteria'!$F:$F,MATCH(C36,'01_Criteria'!$A:$A,0))/100,2)</f>
        <v/>
      </c>
      <c r="H36" t="inlineStr">
        <is>
          <t>Traceable to REV_000035 -&gt; supporting Evidence -&gt; cited Source. RawScore/WeightedScore computed via the ADR-005 formula engine.</t>
        </is>
      </c>
    </row>
    <row r="37">
      <c r="A37" t="inlineStr">
        <is>
          <t>SCORE_000037</t>
        </is>
      </c>
      <c r="B37" t="inlineStr">
        <is>
          <t>TESLA_MODEL_3_LONG_RANGE_RWD</t>
        </is>
      </c>
      <c r="C37" t="inlineStr">
        <is>
          <t>W017</t>
        </is>
      </c>
      <c r="D37" t="inlineStr">
        <is>
          <t>REV_000036</t>
        </is>
      </c>
      <c r="E37" t="inlineStr">
        <is>
          <t>1.4</t>
        </is>
      </c>
      <c r="F37">
        <f>ROUND(INDEX('07_Reviews'!$E:$E,MATCH(D37,'07_Reviews'!$A:$A,0))/5*100,2)</f>
        <v/>
      </c>
      <c r="G37">
        <f>ROUND(F37*INDEX('01_Criteria'!$F:$F,MATCH(C37,'01_Criteria'!$A:$A,0))/100,2)</f>
        <v/>
      </c>
      <c r="H37" t="inlineStr">
        <is>
          <t>Traceable to REV_000036 -&gt; supporting Evidence -&gt; cited Source. RawScore/WeightedScore computed via the ADR-005 formula engine.</t>
        </is>
      </c>
    </row>
    <row r="38">
      <c r="A38" t="inlineStr">
        <is>
          <t>SCORE_000038</t>
        </is>
      </c>
      <c r="B38" t="inlineStr">
        <is>
          <t>RENAULT_4_TECHNO</t>
        </is>
      </c>
      <c r="C38" t="inlineStr">
        <is>
          <t>W017</t>
        </is>
      </c>
      <c r="D38" t="inlineStr">
        <is>
          <t>REV_000037</t>
        </is>
      </c>
      <c r="E38" t="inlineStr">
        <is>
          <t>1.4</t>
        </is>
      </c>
      <c r="F38">
        <f>ROUND(INDEX('07_Reviews'!$E:$E,MATCH(D38,'07_Reviews'!$A:$A,0))/5*100,2)</f>
        <v/>
      </c>
      <c r="G38">
        <f>ROUND(F38*INDEX('01_Criteria'!$F:$F,MATCH(C38,'01_Criteria'!$A:$A,0))/100,2)</f>
        <v/>
      </c>
      <c r="H38" t="inlineStr">
        <is>
          <t>Traceable to REV_000037 -&gt; supporting Evidence -&gt; cited Source. RawScore/WeightedScore computed via the ADR-005 formula engine.</t>
        </is>
      </c>
    </row>
    <row r="39">
      <c r="A39" t="inlineStr">
        <is>
          <t>SCORE_000039</t>
        </is>
      </c>
      <c r="B39" t="inlineStr">
        <is>
          <t>SKODA_ELROQ_SELECTION_60</t>
        </is>
      </c>
      <c r="C39" t="inlineStr">
        <is>
          <t>W017</t>
        </is>
      </c>
      <c r="D39" t="inlineStr">
        <is>
          <t>REV_000038</t>
        </is>
      </c>
      <c r="E39" t="inlineStr">
        <is>
          <t>1.4</t>
        </is>
      </c>
      <c r="F39">
        <f>ROUND(INDEX('07_Reviews'!$E:$E,MATCH(D39,'07_Reviews'!$A:$A,0))/5*100,2)</f>
        <v/>
      </c>
      <c r="G39">
        <f>ROUND(F39*INDEX('01_Criteria'!$F:$F,MATCH(C39,'01_Criteria'!$A:$A,0))/100,2)</f>
        <v/>
      </c>
      <c r="H39" t="inlineStr">
        <is>
          <t>Traceable to REV_000038 -&gt; supporting Evidence -&gt; cited Source. RawScore/WeightedScore computed via the ADR-005 formula engine.</t>
        </is>
      </c>
    </row>
    <row r="40">
      <c r="A40" t="inlineStr">
        <is>
          <t>SCORE_000040</t>
        </is>
      </c>
      <c r="B40" t="inlineStr">
        <is>
          <t>VOLVO_EX30_P8_AWD</t>
        </is>
      </c>
      <c r="C40" t="inlineStr">
        <is>
          <t>W017</t>
        </is>
      </c>
      <c r="D40" t="inlineStr">
        <is>
          <t>REV_000039</t>
        </is>
      </c>
      <c r="E40" t="inlineStr">
        <is>
          <t>1.4</t>
        </is>
      </c>
      <c r="F40">
        <f>ROUND(INDEX('07_Reviews'!$E:$E,MATCH(D40,'07_Reviews'!$A:$A,0))/5*100,2)</f>
        <v/>
      </c>
      <c r="G40">
        <f>ROUND(F40*INDEX('01_Criteria'!$F:$F,MATCH(C40,'01_Criteria'!$A:$A,0))/100,2)</f>
        <v/>
      </c>
      <c r="H40" t="inlineStr">
        <is>
          <t>Traceable to REV_000039 -&gt; supporting Evidence -&gt; cited Source. RawScore/WeightedScore computed via the ADR-005 formula engine.</t>
        </is>
      </c>
    </row>
    <row r="41">
      <c r="A41" t="inlineStr">
        <is>
          <t>SCORE_000041</t>
        </is>
      </c>
      <c r="B41" t="inlineStr">
        <is>
          <t>KIA_EV2_FWD_LONG_RANGE_GT_LINE</t>
        </is>
      </c>
      <c r="C41" t="inlineStr">
        <is>
          <t>W017</t>
        </is>
      </c>
      <c r="D41" t="inlineStr">
        <is>
          <t>REV_000040</t>
        </is>
      </c>
      <c r="E41" t="inlineStr">
        <is>
          <t>1.4</t>
        </is>
      </c>
      <c r="F41">
        <f>ROUND(INDEX('07_Reviews'!$E:$E,MATCH(D41,'07_Reviews'!$A:$A,0))/5*100,2)</f>
        <v/>
      </c>
      <c r="G41">
        <f>ROUND(F41*INDEX('01_Criteria'!$F:$F,MATCH(C41,'01_Criteria'!$A:$A,0))/100,2)</f>
        <v/>
      </c>
      <c r="H41" t="inlineStr">
        <is>
          <t>Traceable to REV_000040 -&gt; supporting Evidence -&gt; cited Source. RawScore/WeightedScore computed via the ADR-005 formula engine.</t>
        </is>
      </c>
    </row>
  </sheetData>
  <autoFilter ref="A1:H1"/>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15"/>
  <sheetViews>
    <sheetView showGridLines="1" workbookViewId="0">
      <pane ySplit="1" topLeftCell="A2" activePane="bottomLeft" state="frozen"/>
      <selection pane="bottomLeft" activeCell="A2" sqref="A2"/>
    </sheetView>
  </sheetViews>
  <sheetFormatPr baseColWidth="8" defaultRowHeight="15"/>
  <cols>
    <col width="20" customWidth="1" min="1" max="1"/>
    <col width="16" customWidth="1" min="2" max="2"/>
    <col width="20" customWidth="1" min="3" max="3"/>
    <col width="50" customWidth="1" min="4" max="4"/>
    <col width="60" customWidth="1" min="5" max="5"/>
    <col width="24" customWidth="1" min="6" max="6"/>
    <col width="60" customWidth="1" min="7" max="7"/>
  </cols>
  <sheetData>
    <row r="1" ht="22" customHeight="1">
      <c r="A1" s="1" t="inlineStr">
        <is>
          <t>DecisionID</t>
        </is>
      </c>
      <c r="B1" s="1" t="inlineStr">
        <is>
          <t>Date</t>
        </is>
      </c>
      <c r="C1" s="1" t="inlineStr">
        <is>
          <t>FrameworkVersion</t>
        </is>
      </c>
      <c r="D1" s="1" t="inlineStr">
        <is>
          <t>Change</t>
        </is>
      </c>
      <c r="E1" s="1" t="inlineStr">
        <is>
          <t>Reason</t>
        </is>
      </c>
      <c r="F1" s="1" t="inlineStr">
        <is>
          <t>DecisionOwner</t>
        </is>
      </c>
      <c r="G1" s="1" t="inlineStr">
        <is>
          <t>Notes</t>
        </is>
      </c>
    </row>
    <row r="2">
      <c r="B2" t="inlineStr">
        <is>
          <t>2026-07-04</t>
        </is>
      </c>
      <c r="C2" t="inlineStr">
        <is>
          <t>0.2</t>
        </is>
      </c>
      <c r="D2" t="inlineStr">
        <is>
          <t>Initial analysis-system workbook structure</t>
        </is>
      </c>
      <c r="E2" t="inlineStr">
        <is>
          <t>Built robust template with criteria, equipment definitions, evidence and scoring tabs</t>
        </is>
      </c>
      <c r="F2" t="inlineStr">
        <is>
          <t>Bjørn/ChatGPT</t>
        </is>
      </c>
    </row>
    <row r="3">
      <c r="A3" t="inlineStr">
        <is>
          <t>DEC_ISSUE_001</t>
        </is>
      </c>
      <c r="B3" t="inlineStr">
        <is>
          <t>2026-07-06</t>
        </is>
      </c>
      <c r="C3" t="inlineStr">
        <is>
          <t>1.0</t>
        </is>
      </c>
      <c r="D3" t="inlineStr">
        <is>
          <t>Synchronized workbook structure with Framework Version 1.0</t>
        </is>
      </c>
      <c r="E3" t="inlineStr">
        <is>
          <t>Issue #1 workbook schema sync</t>
        </is>
      </c>
      <c r="F3" t="inlineStr">
        <is>
          <t>Codex</t>
        </is>
      </c>
    </row>
    <row r="4">
      <c r="A4" t="inlineStr">
        <is>
          <t>DEC_IMPL_002</t>
        </is>
      </c>
      <c r="B4" t="inlineStr">
        <is>
          <t>2026-07-06</t>
        </is>
      </c>
      <c r="C4" t="inlineStr">
        <is>
          <t>1.2</t>
        </is>
      </c>
      <c r="D4" t="inlineStr">
        <is>
          <t>Implemented Configuration Status (ADR-004 / IMPL-002)</t>
        </is>
      </c>
      <c r="E4" t="inlineStr">
        <is>
          <t>Closed the gap between the documented Configuration Status enumeration and the workbook schema; added Status column to 03_Configurations</t>
        </is>
      </c>
      <c r="F4" t="inlineStr">
        <is>
          <t>Claude</t>
        </is>
      </c>
      <c r="G4" t="inlineStr">
        <is>
          <t>Populated existing Tesla Model 3 configurations as AVAILABLE, backed by the Tesla Norway configurator source already cited in their Notes.</t>
        </is>
      </c>
    </row>
    <row r="5">
      <c r="A5" t="inlineStr">
        <is>
          <t>DEC_GAP_E_001</t>
        </is>
      </c>
      <c r="B5" t="inlineStr">
        <is>
          <t>2026-07-06</t>
        </is>
      </c>
      <c r="C5" t="inlineStr">
        <is>
          <t>1.2</t>
        </is>
      </c>
      <c r="D5" t="inlineStr">
        <is>
          <t>Reconciled Garasje category in docs/02_criteria-and-weighting.md</t>
        </is>
      </c>
      <c r="E5" t="inlineStr">
        <is>
          <t>The vertical-slice review found 01_Criteria already contains a live, weighted "Garasje" category (W019, weight 3) that docs/02 did not document as its own category - only as a sub-example under Practicality. Documentation-only fix; no weights or 01_Criteria data changed.</t>
        </is>
      </c>
      <c r="F5" t="inlineStr">
        <is>
          <t>Claude</t>
        </is>
      </c>
      <c r="G5" t="inlineStr">
        <is>
          <t>Gap E from the post-vertical-slice architecture review. No ADR required (descriptive reconciliation of already-live data, not a methodology change).</t>
        </is>
      </c>
    </row>
    <row r="6">
      <c r="A6" t="inlineStr">
        <is>
          <t>DEC_ADR_006</t>
        </is>
      </c>
      <c r="B6" t="inlineStr">
        <is>
          <t>2026-07-06</t>
        </is>
      </c>
      <c r="C6" t="inlineStr">
        <is>
          <t>1.3</t>
        </is>
      </c>
      <c r="D6" t="inlineStr">
        <is>
          <t>Implemented ADR-006 (Evidence Schema Reconciliation)</t>
        </is>
      </c>
      <c r="E6" t="inlineStr">
        <is>
          <t>08_Evidence diverged from documented schema (Claim/Evidence split, unused ReviewID column violating the documented one-way Review-&gt;Evidence flow). Reconciled to the documented Observation column; ReviewID column removed.</t>
        </is>
      </c>
      <c r="F6" t="inlineStr">
        <is>
          <t>Claude</t>
        </is>
      </c>
      <c r="G6" t="inlineStr">
        <is>
          <t>Migrated 10 existing Evidence records from the vertical slice to the merged Observation format. Ratified comma-separated EvidenceID on 07_Reviews as the 1:N representation.</t>
        </is>
      </c>
    </row>
    <row r="7">
      <c r="A7" t="inlineStr">
        <is>
          <t>DEC_ADR_005</t>
        </is>
      </c>
      <c r="B7" t="inlineStr">
        <is>
          <t>2026-07-06</t>
        </is>
      </c>
      <c r="C7" t="inlineStr">
        <is>
          <t>1.4</t>
        </is>
      </c>
      <c r="D7" t="inlineStr">
        <is>
          <t>Implemented ADR-005 (Scoring Mechanics)</t>
        </is>
      </c>
      <c r="E7" t="inlineStr">
        <is>
          <t>No documented numeric scale, no calculation engine, and no Overall Score entity/worksheet existed despite implementation-contract.md requiring calculated Overall Scores. Ratified 1-5 Review.Score scale and rounding rule; converted 10_Scoring RawScore/WeightedScore to formulas; added 12_OverallScores with mandatory CoveragePercent.</t>
        </is>
      </c>
      <c r="F7" t="inlineStr">
        <is>
          <t>Claude</t>
        </is>
      </c>
      <c r="G7" t="inlineStr">
        <is>
          <t>Regression-checked: the 7 existing vertical-slice Score rows reproduce the known values (25.4 total WeightedScore, 37% coverage) under the new formulas.</t>
        </is>
      </c>
    </row>
    <row r="8">
      <c r="A8" t="inlineStr">
        <is>
          <t>DEC_DATA_003</t>
        </is>
      </c>
      <c r="B8" t="inlineStr">
        <is>
          <t>2026-07-06</t>
        </is>
      </c>
      <c r="C8" t="inlineStr">
        <is>
          <t>1.4</t>
        </is>
      </c>
      <c r="D8" t="inlineStr">
        <is>
          <t>Added second Vehicle (Renault 4 E-Tech Electric) end-to-end through the full pipeline</t>
        </is>
      </c>
      <c r="E8" t="inlineStr">
        <is>
          <t>Stress-test of the fixed Evidence/Scoring pipeline (ADR-005, ADR-006) with an independently-researched vehicle. Added Vehicle, all 6 real Norwegian-market Configurations, Technical facts, Evidence, Reviews and Scores for RENAULT_4_TECHNO.</t>
        </is>
      </c>
      <c r="F8" t="inlineStr">
        <is>
          <t>Claude</t>
        </is>
      </c>
      <c r="G8" t="inlineStr">
        <is>
          <t>Evolution trims (both battery variants) confirmed to fail Hard Requirement M004 (no adaptive cruise control) via the official price list - recorded as real Configurations but deliberately not scored. RENAULT_4_TECHNO scored: 27.8 weighted points, 37% coverage (same 7 criteria as the Tesla Model 3 Long Range RWD slice, for comparability). A genuine source disagreement on ride comfort (Motor.no vs RAC Drive) was documented rather than resolved.</t>
        </is>
      </c>
    </row>
    <row r="9">
      <c r="A9" t="inlineStr">
        <is>
          <t>DEC_DATA_004</t>
        </is>
      </c>
      <c r="B9" t="inlineStr">
        <is>
          <t>2026-07-06</t>
        </is>
      </c>
      <c r="C9" t="inlineStr">
        <is>
          <t>1.4</t>
        </is>
      </c>
      <c r="D9" t="inlineStr">
        <is>
          <t>Added Skoda Elroq and Volvo EX30 end-to-end for cross-vehicle comparison</t>
        </is>
      </c>
      <c r="E9" t="inlineStr">
        <is>
          <t>Extended the thin-slice comparison (same 7 criteria) to Skoda Elroq (Selection 60) and Volvo EX30 (P8 AWD), alongside existing Tesla Model 3 (Long Range RWD) and Renault 4 (Techno) data. All 4 real Norway configurations added per vehicle where applicable (Skoda: 4, Volvo: 3), full Technical facts, Evidence, Reviews, Scores and OverallScores for one representative configuration each.</t>
        </is>
      </c>
      <c r="F9" t="inlineStr">
        <is>
          <t>Claude</t>
        </is>
      </c>
      <c r="G9" t="inlineStr">
        <is>
          <t>Skoda Elroq length (4488mm) passes the 4500mm hard requirement by only 12mm - flagged as a near-miss. A second genuine cross-source disagreement was documented (Motor.no vs What Car? on Elroq road noise), mirroring the Renault comfort discrepancy. Volvo EX30 representative configuration (P8 AWD) was chosen because it matches what Motor.no actually tested, not for cross-vehicle class parity - noted as an asymmetry versus the other 3 vehicles picks (mid-tier RWD/long-range).</t>
        </is>
      </c>
    </row>
    <row r="10">
      <c r="A10" t="inlineStr">
        <is>
          <t>DEC_DATA_005</t>
        </is>
      </c>
      <c r="B10" t="inlineStr">
        <is>
          <t>2026-07-06</t>
        </is>
      </c>
      <c r="C10" t="inlineStr">
        <is>
          <t>1.4</t>
        </is>
      </c>
      <c r="D10" t="inlineStr">
        <is>
          <t>Populated 05_Equipment using the existing 06_EquipmentDefinitions catalog</t>
        </is>
      </c>
      <c r="E10" t="inlineStr">
        <is>
          <t>06_EquipmentDefinitions was already fully authored (20 definitions) - not empty as previously assumed. Mapped 05_Equipment availability to 3 existing definitions (EQ_ACC, EQ_REAR_CAMERA, EQ_CARPLAY) only where already-gathered research provided a sourced answer.</t>
        </is>
      </c>
      <c r="F10" t="inlineStr">
        <is>
          <t>Claude</t>
        </is>
      </c>
      <c r="G10" t="inlineStr">
        <is>
          <t>38 Equipment rows added across Tesla, Renault, Skoda and Volvo configurations, including RENAULT_4_EVOLUTION_URBAN/COMFORT (both EQ_ACC=UNAVAILABLE, formally documenting the Hard Requirement M004 failure already noted in 03_Configurations Notes). Remaining 17 EquipmentDefinitions left unpopulated - no sourced data gathered for them yet.</t>
        </is>
      </c>
    </row>
    <row r="11">
      <c r="A11" t="inlineStr">
        <is>
          <t>DEC_DATA_006</t>
        </is>
      </c>
      <c r="B11" t="inlineStr">
        <is>
          <t>2026-07-06</t>
        </is>
      </c>
      <c r="C11" t="inlineStr">
        <is>
          <t>1.4</t>
        </is>
      </c>
      <c r="D11" t="inlineStr">
        <is>
          <t>Populated Kia EV2 from a real dealer sales quote (user-supplied PDF)</t>
        </is>
      </c>
      <c r="E11" t="inlineStr">
        <is>
          <t>A genuine, dated Bertel O. Steen (Kia dealer) sales quote for EV2 FWD Long Range GT Line reconciled the earlier "not on Kia Norway model list" uncertainty - Vehicle status updated from UNKNOWN to AVAILABLE.</t>
        </is>
      </c>
      <c r="F11" t="inlineStr">
        <is>
          <t>Claude</t>
        </is>
      </c>
      <c r="G11" t="inlineStr">
        <is>
          <t>Added KIA_EV2_FWD_LONG_RANGE_GT_LINE configuration with BasePrice/ConfiguredPrice split (trim price vs. this specific buyers customized quote incl. 4-seat conversion and winter wheels), and 14 Equipment rows from the itemized equipment list. No Technical (battery/range/charging/dimensions) facts were available in the quote document - explicitly left Unknown rather than assumed. Customer personal contact details deliberately excluded from all workbook citations.</t>
        </is>
      </c>
    </row>
    <row r="12">
      <c r="A12" t="inlineStr">
        <is>
          <t>DEC_DATA_007</t>
        </is>
      </c>
      <c r="B12" t="inlineStr">
        <is>
          <t>2026-07-06</t>
        </is>
      </c>
      <c r="C12" t="inlineStr">
        <is>
          <t>1.4</t>
        </is>
      </c>
      <c r="D12" t="inlineStr">
        <is>
          <t>Populated Kia EV2 Technical facts from Kia official web store, correcting unit-label errors</t>
        </is>
      </c>
      <c r="E12" t="inlineStr">
        <is>
          <t>Verified nettbutikk.kia.no/ev2/oppsummering directly (config code A2231F29). Confirmed the page itself mislabels several units (kg instead of L for boot/frunk, kW instead of kWh for battery, kWh/km instead of kWh/100km for consumption) - a bug on Kia's own site, not a user transcription error.</t>
        </is>
      </c>
      <c r="F12" t="inlineStr">
        <is>
          <t>Claude</t>
        </is>
      </c>
      <c r="G12" t="inlineStr">
        <is>
          <t>7 Technical rows added. Battery net (62kWh) and WLTP consumption (15.2kWh/100km) corrections verified via arithmetic cross-check against the stated 453km range - high confidence in the correction logic. Boot/Frunk volume corrections (kg-&gt;L) recorded at LOW confidence since no independent cross-check was available for those two.</t>
        </is>
      </c>
    </row>
    <row r="13">
      <c r="A13" t="inlineStr">
        <is>
          <t>DEC_DATA_008</t>
        </is>
      </c>
      <c r="B13" t="inlineStr">
        <is>
          <t>2026-07-06</t>
        </is>
      </c>
      <c r="C13" t="inlineStr">
        <is>
          <t>1.4</t>
        </is>
      </c>
      <c r="D13" t="inlineStr">
        <is>
          <t>Added Kia EV2 Evidence/Review/Score - now 5th vehicle in the thin-slice comparison</t>
        </is>
      </c>
      <c r="E13" t="inlineStr">
        <is>
          <t>Completed the same 7-criterion pipeline (Motor.no, What Car?, RAC Drive) for KIA_EV2_FWD_LONG_RANGE_GT_LINE, alongside Tesla, Renault, Skoda and Volvo.</t>
        </is>
      </c>
      <c r="F13" t="inlineStr">
        <is>
          <t>Claude</t>
        </is>
      </c>
      <c r="G13" t="inlineStr">
        <is>
          <t>DC fast-charging power was never stated on the Kia configurator - W020 scored at reduced (LOW) confidence reflecting this gap. A third genuine cross-source ride-comfort disagreement was documented (Motor.no tested Standard Range as stiff/bouncy; What Car? found the suspension soft or supple) - same pattern as Renault and Skoda.</t>
        </is>
      </c>
    </row>
    <row r="14">
      <c r="A14" t="inlineStr">
        <is>
          <t>DEC_M003_VERIFY</t>
        </is>
      </c>
      <c r="B14" t="inlineStr">
        <is>
          <t>2026-07-06</t>
        </is>
      </c>
      <c r="C14" t="inlineStr">
        <is>
          <t>1.4</t>
        </is>
      </c>
      <c r="D14" t="inlineStr">
        <is>
          <t>Attempted M003 (winter highway range hard requirement) verification for all 5 scored configurations</t>
        </is>
      </c>
      <c r="E14" t="inlineStr">
        <is>
          <t>Only 1 of 5 (Volvo EX30 P8 AWD) had a clean, trim-matched independent winter test (elbil.no) - passes comfortably at ~338km. Renault 4 Techno has a flagged, non-matching proxy data point (287km, wrong trim, mild not winter conditions) that is a concerning signal, not a confirmed pass. Skoda Elroq, Tesla Model 3, and Kia EV2 have no reliable independent winter data at all.</t>
        </is>
      </c>
      <c r="F14" t="inlineStr">
        <is>
          <t>Claude</t>
        </is>
      </c>
      <c r="G14" t="inlineStr">
        <is>
          <t>Per user direction: Renault proxy recorded with explicit caveats rather than discarded; the other 3 remain genuinely Unknown rather than assumed. No configuration was removed from scoring - none was confirmed to fail M003, so all 5 proceed to Del 2 (Price/Value) as planned. Winter range verification for Skoda/Tesla/Kia should be revisited when better sources become available.</t>
        </is>
      </c>
    </row>
    <row r="15">
      <c r="A15" t="inlineStr">
        <is>
          <t>DEC_W017_SCORE</t>
        </is>
      </c>
      <c r="B15" t="inlineStr">
        <is>
          <t>2026-07-06</t>
        </is>
      </c>
      <c r="C15" t="inlineStr">
        <is>
          <t>1.4</t>
        </is>
      </c>
      <c r="D15" t="inlineStr">
        <is>
          <t>Scored Price/Value (W017, weight 10) for all 5 configurations</t>
        </is>
      </c>
      <c r="E15" t="inlineStr">
        <is>
          <t>Judged price relative to range/charging/equipment delivered in class per user direction, not pure price ranking. Discovered and fixed a real gap: Tesla Model 3 Long Range RWD had no price data at all since DATA-001 - fetched 400539 kr from the official Tesla configurator.</t>
        </is>
      </c>
      <c r="F15" t="inlineStr">
        <is>
          <t>Claude</t>
        </is>
      </c>
      <c r="G15" t="inlineStr">
        <is>
          <t>Coverage now 47% (8 of 20 weighted criteria). Volvo EX30 P8 AWD scored lowest on this criterion - its price premium goes toward performance (0-100 time), which the framework explicitly excludes as a meaningful ownership factor, so that premium is not counted as good value here.</t>
        </is>
      </c>
    </row>
  </sheetData>
  <autoFilter ref="A1:G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16" customWidth="1" min="3" max="3"/>
    <col width="14" customWidth="1" min="4" max="4"/>
    <col width="16" customWidth="1" min="5" max="5"/>
    <col width="16" customWidth="1" min="6" max="6"/>
    <col width="14" customWidth="1" min="7" max="7"/>
    <col width="70" customWidth="1" min="8" max="8"/>
  </cols>
  <sheetData>
    <row r="1">
      <c r="A1" s="1" t="inlineStr">
        <is>
          <t>OverallScoreID</t>
        </is>
      </c>
      <c r="B1" s="1" t="inlineStr">
        <is>
          <t>ConfigurationID</t>
        </is>
      </c>
      <c r="C1" s="1" t="inlineStr">
        <is>
          <t>FrameworkVersion</t>
        </is>
      </c>
      <c r="D1" s="1" t="inlineStr">
        <is>
          <t>OverallScore</t>
        </is>
      </c>
      <c r="E1" s="1" t="inlineStr">
        <is>
          <t>CoveragePercent</t>
        </is>
      </c>
      <c r="F1" s="1" t="inlineStr">
        <is>
          <t>CriteriaScored</t>
        </is>
      </c>
      <c r="G1" s="1" t="inlineStr">
        <is>
          <t>CriteriaTotal</t>
        </is>
      </c>
      <c r="H1" s="1" t="inlineStr">
        <is>
          <t>Notes</t>
        </is>
      </c>
    </row>
    <row r="2">
      <c r="A2" t="inlineStr">
        <is>
          <t>OVSC_000001</t>
        </is>
      </c>
      <c r="B2" t="inlineStr">
        <is>
          <t>TESLA_MODEL_3_LONG_RANGE_RWD</t>
        </is>
      </c>
      <c r="C2" t="inlineStr">
        <is>
          <t>1.4</t>
        </is>
      </c>
      <c r="D2">
        <f>SUMIFS('10_Scoring'!$G$2:$G$1000,'10_Scoring'!$B$2:$B$1000,B2,'10_Scoring'!$E$2:$E$1000,C2)</f>
        <v/>
      </c>
      <c r="E2">
        <f>ROUND(SUMPRODUCT(('10_Scoring'!$B$2:$B$1000=B2)*('10_Scoring'!$E$2:$E$1000=C2)*IFERROR(INDEX('01_Criteria'!$F$2:$F$1000,MATCH('10_Scoring'!$C$2:$C$1000,'01_Criteria'!$A$2:$A$1000,0)),0))/SUMIFS('01_Criteria'!$F$2:$F$1000,'01_Criteria'!$E$2:$E$1000,"WEIGHTED",'01_Criteria'!$H$2:$H$1000,"TRUE")*100,2)</f>
        <v/>
      </c>
      <c r="F2">
        <f>COUNTIFS('10_Scoring'!$B$2:$B$1000,B2,'10_Scoring'!$E$2:$E$1000,C2)</f>
        <v/>
      </c>
      <c r="G2">
        <f>COUNTIFS('01_Criteria'!$E$2:$E$1000,"WEIGHTED",'01_Criteria'!$H$2:$H$1000,"TRUE")</f>
        <v/>
      </c>
      <c r="H2">
        <f>IF(E2&lt;100,"Partial evaluation - "&amp;F2&amp;" of "&amp;G2&amp;" WEIGHTED+Active criteria scored ("&amp;E2&amp;"% of total weight).","Complete evaluation - all WEIGHTED+Active criteria scored.")</f>
        <v/>
      </c>
    </row>
    <row r="3">
      <c r="A3" t="inlineStr">
        <is>
          <t>OVSC_000002</t>
        </is>
      </c>
      <c r="B3" t="inlineStr">
        <is>
          <t>RENAULT_4_TECHNO</t>
        </is>
      </c>
      <c r="C3" t="inlineStr">
        <is>
          <t>1.4</t>
        </is>
      </c>
      <c r="D3">
        <f>SUMIFS('10_Scoring'!$G$2:$G$1000,'10_Scoring'!$B$2:$B$1000,B3,'10_Scoring'!$E$2:$E$1000,C3)</f>
        <v/>
      </c>
      <c r="E3">
        <f>ROUND(SUMPRODUCT(('10_Scoring'!$B$2:$B$1000=B3)*('10_Scoring'!$E$2:$E$1000=C3)*IFERROR(INDEX('01_Criteria'!$F$2:$F$1000,MATCH('10_Scoring'!$C$2:$C$1000,'01_Criteria'!$A$2:$A$1000,0)),0))/SUMIFS('01_Criteria'!$F$2:$F$1000,'01_Criteria'!$E$2:$E$1000,"WEIGHTED",'01_Criteria'!$H$2:$H$1000,"TRUE")*100,2)</f>
        <v/>
      </c>
      <c r="F3">
        <f>COUNTIFS('10_Scoring'!$B$2:$B$1000,B3,'10_Scoring'!$E$2:$E$1000,C3)</f>
        <v/>
      </c>
      <c r="G3">
        <f>COUNTIFS('01_Criteria'!$E$2:$E$1000,"WEIGHTED",'01_Criteria'!$H$2:$H$1000,"TRUE")</f>
        <v/>
      </c>
      <c r="H3">
        <f>IF(E3&lt;100,"Partial evaluation - "&amp;F3&amp;" of "&amp;G3&amp;" WEIGHTED+Active criteria scored ("&amp;E3&amp;"% of total weight).","Complete evaluation - all WEIGHTED+Active criteria scored.")</f>
        <v/>
      </c>
    </row>
    <row r="4">
      <c r="A4" t="inlineStr">
        <is>
          <t>OVSC_000003</t>
        </is>
      </c>
      <c r="B4" t="inlineStr">
        <is>
          <t>SKODA_ELROQ_SELECTION_60</t>
        </is>
      </c>
      <c r="C4" t="inlineStr">
        <is>
          <t>1.4</t>
        </is>
      </c>
      <c r="D4">
        <f>SUMIFS('10_Scoring'!$G$2:$G$1000,'10_Scoring'!$B$2:$B$1000,B4,'10_Scoring'!$E$2:$E$1000,C4)</f>
        <v/>
      </c>
      <c r="E4">
        <f>ROUND(SUMPRODUCT(('10_Scoring'!$B$2:$B$1000=B4)*('10_Scoring'!$E$2:$E$1000=C4)*IFERROR(INDEX('01_Criteria'!$F$2:$F$1000,MATCH('10_Scoring'!$C$2:$C$1000,'01_Criteria'!$A$2:$A$1000,0)),0))/SUMIFS('01_Criteria'!$F$2:$F$1000,'01_Criteria'!$E$2:$E$1000,"WEIGHTED",'01_Criteria'!$H$2:$H$1000,"TRUE")*100,2)</f>
        <v/>
      </c>
      <c r="F4">
        <f>COUNTIFS('10_Scoring'!$B$2:$B$1000,B4,'10_Scoring'!$E$2:$E$1000,C4)</f>
        <v/>
      </c>
      <c r="G4">
        <f>COUNTIFS('01_Criteria'!$E$2:$E$1000,"WEIGHTED",'01_Criteria'!$H$2:$H$1000,"TRUE")</f>
        <v/>
      </c>
      <c r="H4">
        <f>IF(E4&lt;100,"Partial evaluation - "&amp;F4&amp;" of "&amp;G4&amp;" WEIGHTED+Active criteria scored ("&amp;E4&amp;"% of total weight).","Complete evaluation - all WEIGHTED+Active criteria scored.")</f>
        <v/>
      </c>
    </row>
    <row r="5">
      <c r="A5" t="inlineStr">
        <is>
          <t>OVSC_000004</t>
        </is>
      </c>
      <c r="B5" t="inlineStr">
        <is>
          <t>VOLVO_EX30_P8_AWD</t>
        </is>
      </c>
      <c r="C5" t="inlineStr">
        <is>
          <t>1.4</t>
        </is>
      </c>
      <c r="D5">
        <f>SUMIFS('10_Scoring'!$G$2:$G$1000,'10_Scoring'!$B$2:$B$1000,B5,'10_Scoring'!$E$2:$E$1000,C5)</f>
        <v/>
      </c>
      <c r="E5">
        <f>ROUND(SUMPRODUCT(('10_Scoring'!$B$2:$B$1000=B5)*('10_Scoring'!$E$2:$E$1000=C5)*IFERROR(INDEX('01_Criteria'!$F$2:$F$1000,MATCH('10_Scoring'!$C$2:$C$1000,'01_Criteria'!$A$2:$A$1000,0)),0))/SUMIFS('01_Criteria'!$F$2:$F$1000,'01_Criteria'!$E$2:$E$1000,"WEIGHTED",'01_Criteria'!$H$2:$H$1000,"TRUE")*100,2)</f>
        <v/>
      </c>
      <c r="F5">
        <f>COUNTIFS('10_Scoring'!$B$2:$B$1000,B5,'10_Scoring'!$E$2:$E$1000,C5)</f>
        <v/>
      </c>
      <c r="G5">
        <f>COUNTIFS('01_Criteria'!$E$2:$E$1000,"WEIGHTED",'01_Criteria'!$H$2:$H$1000,"TRUE")</f>
        <v/>
      </c>
      <c r="H5">
        <f>IF(E5&lt;100,"Partial evaluation - "&amp;F5&amp;" of "&amp;G5&amp;" WEIGHTED+Active criteria scored ("&amp;E5&amp;"% of total weight).","Complete evaluation - all WEIGHTED+Active criteria scored.")</f>
        <v/>
      </c>
    </row>
    <row r="6">
      <c r="A6" t="inlineStr">
        <is>
          <t>OVSC_000005</t>
        </is>
      </c>
      <c r="B6" t="inlineStr">
        <is>
          <t>KIA_EV2_FWD_LONG_RANGE_GT_LINE</t>
        </is>
      </c>
      <c r="C6" t="inlineStr">
        <is>
          <t>1.4</t>
        </is>
      </c>
      <c r="D6">
        <f>SUMIFS('10_Scoring'!$G$2:$G$1000,'10_Scoring'!$B$2:$B$1000,B6,'10_Scoring'!$E$2:$E$1000,C6)</f>
        <v/>
      </c>
      <c r="E6">
        <f>ROUND(SUMPRODUCT(('10_Scoring'!$B$2:$B$1000=B6)*('10_Scoring'!$E$2:$E$1000=C6)*IFERROR(INDEX('01_Criteria'!$F$2:$F$1000,MATCH('10_Scoring'!$C$2:$C$1000,'01_Criteria'!$A$2:$A$1000,0)),0))/SUMIFS('01_Criteria'!$F$2:$F$1000,'01_Criteria'!$E$2:$E$1000,"WEIGHTED",'01_Criteria'!$H$2:$H$1000,"TRUE")*100,2)</f>
        <v/>
      </c>
      <c r="F6">
        <f>COUNTIFS('10_Scoring'!$B$2:$B$1000,B6,'10_Scoring'!$E$2:$E$1000,C6)</f>
        <v/>
      </c>
      <c r="G6">
        <f>COUNTIFS('01_Criteria'!$E$2:$E$1000,"WEIGHTED",'01_Criteria'!$H$2:$H$1000,"TRUE")</f>
        <v/>
      </c>
      <c r="H6">
        <f>IF(E6&lt;100,"Partial evaluation - "&amp;F6&amp;" of "&amp;G6&amp;" WEIGHTED+Active criteria scored ("&amp;E6&amp;"% of total weight).","Complete evaluation - all WEIGHTED+Active criteria scored.")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EV Decision Framework Reference Implementation</dc:title>
  <dc:description>Reference workbook synchronized to documented Framework Version 1.0 structure.</dc:description>
  <dc:subject>Framework Version 1.0 workbook schema</dc:subject>
  <dcterms:created xsi:type="dcterms:W3CDTF">2026-07-06T06:43:27Z</dcterms:created>
  <dcterms:modified xsi:type="dcterms:W3CDTF">2026-07-06T18:20:38Z</dcterms:modified>
  <cp:lastModifiedBy>Codex</cp:lastModifiedBy>
  <cp:keywords>EV Decision Framework; FrameworkVersion 1.0; workbook schema</cp:keywords>
</cp:coreProperties>
</file>